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4E47730-4ED4-4C43-8C4C-06101FFF150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ain Data" sheetId="1" r:id="rId1"/>
    <sheet name="IF Analysis" sheetId="4" r:id="rId2"/>
    <sheet name="Lookup Analysis" sheetId="5" r:id="rId3"/>
    <sheet name="Formula Analysis" sheetId="6" r:id="rId4"/>
    <sheet name="pivot table" sheetId="3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Y0KfTjO1fxaQhoKqKl/fnSLIadPmAgZzqoyRYTFFsI="/>
    </ext>
  </extLst>
</workbook>
</file>

<file path=xl/calcChain.xml><?xml version="1.0" encoding="utf-8"?>
<calcChain xmlns="http://schemas.openxmlformats.org/spreadsheetml/2006/main">
  <c r="B4" i="6" l="1"/>
  <c r="B5" i="6"/>
  <c r="I7" i="6"/>
  <c r="I4" i="6"/>
  <c r="G7" i="6"/>
  <c r="G4" i="6"/>
  <c r="E6" i="6"/>
  <c r="E5" i="6"/>
  <c r="M30" i="5" a="1"/>
  <c r="M31" i="5" a="1"/>
  <c r="M32" i="5" a="1"/>
  <c r="M33" i="5" a="1"/>
  <c r="M34" i="5" a="1"/>
  <c r="M35" i="5" a="1"/>
  <c r="M36" i="5" a="1"/>
  <c r="M37" i="5" a="1"/>
  <c r="M38" i="5" a="1"/>
  <c r="M39" i="5" a="1"/>
  <c r="M40" i="5" a="1"/>
  <c r="M41" i="5" a="1"/>
  <c r="M42" i="5" a="1"/>
  <c r="M43" i="5" a="1"/>
  <c r="M44" i="5" a="1"/>
  <c r="M45" i="5" a="1"/>
  <c r="M46" i="5" a="1"/>
  <c r="M47" i="5" a="1"/>
  <c r="M48" i="5" a="1"/>
  <c r="M49" i="5" a="1"/>
  <c r="M50" i="5" a="1"/>
  <c r="M51" i="5" a="1"/>
  <c r="M52" i="5" a="1"/>
  <c r="M53" i="5" a="1"/>
  <c r="M54" i="5" a="1"/>
  <c r="M55" i="5" a="1"/>
  <c r="M56" i="5" a="1"/>
  <c r="M57" i="5" a="1"/>
  <c r="M58" i="5" a="1"/>
  <c r="M59" i="5" a="1"/>
  <c r="M60" i="5" a="1"/>
  <c r="M61" i="5" a="1"/>
  <c r="M62" i="5" a="1"/>
  <c r="M63" i="5" a="1"/>
  <c r="M64" i="5" a="1"/>
  <c r="M65" i="5" a="1"/>
  <c r="M66" i="5" a="1"/>
  <c r="M67" i="5" a="1"/>
  <c r="M68" i="5" a="1"/>
  <c r="M69" i="5" a="1"/>
  <c r="M70" i="5" a="1"/>
  <c r="M71" i="5" a="1"/>
  <c r="M72" i="5" a="1"/>
  <c r="M73" i="5" a="1"/>
  <c r="M74" i="5" a="1"/>
  <c r="M75" i="5" a="1"/>
  <c r="M76" i="5" a="1"/>
  <c r="M77" i="5" a="1"/>
  <c r="M78" i="5" a="1"/>
  <c r="M79" i="5" a="1"/>
  <c r="M80" i="5" a="1"/>
  <c r="M81" i="5" a="1"/>
  <c r="M82" i="5" a="1"/>
  <c r="M83" i="5" a="1"/>
  <c r="M84" i="5" a="1"/>
  <c r="M85" i="5" a="1"/>
  <c r="M86" i="5" a="1"/>
  <c r="M87" i="5" a="1"/>
  <c r="M88" i="5" a="1"/>
  <c r="M89" i="5" a="1"/>
  <c r="M90" i="5" a="1"/>
  <c r="M91" i="5" a="1"/>
  <c r="M92" i="5" a="1"/>
  <c r="M93" i="5" a="1"/>
  <c r="M94" i="5" a="1"/>
  <c r="M95" i="5" a="1"/>
  <c r="M96" i="5" a="1"/>
  <c r="M97" i="5" a="1"/>
  <c r="M98" i="5" a="1"/>
  <c r="M99" i="5" a="1"/>
  <c r="M100" i="5" a="1"/>
  <c r="M101" i="5" a="1"/>
  <c r="M102" i="5" a="1"/>
  <c r="M103" i="5" a="1"/>
  <c r="M104" i="5" a="1"/>
  <c r="M105" i="5" a="1"/>
  <c r="M106" i="5" a="1"/>
  <c r="M107" i="5" a="1"/>
  <c r="M108" i="5" a="1"/>
  <c r="M109" i="5" a="1"/>
  <c r="M110" i="5" a="1"/>
  <c r="M111" i="5" a="1"/>
  <c r="M112" i="5" a="1"/>
  <c r="M113" i="5" a="1"/>
  <c r="M114" i="5" a="1"/>
  <c r="M115" i="5" a="1"/>
  <c r="M116" i="5" a="1"/>
  <c r="M117" i="5" a="1"/>
  <c r="M118" i="5" a="1"/>
  <c r="M119" i="5" a="1"/>
  <c r="M120" i="5" a="1"/>
  <c r="M121" i="5" a="1"/>
  <c r="M122" i="5" a="1"/>
  <c r="M123" i="5" a="1"/>
  <c r="M124" i="5" a="1"/>
  <c r="M125" i="5" a="1"/>
  <c r="M126" i="5" a="1"/>
  <c r="M127" i="5" a="1"/>
  <c r="M128" i="5" a="1"/>
  <c r="M129" i="5" a="1"/>
  <c r="M130" i="5" a="1"/>
  <c r="M131" i="5" a="1"/>
  <c r="M132" i="5" a="1"/>
  <c r="M133" i="5" a="1"/>
  <c r="M134" i="5" a="1"/>
  <c r="M135" i="5" a="1"/>
  <c r="M136" i="5" a="1"/>
  <c r="M137" i="5" a="1"/>
  <c r="M138" i="5" a="1"/>
  <c r="M139" i="5" a="1"/>
  <c r="M140" i="5" a="1"/>
  <c r="M141" i="5" a="1"/>
  <c r="M142" i="5" a="1"/>
  <c r="M143" i="5" a="1"/>
  <c r="M144" i="5" a="1"/>
  <c r="M145" i="5" a="1"/>
  <c r="M146" i="5" a="1"/>
  <c r="M147" i="5" a="1"/>
  <c r="M148" i="5" a="1"/>
  <c r="M149" i="5" a="1"/>
  <c r="M150" i="5" a="1"/>
  <c r="M151" i="5" a="1"/>
  <c r="M152" i="5" a="1"/>
  <c r="M153" i="5" a="1"/>
  <c r="M154" i="5" a="1"/>
  <c r="M155" i="5" a="1"/>
  <c r="M156" i="5" a="1"/>
  <c r="M157" i="5" a="1"/>
  <c r="M158" i="5" a="1"/>
  <c r="M159" i="5" a="1"/>
  <c r="M160" i="5" a="1"/>
  <c r="M161" i="5" a="1"/>
  <c r="M162" i="5" a="1"/>
  <c r="M163" i="5" a="1"/>
  <c r="M164" i="5" a="1"/>
  <c r="M165" i="5" a="1"/>
  <c r="M166" i="5" a="1"/>
  <c r="M167" i="5" a="1"/>
  <c r="M168" i="5" a="1"/>
  <c r="M169" i="5" a="1"/>
  <c r="M170" i="5" a="1"/>
  <c r="M171" i="5" a="1"/>
  <c r="M172" i="5" a="1"/>
  <c r="M173" i="5" a="1"/>
  <c r="M174" i="5" a="1"/>
  <c r="M175" i="5" a="1"/>
  <c r="M176" i="5" a="1"/>
  <c r="M177" i="5" a="1"/>
  <c r="M178" i="5" a="1"/>
  <c r="M179" i="5" a="1"/>
  <c r="M180" i="5" a="1"/>
  <c r="M181" i="5" a="1"/>
  <c r="M182" i="5" a="1"/>
  <c r="M183" i="5" a="1"/>
  <c r="M184" i="5" a="1"/>
  <c r="M185" i="5" a="1"/>
  <c r="M186" i="5" a="1"/>
  <c r="M187" i="5" a="1"/>
  <c r="M188" i="5" a="1"/>
  <c r="M189" i="5" a="1"/>
  <c r="M190" i="5" a="1"/>
  <c r="M191" i="5" a="1"/>
  <c r="M192" i="5" a="1"/>
  <c r="M193" i="5" a="1"/>
  <c r="M194" i="5" a="1"/>
  <c r="M195" i="5" a="1"/>
  <c r="M196" i="5" a="1"/>
  <c r="M197" i="5" a="1"/>
  <c r="M198" i="5" a="1"/>
  <c r="M199" i="5" a="1"/>
  <c r="M200" i="5" a="1"/>
  <c r="M201" i="5" a="1"/>
  <c r="M202" i="5" a="1"/>
  <c r="M203" i="5" a="1"/>
  <c r="M204" i="5" a="1"/>
  <c r="M205" i="5" a="1"/>
  <c r="M206" i="5" a="1"/>
  <c r="M207" i="5" a="1"/>
  <c r="M208" i="5" a="1"/>
  <c r="M209" i="5" a="1"/>
  <c r="M210" i="5" a="1"/>
  <c r="M211" i="5" a="1"/>
  <c r="M212" i="5" a="1"/>
  <c r="M213" i="5" a="1"/>
  <c r="M214" i="5" a="1"/>
  <c r="M215" i="5" a="1"/>
  <c r="M216" i="5" a="1"/>
  <c r="M217" i="5" a="1"/>
  <c r="M218" i="5" a="1"/>
  <c r="M219" i="5" a="1"/>
  <c r="M220" i="5" a="1"/>
  <c r="M221" i="5" a="1"/>
  <c r="M222" i="5" a="1"/>
  <c r="M223" i="5" a="1"/>
  <c r="M224" i="5" a="1"/>
  <c r="M225" i="5" a="1"/>
  <c r="M226" i="5" a="1"/>
  <c r="M227" i="5" a="1"/>
  <c r="M228" i="5" a="1"/>
  <c r="M229" i="5" a="1"/>
  <c r="M230" i="5" a="1"/>
  <c r="M231" i="5" a="1"/>
  <c r="M232" i="5" a="1"/>
  <c r="M233" i="5" a="1"/>
  <c r="M234" i="5" a="1"/>
  <c r="M235" i="5" a="1"/>
  <c r="M236" i="5" a="1"/>
  <c r="M237" i="5" a="1"/>
  <c r="M238" i="5" a="1"/>
  <c r="M239" i="5" a="1"/>
  <c r="M240" i="5" a="1"/>
  <c r="M241" i="5" a="1"/>
  <c r="M242" i="5" a="1"/>
  <c r="M243" i="5" a="1"/>
  <c r="M244" i="5" a="1"/>
  <c r="M245" i="5" a="1"/>
  <c r="M246" i="5" a="1"/>
  <c r="M247" i="5" a="1"/>
  <c r="M248" i="5" a="1"/>
  <c r="M249" i="5" a="1"/>
  <c r="M250" i="5" a="1"/>
  <c r="M251" i="5" a="1"/>
  <c r="M252" i="5" a="1"/>
  <c r="M253" i="5" a="1"/>
  <c r="M254" i="5" a="1"/>
  <c r="M255" i="5" a="1"/>
  <c r="M256" i="5" a="1"/>
  <c r="M257" i="5" a="1"/>
  <c r="M258" i="5" a="1"/>
  <c r="M259" i="5" a="1"/>
  <c r="M260" i="5" a="1"/>
  <c r="M261" i="5" a="1"/>
  <c r="M262" i="5" a="1"/>
  <c r="M263" i="5" a="1"/>
  <c r="M264" i="5" a="1"/>
  <c r="M265" i="5" a="1"/>
  <c r="M266" i="5" a="1"/>
  <c r="M267" i="5" a="1"/>
  <c r="M268" i="5" a="1"/>
  <c r="M269" i="5" a="1"/>
  <c r="M270" i="5" a="1"/>
  <c r="M271" i="5" a="1"/>
  <c r="M272" i="5" a="1"/>
  <c r="M273" i="5" a="1"/>
  <c r="M274" i="5" a="1"/>
  <c r="M275" i="5" a="1"/>
  <c r="M276" i="5" a="1"/>
  <c r="M277" i="5" a="1"/>
  <c r="M278" i="5" a="1"/>
  <c r="M279" i="5" a="1"/>
  <c r="M280" i="5" a="1"/>
  <c r="M281" i="5" a="1"/>
  <c r="M282" i="5" a="1"/>
  <c r="M283" i="5" a="1"/>
  <c r="M284" i="5" a="1"/>
  <c r="M285" i="5" a="1"/>
  <c r="M286" i="5" a="1"/>
  <c r="M287" i="5" a="1"/>
  <c r="M288" i="5" a="1"/>
  <c r="M289" i="5" a="1"/>
  <c r="M290" i="5" a="1"/>
  <c r="M291" i="5" a="1"/>
  <c r="M292" i="5" a="1"/>
  <c r="M293" i="5" a="1"/>
  <c r="M294" i="5" a="1"/>
  <c r="M295" i="5" a="1"/>
  <c r="M296" i="5" a="1"/>
  <c r="M297" i="5" a="1"/>
  <c r="M298" i="5" a="1"/>
  <c r="M299" i="5" a="1"/>
  <c r="M300" i="5" a="1"/>
  <c r="M301" i="5" a="1"/>
  <c r="M302" i="5" a="1"/>
  <c r="M303" i="5" a="1"/>
  <c r="M304" i="5" a="1"/>
  <c r="M305" i="5" a="1"/>
  <c r="M306" i="5" a="1"/>
  <c r="M307" i="5" a="1"/>
  <c r="M308" i="5" a="1"/>
  <c r="M309" i="5" a="1"/>
  <c r="M310" i="5" a="1"/>
  <c r="M311" i="5" a="1"/>
  <c r="M312" i="5" a="1"/>
  <c r="M313" i="5" a="1"/>
  <c r="M314" i="5" a="1"/>
  <c r="M315" i="5" a="1"/>
  <c r="M316" i="5" a="1"/>
  <c r="M317" i="5" a="1"/>
  <c r="M318" i="5" a="1"/>
  <c r="M319" i="5" a="1"/>
  <c r="M320" i="5" a="1"/>
  <c r="M321" i="5" a="1"/>
  <c r="M322" i="5" a="1"/>
  <c r="M323" i="5" a="1"/>
  <c r="M324" i="5" a="1"/>
  <c r="M325" i="5" a="1"/>
  <c r="M326" i="5" a="1"/>
  <c r="M327" i="5" a="1"/>
  <c r="M328" i="5" a="1"/>
  <c r="M329" i="5" a="1"/>
  <c r="M330" i="5" a="1"/>
  <c r="M331" i="5" a="1"/>
  <c r="M332" i="5" a="1"/>
  <c r="M333" i="5" a="1"/>
  <c r="M334" i="5" a="1"/>
  <c r="M335" i="5" a="1"/>
  <c r="M336" i="5" a="1"/>
  <c r="M337" i="5" a="1"/>
  <c r="M338" i="5" a="1"/>
  <c r="M339" i="5" a="1"/>
  <c r="M340" i="5" a="1"/>
  <c r="M341" i="5" a="1"/>
  <c r="M342" i="5" a="1"/>
  <c r="M343" i="5" a="1"/>
  <c r="M344" i="5" a="1"/>
  <c r="M345" i="5" a="1"/>
  <c r="M346" i="5" a="1"/>
  <c r="M347" i="5" a="1"/>
  <c r="M348" i="5" a="1"/>
  <c r="M349" i="5" a="1"/>
  <c r="M350" i="5" a="1"/>
  <c r="M351" i="5" a="1"/>
  <c r="M352" i="5" a="1"/>
  <c r="M353" i="5" a="1"/>
  <c r="M354" i="5" a="1"/>
  <c r="M355" i="5" a="1"/>
  <c r="M356" i="5" a="1"/>
  <c r="M357" i="5" a="1"/>
  <c r="M358" i="5" a="1"/>
  <c r="M359" i="5" a="1"/>
  <c r="M360" i="5" a="1"/>
  <c r="M361" i="5" a="1"/>
  <c r="M362" i="5" a="1"/>
  <c r="M363" i="5" a="1"/>
  <c r="M364" i="5" a="1"/>
  <c r="M365" i="5" a="1"/>
  <c r="M366" i="5" a="1"/>
  <c r="M367" i="5" a="1"/>
  <c r="M368" i="5" a="1"/>
  <c r="M369" i="5" a="1"/>
  <c r="M370" i="5" a="1"/>
  <c r="M371" i="5" a="1"/>
  <c r="M372" i="5" a="1"/>
  <c r="M373" i="5" a="1"/>
  <c r="M374" i="5" a="1"/>
  <c r="M375" i="5" a="1"/>
  <c r="M376" i="5" a="1"/>
  <c r="M377" i="5" a="1"/>
  <c r="M378" i="5" a="1"/>
  <c r="M379" i="5" a="1"/>
  <c r="M380" i="5" a="1"/>
  <c r="M381" i="5" a="1"/>
  <c r="M382" i="5" a="1"/>
  <c r="M383" i="5" a="1"/>
  <c r="M384" i="5" a="1"/>
  <c r="M385" i="5" a="1"/>
  <c r="M386" i="5" a="1"/>
  <c r="M387" i="5" a="1"/>
  <c r="M388" i="5" a="1"/>
  <c r="M389" i="5" a="1"/>
  <c r="M390" i="5" a="1"/>
  <c r="M391" i="5" a="1"/>
  <c r="M392" i="5" a="1"/>
  <c r="M393" i="5" a="1"/>
  <c r="M394" i="5" a="1"/>
  <c r="M395" i="5" a="1"/>
  <c r="M396" i="5" a="1"/>
  <c r="M397" i="5" a="1"/>
  <c r="M398" i="5" a="1"/>
  <c r="M399" i="5" a="1"/>
  <c r="M400" i="5" a="1"/>
  <c r="M401" i="5" a="1"/>
  <c r="M402" i="5" a="1"/>
  <c r="M403" i="5" a="1"/>
  <c r="M404" i="5" a="1"/>
  <c r="M405" i="5" a="1"/>
  <c r="M406" i="5" a="1"/>
  <c r="M407" i="5" a="1"/>
  <c r="M408" i="5" a="1"/>
  <c r="M409" i="5" a="1"/>
  <c r="M410" i="5" a="1"/>
  <c r="M411" i="5" a="1"/>
  <c r="M412" i="5" a="1"/>
  <c r="M413" i="5" a="1"/>
  <c r="M414" i="5" a="1"/>
  <c r="M415" i="5" a="1"/>
  <c r="M416" i="5" a="1"/>
  <c r="M417" i="5" a="1"/>
  <c r="M418" i="5" a="1"/>
  <c r="M419" i="5" a="1"/>
  <c r="M420" i="5" a="1"/>
  <c r="M421" i="5" a="1"/>
  <c r="M422" i="5" a="1"/>
  <c r="M423" i="5" a="1"/>
  <c r="M424" i="5" a="1"/>
  <c r="M425" i="5" a="1"/>
  <c r="M426" i="5" a="1"/>
  <c r="M427" i="5" a="1"/>
  <c r="M428" i="5" a="1"/>
  <c r="M429" i="5" a="1"/>
  <c r="M430" i="5" a="1"/>
  <c r="M431" i="5" a="1"/>
  <c r="M432" i="5" a="1"/>
  <c r="M433" i="5" a="1"/>
  <c r="M434" i="5" a="1"/>
  <c r="M435" i="5" a="1"/>
  <c r="M436" i="5" a="1"/>
  <c r="M437" i="5" a="1"/>
  <c r="M438" i="5" a="1"/>
  <c r="M439" i="5" a="1"/>
  <c r="M440" i="5" a="1"/>
  <c r="M441" i="5" a="1"/>
  <c r="M442" i="5" a="1"/>
  <c r="M443" i="5" a="1"/>
  <c r="M444" i="5" a="1"/>
  <c r="M445" i="5" a="1"/>
  <c r="M446" i="5" a="1"/>
  <c r="M447" i="5" a="1"/>
  <c r="M448" i="5" a="1"/>
  <c r="M449" i="5" a="1"/>
  <c r="M450" i="5" a="1"/>
  <c r="M451" i="5" a="1"/>
  <c r="M452" i="5" a="1"/>
  <c r="M453" i="5" a="1"/>
  <c r="M454" i="5" a="1"/>
  <c r="M455" i="5" a="1"/>
  <c r="M456" i="5" a="1"/>
  <c r="M457" i="5" a="1"/>
  <c r="M458" i="5" a="1"/>
  <c r="M459" i="5" a="1"/>
  <c r="M460" i="5" a="1"/>
  <c r="M461" i="5" a="1"/>
  <c r="M462" i="5" a="1"/>
  <c r="M463" i="5" a="1"/>
  <c r="M464" i="5" a="1"/>
  <c r="M465" i="5" a="1"/>
  <c r="M466" i="5" a="1"/>
  <c r="M467" i="5" a="1"/>
  <c r="M468" i="5" a="1"/>
  <c r="M469" i="5" a="1"/>
  <c r="M470" i="5" a="1"/>
  <c r="M471" i="5" a="1"/>
  <c r="M472" i="5" a="1"/>
  <c r="M473" i="5" a="1"/>
  <c r="M474" i="5" a="1"/>
  <c r="M475" i="5" a="1"/>
  <c r="M476" i="5" a="1"/>
  <c r="M477" i="5" a="1"/>
  <c r="M478" i="5" a="1"/>
  <c r="M479" i="5" a="1"/>
  <c r="M480" i="5" a="1"/>
  <c r="M481" i="5" a="1"/>
  <c r="M482" i="5" a="1"/>
  <c r="M483" i="5" a="1"/>
  <c r="M484" i="5" a="1"/>
  <c r="M485" i="5" a="1"/>
  <c r="M486" i="5" a="1"/>
  <c r="M487" i="5" a="1"/>
  <c r="M488" i="5" a="1"/>
  <c r="M489" i="5" a="1"/>
  <c r="M490" i="5" a="1"/>
  <c r="M491" i="5" a="1"/>
  <c r="M492" i="5" a="1"/>
  <c r="M493" i="5" a="1"/>
  <c r="M494" i="5" a="1"/>
  <c r="M495" i="5" a="1"/>
  <c r="M496" i="5" a="1"/>
  <c r="M497" i="5" a="1"/>
  <c r="M498" i="5" a="1"/>
  <c r="M499" i="5" a="1"/>
  <c r="M500" i="5" a="1"/>
  <c r="M501" i="5" a="1"/>
  <c r="M502" i="5" a="1"/>
  <c r="M503" i="5" a="1"/>
  <c r="M504" i="5" a="1"/>
  <c r="M505" i="5" a="1"/>
  <c r="M506" i="5" a="1"/>
  <c r="M507" i="5" a="1"/>
  <c r="M508" i="5" a="1"/>
  <c r="M509" i="5" a="1"/>
  <c r="M510" i="5" a="1"/>
  <c r="M511" i="5" a="1"/>
  <c r="M512" i="5" a="1"/>
  <c r="M513" i="5" a="1"/>
  <c r="M514" i="5" a="1"/>
  <c r="M515" i="5" a="1"/>
  <c r="M516" i="5" a="1"/>
  <c r="M517" i="5" a="1"/>
  <c r="M518" i="5" a="1"/>
  <c r="M519" i="5" a="1"/>
  <c r="M520" i="5" a="1"/>
  <c r="M521" i="5" a="1"/>
  <c r="M522" i="5" a="1"/>
  <c r="M523" i="5" a="1"/>
  <c r="M524" i="5" a="1"/>
  <c r="M525" i="5" a="1"/>
  <c r="M526" i="5" a="1"/>
  <c r="M527" i="5" a="1"/>
  <c r="M528" i="5" a="1"/>
  <c r="M529" i="5" a="1"/>
  <c r="M530" i="5" a="1"/>
  <c r="M531" i="5" a="1"/>
  <c r="M532" i="5" a="1"/>
  <c r="M533" i="5" a="1"/>
  <c r="M534" i="5" a="1"/>
  <c r="M535" i="5" a="1"/>
  <c r="M536" i="5" a="1"/>
  <c r="M537" i="5" a="1"/>
  <c r="M538" i="5" a="1"/>
  <c r="M539" i="5" a="1"/>
  <c r="M540" i="5" a="1"/>
  <c r="M541" i="5" a="1"/>
  <c r="M542" i="5" a="1"/>
  <c r="M543" i="5" a="1"/>
  <c r="M544" i="5" a="1"/>
  <c r="M545" i="5" a="1"/>
  <c r="M546" i="5" a="1"/>
  <c r="M547" i="5" a="1"/>
  <c r="M548" i="5" a="1"/>
  <c r="M549" i="5" a="1"/>
  <c r="M550" i="5" a="1"/>
  <c r="M551" i="5" a="1"/>
  <c r="M552" i="5" a="1"/>
  <c r="M553" i="5" a="1"/>
  <c r="M554" i="5" a="1"/>
  <c r="M555" i="5" a="1"/>
  <c r="M556" i="5" a="1"/>
  <c r="M557" i="5" a="1"/>
  <c r="M558" i="5" a="1"/>
  <c r="M559" i="5" a="1"/>
  <c r="M560" i="5" a="1"/>
  <c r="M561" i="5" a="1"/>
  <c r="M562" i="5" a="1"/>
  <c r="M563" i="5" a="1"/>
  <c r="M564" i="5" a="1"/>
  <c r="M565" i="5" a="1"/>
  <c r="M566" i="5" a="1"/>
  <c r="M567" i="5" a="1"/>
  <c r="M568" i="5" a="1"/>
  <c r="M569" i="5" a="1"/>
  <c r="M570" i="5" a="1"/>
  <c r="M571" i="5" a="1"/>
  <c r="M572" i="5" a="1"/>
  <c r="M573" i="5" a="1"/>
  <c r="M574" i="5" a="1"/>
  <c r="M575" i="5" a="1"/>
  <c r="M576" i="5" a="1"/>
  <c r="M577" i="5" a="1"/>
  <c r="M578" i="5" a="1"/>
  <c r="M579" i="5" a="1"/>
  <c r="M580" i="5" a="1"/>
  <c r="M581" i="5" a="1"/>
  <c r="M582" i="5" a="1"/>
  <c r="M583" i="5" a="1"/>
  <c r="M584" i="5" a="1"/>
  <c r="M585" i="5" a="1"/>
  <c r="M586" i="5" a="1"/>
  <c r="M587" i="5" a="1"/>
  <c r="M588" i="5" a="1"/>
  <c r="M589" i="5" a="1"/>
  <c r="M590" i="5" a="1"/>
  <c r="M591" i="5" a="1"/>
  <c r="M592" i="5" a="1"/>
  <c r="M593" i="5" a="1"/>
  <c r="M594" i="5" a="1"/>
  <c r="M595" i="5" a="1"/>
  <c r="M596" i="5" a="1"/>
  <c r="M597" i="5" a="1"/>
  <c r="M598" i="5" a="1"/>
  <c r="M599" i="5" a="1"/>
  <c r="M600" i="5" a="1"/>
  <c r="M601" i="5" a="1"/>
  <c r="M602" i="5" a="1"/>
  <c r="M603" i="5" a="1"/>
  <c r="M604" i="5" a="1"/>
  <c r="M605" i="5" a="1"/>
  <c r="M606" i="5" a="1"/>
  <c r="M607" i="5" a="1"/>
  <c r="M608" i="5" a="1"/>
  <c r="M609" i="5" a="1"/>
  <c r="M610" i="5" a="1"/>
  <c r="M611" i="5" a="1"/>
  <c r="M612" i="5" a="1"/>
  <c r="M613" i="5" a="1"/>
  <c r="M614" i="5" a="1"/>
  <c r="M615" i="5" a="1"/>
  <c r="M616" i="5" a="1"/>
  <c r="M617" i="5" a="1"/>
  <c r="M618" i="5" a="1"/>
  <c r="M619" i="5" a="1"/>
  <c r="M620" i="5" a="1"/>
  <c r="M621" i="5" a="1"/>
  <c r="M622" i="5" a="1"/>
  <c r="M623" i="5" a="1"/>
  <c r="M624" i="5" a="1"/>
  <c r="M625" i="5" a="1"/>
  <c r="M626" i="5" a="1"/>
  <c r="M627" i="5" a="1"/>
  <c r="M628" i="5" a="1"/>
  <c r="M629" i="5" a="1"/>
  <c r="M630" i="5" a="1"/>
  <c r="M631" i="5" a="1"/>
  <c r="M632" i="5" a="1"/>
  <c r="M633" i="5" a="1"/>
  <c r="M634" i="5" a="1"/>
  <c r="M635" i="5" a="1"/>
  <c r="M636" i="5" a="1"/>
  <c r="M637" i="5" a="1"/>
  <c r="M638" i="5" a="1"/>
  <c r="M639" i="5" a="1"/>
  <c r="M640" i="5" a="1"/>
  <c r="M641" i="5" a="1"/>
  <c r="M642" i="5" a="1"/>
  <c r="M643" i="5" a="1"/>
  <c r="M644" i="5" a="1"/>
  <c r="M645" i="5" a="1"/>
  <c r="M646" i="5" a="1"/>
  <c r="M647" i="5" a="1"/>
  <c r="M648" i="5" a="1"/>
  <c r="M649" i="5" a="1"/>
  <c r="M650" i="5" a="1"/>
  <c r="M651" i="5" a="1"/>
  <c r="M652" i="5" a="1"/>
  <c r="M653" i="5" a="1"/>
  <c r="M654" i="5" a="1"/>
  <c r="M655" i="5" a="1"/>
  <c r="M656" i="5" a="1"/>
  <c r="M657" i="5" a="1"/>
  <c r="M658" i="5" a="1"/>
  <c r="M659" i="5" a="1"/>
  <c r="M660" i="5" a="1"/>
  <c r="M661" i="5" a="1"/>
  <c r="M662" i="5" a="1"/>
  <c r="M663" i="5" a="1"/>
  <c r="M664" i="5" a="1"/>
  <c r="M665" i="5" a="1"/>
  <c r="M666" i="5" a="1"/>
  <c r="M667" i="5" a="1"/>
  <c r="M668" i="5" a="1"/>
  <c r="M669" i="5" a="1"/>
  <c r="M670" i="5" a="1"/>
  <c r="M671" i="5" a="1"/>
  <c r="M672" i="5" a="1"/>
  <c r="M673" i="5" a="1"/>
  <c r="M674" i="5" a="1"/>
  <c r="M675" i="5" a="1"/>
  <c r="M676" i="5" a="1"/>
  <c r="M677" i="5" a="1"/>
  <c r="M678" i="5" a="1"/>
  <c r="M679" i="5" a="1"/>
  <c r="M680" i="5" a="1"/>
  <c r="M681" i="5" a="1"/>
  <c r="M682" i="5" a="1"/>
  <c r="M683" i="5" a="1"/>
  <c r="M684" i="5" a="1"/>
  <c r="M685" i="5" a="1"/>
  <c r="M686" i="5" a="1"/>
  <c r="M687" i="5" a="1"/>
  <c r="M688" i="5" a="1"/>
  <c r="M689" i="5" a="1"/>
  <c r="M690" i="5" a="1"/>
  <c r="M691" i="5" a="1"/>
  <c r="M692" i="5" a="1"/>
  <c r="M693" i="5" a="1"/>
  <c r="M694" i="5" a="1"/>
  <c r="M695" i="5" a="1"/>
  <c r="M696" i="5" a="1"/>
  <c r="M697" i="5" a="1"/>
  <c r="M698" i="5" a="1"/>
  <c r="M699" i="5" a="1"/>
  <c r="M700" i="5" a="1"/>
  <c r="M701" i="5" a="1"/>
  <c r="M702" i="5" a="1"/>
  <c r="M703" i="5" a="1"/>
  <c r="M704" i="5" a="1"/>
  <c r="M705" i="5" a="1"/>
  <c r="M706" i="5" a="1"/>
  <c r="M707" i="5" a="1"/>
  <c r="M708" i="5" a="1"/>
  <c r="M709" i="5" a="1"/>
  <c r="M710" i="5" a="1"/>
  <c r="M711" i="5" a="1"/>
  <c r="M712" i="5" a="1"/>
  <c r="M713" i="5" a="1"/>
  <c r="M714" i="5" a="1"/>
  <c r="M715" i="5" a="1"/>
  <c r="M716" i="5" a="1"/>
  <c r="M717" i="5" a="1"/>
  <c r="M718" i="5" a="1"/>
  <c r="M719" i="5" a="1"/>
  <c r="M720" i="5" a="1"/>
  <c r="M721" i="5" a="1"/>
  <c r="M722" i="5" a="1"/>
  <c r="M723" i="5" a="1"/>
  <c r="M724" i="5" a="1"/>
  <c r="M725" i="5" a="1"/>
  <c r="M726" i="5" a="1"/>
  <c r="M727" i="5" a="1"/>
  <c r="M728" i="5" a="1"/>
  <c r="M729" i="5" a="1"/>
  <c r="M730" i="5" a="1"/>
  <c r="M731" i="5" a="1"/>
  <c r="M732" i="5" a="1"/>
  <c r="M733" i="5" a="1"/>
  <c r="M734" i="5" a="1"/>
  <c r="M735" i="5" a="1"/>
  <c r="M736" i="5" a="1"/>
  <c r="M737" i="5" a="1"/>
  <c r="M738" i="5" a="1"/>
  <c r="M739" i="5" a="1"/>
  <c r="M740" i="5" a="1"/>
  <c r="M741" i="5" a="1"/>
  <c r="M742" i="5" a="1"/>
  <c r="M743" i="5" a="1"/>
  <c r="M744" i="5" a="1"/>
  <c r="M745" i="5" a="1"/>
  <c r="M746" i="5" a="1"/>
  <c r="M747" i="5" a="1"/>
  <c r="M748" i="5" a="1"/>
  <c r="M749" i="5" a="1"/>
  <c r="M750" i="5" a="1"/>
  <c r="M751" i="5" a="1"/>
  <c r="M752" i="5" a="1"/>
  <c r="M753" i="5" a="1"/>
  <c r="M754" i="5" a="1"/>
  <c r="M755" i="5" a="1"/>
  <c r="M756" i="5" a="1"/>
  <c r="M757" i="5" a="1"/>
  <c r="M758" i="5" a="1"/>
  <c r="M759" i="5" a="1"/>
  <c r="M760" i="5" a="1"/>
  <c r="M761" i="5" a="1"/>
  <c r="M762" i="5" a="1"/>
  <c r="M763" i="5" a="1"/>
  <c r="M764" i="5" a="1"/>
  <c r="M765" i="5" a="1"/>
  <c r="M766" i="5" a="1"/>
  <c r="M767" i="5" a="1"/>
  <c r="M768" i="5" a="1"/>
  <c r="M769" i="5" a="1"/>
  <c r="M770" i="5" a="1"/>
  <c r="M771" i="5" a="1"/>
  <c r="M772" i="5" a="1"/>
  <c r="M773" i="5" a="1"/>
  <c r="M774" i="5" a="1"/>
  <c r="M775" i="5" a="1"/>
  <c r="M776" i="5" a="1"/>
  <c r="M777" i="5" a="1"/>
  <c r="M778" i="5" a="1"/>
  <c r="M779" i="5" a="1"/>
  <c r="M780" i="5" a="1"/>
  <c r="M781" i="5" a="1"/>
  <c r="M782" i="5" a="1"/>
  <c r="M783" i="5" a="1"/>
  <c r="M784" i="5" a="1"/>
  <c r="M785" i="5" a="1"/>
  <c r="M786" i="5" a="1"/>
  <c r="M787" i="5" a="1"/>
  <c r="M788" i="5" a="1"/>
  <c r="M789" i="5" a="1"/>
  <c r="M790" i="5" a="1"/>
  <c r="M791" i="5" a="1"/>
  <c r="M792" i="5" a="1"/>
  <c r="M793" i="5" a="1"/>
  <c r="M794" i="5" a="1"/>
  <c r="M795" i="5" a="1"/>
  <c r="M796" i="5" a="1"/>
  <c r="M797" i="5" a="1"/>
  <c r="M798" i="5" a="1"/>
  <c r="M799" i="5" a="1"/>
  <c r="M800" i="5" a="1"/>
  <c r="M801" i="5" a="1"/>
  <c r="M802" i="5" a="1"/>
  <c r="M803" i="5" a="1"/>
  <c r="M804" i="5" a="1"/>
  <c r="M805" i="5" a="1"/>
  <c r="M806" i="5" a="1"/>
  <c r="M807" i="5" a="1"/>
  <c r="M808" i="5" a="1"/>
  <c r="M809" i="5" a="1"/>
  <c r="M810" i="5" a="1"/>
  <c r="M811" i="5" a="1"/>
  <c r="M812" i="5" a="1"/>
  <c r="M813" i="5" a="1"/>
  <c r="M814" i="5" a="1"/>
  <c r="M815" i="5" a="1"/>
  <c r="M816" i="5" a="1"/>
  <c r="M817" i="5" a="1"/>
  <c r="M818" i="5" a="1"/>
  <c r="M819" i="5" a="1"/>
  <c r="M820" i="5" a="1"/>
  <c r="M821" i="5" a="1"/>
  <c r="M822" i="5" a="1"/>
  <c r="M823" i="5" a="1"/>
  <c r="M824" i="5" a="1"/>
  <c r="M825" i="5" a="1"/>
  <c r="M826" i="5" a="1"/>
  <c r="M827" i="5" a="1"/>
  <c r="M828" i="5" a="1"/>
  <c r="M829" i="5" a="1"/>
  <c r="M830" i="5" a="1"/>
  <c r="M831" i="5" a="1"/>
  <c r="M832" i="5" a="1"/>
  <c r="M833" i="5" a="1"/>
  <c r="M834" i="5" a="1"/>
  <c r="M835" i="5" a="1"/>
  <c r="M836" i="5" a="1"/>
  <c r="M837" i="5" a="1"/>
  <c r="M838" i="5" a="1"/>
  <c r="M839" i="5" a="1"/>
  <c r="M840" i="5" a="1"/>
  <c r="M841" i="5" a="1"/>
  <c r="M842" i="5" a="1"/>
  <c r="M843" i="5" a="1"/>
  <c r="M844" i="5" a="1"/>
  <c r="M845" i="5" a="1"/>
  <c r="M846" i="5" a="1"/>
  <c r="M847" i="5" a="1"/>
  <c r="M848" i="5" a="1"/>
  <c r="M849" i="5" a="1"/>
  <c r="M850" i="5" a="1"/>
  <c r="M851" i="5" a="1"/>
  <c r="M852" i="5" a="1"/>
  <c r="M853" i="5" a="1"/>
  <c r="M854" i="5" a="1"/>
  <c r="M855" i="5" a="1"/>
  <c r="M856" i="5" a="1"/>
  <c r="M857" i="5" a="1"/>
  <c r="M858" i="5" a="1"/>
  <c r="M859" i="5" a="1"/>
  <c r="M860" i="5" a="1"/>
  <c r="M861" i="5" a="1"/>
  <c r="M862" i="5" a="1"/>
  <c r="M863" i="5" a="1"/>
  <c r="M864" i="5" a="1"/>
  <c r="M865" i="5" a="1"/>
  <c r="M866" i="5" a="1"/>
  <c r="M867" i="5" a="1"/>
  <c r="M868" i="5" a="1"/>
  <c r="M869" i="5" a="1"/>
  <c r="M870" i="5" a="1"/>
  <c r="M871" i="5" a="1"/>
  <c r="M872" i="5" a="1"/>
  <c r="M873" i="5" a="1"/>
  <c r="M874" i="5" a="1"/>
  <c r="M875" i="5" a="1"/>
  <c r="M876" i="5" a="1"/>
  <c r="M877" i="5" a="1"/>
  <c r="M878" i="5" a="1"/>
  <c r="M879" i="5" a="1"/>
  <c r="M880" i="5" a="1"/>
  <c r="M881" i="5" a="1"/>
  <c r="M882" i="5" a="1"/>
  <c r="M883" i="5" a="1"/>
  <c r="M884" i="5" a="1"/>
  <c r="M885" i="5" a="1"/>
  <c r="M886" i="5" a="1"/>
  <c r="M887" i="5" a="1"/>
  <c r="M888" i="5" a="1"/>
  <c r="M889" i="5" a="1"/>
  <c r="M890" i="5" a="1"/>
  <c r="M891" i="5" a="1"/>
  <c r="M892" i="5" a="1"/>
  <c r="M893" i="5" a="1"/>
  <c r="M894" i="5" a="1"/>
  <c r="M895" i="5" a="1"/>
  <c r="M896" i="5" a="1"/>
  <c r="M897" i="5" a="1"/>
  <c r="M898" i="5" a="1"/>
  <c r="M899" i="5" a="1"/>
  <c r="M900" i="5" a="1"/>
  <c r="M901" i="5" a="1"/>
  <c r="M902" i="5" a="1"/>
  <c r="M903" i="5" a="1"/>
  <c r="M904" i="5" a="1"/>
  <c r="M905" i="5" a="1"/>
  <c r="M906" i="5" a="1"/>
  <c r="M907" i="5" a="1"/>
  <c r="M908" i="5" a="1"/>
  <c r="M909" i="5" a="1"/>
  <c r="M910" i="5" a="1"/>
  <c r="M911" i="5" a="1"/>
  <c r="M912" i="5" a="1"/>
  <c r="M913" i="5" a="1"/>
  <c r="M914" i="5" a="1"/>
  <c r="M915" i="5" a="1"/>
  <c r="M916" i="5" a="1"/>
  <c r="M917" i="5" a="1"/>
  <c r="M918" i="5" a="1"/>
  <c r="M919" i="5" a="1"/>
  <c r="M920" i="5" a="1"/>
  <c r="M921" i="5" a="1"/>
  <c r="M922" i="5" a="1"/>
  <c r="M923" i="5" a="1"/>
  <c r="M924" i="5" a="1"/>
  <c r="M925" i="5" a="1"/>
  <c r="M926" i="5" a="1"/>
  <c r="M927" i="5" a="1"/>
  <c r="M928" i="5" a="1"/>
  <c r="M929" i="5" a="1"/>
  <c r="M930" i="5" a="1"/>
  <c r="M931" i="5" a="1"/>
  <c r="M932" i="5" a="1"/>
  <c r="M933" i="5" a="1"/>
  <c r="M934" i="5" a="1"/>
  <c r="M935" i="5" a="1"/>
  <c r="M936" i="5" a="1"/>
  <c r="M937" i="5" a="1"/>
  <c r="M938" i="5" a="1"/>
  <c r="M939" i="5" a="1"/>
  <c r="M940" i="5" a="1"/>
  <c r="M941" i="5" a="1"/>
  <c r="M942" i="5" a="1"/>
  <c r="M943" i="5" a="1"/>
  <c r="M944" i="5" a="1"/>
  <c r="M945" i="5" a="1"/>
  <c r="M946" i="5" a="1"/>
  <c r="M947" i="5" a="1"/>
  <c r="M948" i="5" a="1"/>
  <c r="M949" i="5" a="1"/>
  <c r="M950" i="5" a="1"/>
  <c r="M951" i="5" a="1"/>
  <c r="M952" i="5" a="1"/>
  <c r="M953" i="5" a="1"/>
  <c r="M954" i="5" a="1"/>
  <c r="M955" i="5" a="1"/>
  <c r="M956" i="5" a="1"/>
  <c r="M957" i="5" a="1"/>
  <c r="M958" i="5" a="1"/>
  <c r="M959" i="5" a="1"/>
  <c r="M960" i="5" a="1"/>
  <c r="M961" i="5" a="1"/>
  <c r="M962" i="5" a="1"/>
  <c r="M963" i="5" a="1"/>
  <c r="M964" i="5" a="1"/>
  <c r="M965" i="5" a="1"/>
  <c r="M966" i="5" a="1"/>
  <c r="M967" i="5" a="1"/>
  <c r="M968" i="5" a="1"/>
  <c r="M969" i="5" a="1"/>
  <c r="M970" i="5" a="1"/>
  <c r="M971" i="5" a="1"/>
  <c r="M972" i="5" a="1"/>
  <c r="M973" i="5" a="1"/>
  <c r="M974" i="5" a="1"/>
  <c r="M975" i="5" a="1"/>
  <c r="M976" i="5" a="1"/>
  <c r="M977" i="5" a="1"/>
  <c r="M978" i="5" a="1"/>
  <c r="M979" i="5" a="1"/>
  <c r="M980" i="5" a="1"/>
  <c r="M981" i="5" a="1"/>
  <c r="M982" i="5" a="1"/>
  <c r="M983" i="5" a="1"/>
  <c r="M984" i="5" a="1"/>
  <c r="M985" i="5" a="1"/>
  <c r="M986" i="5" a="1"/>
  <c r="M987" i="5" a="1"/>
  <c r="M988" i="5" a="1"/>
  <c r="M989" i="5" a="1"/>
  <c r="M990" i="5" a="1"/>
  <c r="M991" i="5" a="1"/>
  <c r="M992" i="5" a="1"/>
  <c r="M993" i="5" a="1"/>
  <c r="M994" i="5" a="1"/>
  <c r="M995" i="5" a="1"/>
  <c r="M996" i="5" a="1"/>
  <c r="M997" i="5" a="1"/>
  <c r="M998" i="5" a="1"/>
  <c r="M999" i="5" a="1"/>
  <c r="M1000" i="5" a="1"/>
  <c r="M1001" i="5" a="1"/>
  <c r="M1002" i="5" a="1"/>
  <c r="M1003" i="5" a="1"/>
  <c r="M1004" i="5" a="1"/>
  <c r="M6" i="5" a="1"/>
  <c r="M7" i="5" a="1"/>
  <c r="M8" i="5" a="1"/>
  <c r="M9" i="5" a="1"/>
  <c r="M10" i="5" a="1"/>
  <c r="M11" i="5" a="1"/>
  <c r="M12" i="5" a="1"/>
  <c r="M13" i="5" a="1"/>
  <c r="M14" i="5" a="1"/>
  <c r="M15" i="5" a="1"/>
  <c r="M16" i="5" a="1"/>
  <c r="M17" i="5" a="1"/>
  <c r="M18" i="5" a="1"/>
  <c r="M19" i="5" a="1"/>
  <c r="M20" i="5" a="1"/>
  <c r="M21" i="5" a="1"/>
  <c r="M22" i="5" a="1"/>
  <c r="M23" i="5" a="1"/>
  <c r="M24" i="5" a="1"/>
  <c r="M25" i="5" a="1"/>
  <c r="M26" i="5" a="1"/>
  <c r="M27" i="5" a="1"/>
  <c r="M28" i="5" a="1"/>
  <c r="M29" i="5" a="1"/>
  <c r="M5" i="5" a="1"/>
  <c r="F23" i="5" a="1"/>
  <c r="F24" i="5" a="1"/>
  <c r="F25" i="5" a="1"/>
  <c r="F26" i="5" a="1"/>
  <c r="F27" i="5" a="1"/>
  <c r="F28" i="5" a="1"/>
  <c r="F29" i="5" a="1"/>
  <c r="F30" i="5" a="1"/>
  <c r="F31" i="5" a="1"/>
  <c r="F32" i="5" a="1"/>
  <c r="F33" i="5" a="1"/>
  <c r="F34" i="5" a="1"/>
  <c r="F35" i="5" a="1"/>
  <c r="F36" i="5" a="1"/>
  <c r="F37" i="5" a="1"/>
  <c r="F38" i="5" a="1"/>
  <c r="F39" i="5" a="1"/>
  <c r="F40" i="5" a="1"/>
  <c r="F41" i="5" a="1"/>
  <c r="F42" i="5" a="1"/>
  <c r="F43" i="5" a="1"/>
  <c r="F44" i="5" a="1"/>
  <c r="F45" i="5" a="1"/>
  <c r="F46" i="5" a="1"/>
  <c r="F47" i="5" a="1"/>
  <c r="F48" i="5" a="1"/>
  <c r="F49" i="5" a="1"/>
  <c r="F50" i="5" a="1"/>
  <c r="F51" i="5" a="1"/>
  <c r="F52" i="5" a="1"/>
  <c r="F53" i="5" a="1"/>
  <c r="F54" i="5" a="1"/>
  <c r="F55" i="5" a="1"/>
  <c r="F56" i="5" a="1"/>
  <c r="F57" i="5" a="1"/>
  <c r="F58" i="5" a="1"/>
  <c r="F59" i="5" a="1"/>
  <c r="F60" i="5" a="1"/>
  <c r="F61" i="5" a="1"/>
  <c r="F62" i="5" a="1"/>
  <c r="F63" i="5" a="1"/>
  <c r="F64" i="5" a="1"/>
  <c r="F65" i="5" a="1"/>
  <c r="F66" i="5" a="1"/>
  <c r="F67" i="5" a="1"/>
  <c r="F68" i="5" a="1"/>
  <c r="F69" i="5" a="1"/>
  <c r="F70" i="5" a="1"/>
  <c r="F71" i="5" a="1"/>
  <c r="F72" i="5" a="1"/>
  <c r="F73" i="5" a="1"/>
  <c r="F74" i="5" a="1"/>
  <c r="F75" i="5" a="1"/>
  <c r="F76" i="5" a="1"/>
  <c r="F77" i="5" a="1"/>
  <c r="F78" i="5" a="1"/>
  <c r="F79" i="5" a="1"/>
  <c r="F80" i="5" a="1"/>
  <c r="F81" i="5" a="1"/>
  <c r="F82" i="5" a="1"/>
  <c r="F83" i="5" a="1"/>
  <c r="F84" i="5" a="1"/>
  <c r="F85" i="5" a="1"/>
  <c r="F86" i="5" a="1"/>
  <c r="F87" i="5" a="1"/>
  <c r="F88" i="5" a="1"/>
  <c r="F89" i="5" a="1"/>
  <c r="F90" i="5" a="1"/>
  <c r="F91" i="5" a="1"/>
  <c r="F92" i="5" a="1"/>
  <c r="F93" i="5" a="1"/>
  <c r="F94" i="5" a="1"/>
  <c r="F95" i="5" a="1"/>
  <c r="F96" i="5" a="1"/>
  <c r="F97" i="5" a="1"/>
  <c r="F98" i="5" a="1"/>
  <c r="F99" i="5" a="1"/>
  <c r="F100" i="5" a="1"/>
  <c r="F101" i="5" a="1"/>
  <c r="F102" i="5" a="1"/>
  <c r="F103" i="5" a="1"/>
  <c r="F104" i="5" a="1"/>
  <c r="F105" i="5" a="1"/>
  <c r="F106" i="5" a="1"/>
  <c r="F107" i="5" a="1"/>
  <c r="F108" i="5" a="1"/>
  <c r="F109" i="5" a="1"/>
  <c r="F110" i="5" a="1"/>
  <c r="F111" i="5" a="1"/>
  <c r="F112" i="5" a="1"/>
  <c r="F113" i="5" a="1"/>
  <c r="F114" i="5" a="1"/>
  <c r="F115" i="5" a="1"/>
  <c r="F116" i="5" a="1"/>
  <c r="F117" i="5" a="1"/>
  <c r="F118" i="5" a="1"/>
  <c r="F119" i="5" a="1"/>
  <c r="F120" i="5" a="1"/>
  <c r="F121" i="5" a="1"/>
  <c r="F122" i="5" a="1"/>
  <c r="F123" i="5" a="1"/>
  <c r="F124" i="5" a="1"/>
  <c r="F125" i="5" a="1"/>
  <c r="F126" i="5" a="1"/>
  <c r="F127" i="5" a="1"/>
  <c r="F128" i="5" a="1"/>
  <c r="F129" i="5" a="1"/>
  <c r="F130" i="5" a="1"/>
  <c r="F131" i="5" a="1"/>
  <c r="F132" i="5" a="1"/>
  <c r="F133" i="5" a="1"/>
  <c r="F134" i="5" a="1"/>
  <c r="F135" i="5" a="1"/>
  <c r="F136" i="5" a="1"/>
  <c r="F137" i="5" a="1"/>
  <c r="F138" i="5" a="1"/>
  <c r="F139" i="5" a="1"/>
  <c r="F140" i="5" a="1"/>
  <c r="F141" i="5" a="1"/>
  <c r="F142" i="5" a="1"/>
  <c r="F143" i="5" a="1"/>
  <c r="F144" i="5" a="1"/>
  <c r="F145" i="5" a="1"/>
  <c r="F146" i="5" a="1"/>
  <c r="F147" i="5" a="1"/>
  <c r="F148" i="5" a="1"/>
  <c r="F149" i="5" a="1"/>
  <c r="F150" i="5" a="1"/>
  <c r="F151" i="5" a="1"/>
  <c r="F152" i="5" a="1"/>
  <c r="F153" i="5" a="1"/>
  <c r="F154" i="5" a="1"/>
  <c r="F155" i="5" a="1"/>
  <c r="F156" i="5" a="1"/>
  <c r="F157" i="5" a="1"/>
  <c r="F158" i="5" a="1"/>
  <c r="F159" i="5" a="1"/>
  <c r="F160" i="5" a="1"/>
  <c r="F161" i="5" a="1"/>
  <c r="F162" i="5" a="1"/>
  <c r="F163" i="5" a="1"/>
  <c r="F164" i="5" a="1"/>
  <c r="F165" i="5" a="1"/>
  <c r="F166" i="5" a="1"/>
  <c r="F167" i="5" a="1"/>
  <c r="F168" i="5" a="1"/>
  <c r="F169" i="5" a="1"/>
  <c r="F170" i="5" a="1"/>
  <c r="F171" i="5" a="1"/>
  <c r="F172" i="5" a="1"/>
  <c r="F173" i="5" a="1"/>
  <c r="F174" i="5" a="1"/>
  <c r="F175" i="5" a="1"/>
  <c r="F176" i="5" a="1"/>
  <c r="F177" i="5" a="1"/>
  <c r="F178" i="5" a="1"/>
  <c r="F179" i="5" a="1"/>
  <c r="F180" i="5" a="1"/>
  <c r="F181" i="5" a="1"/>
  <c r="F182" i="5" a="1"/>
  <c r="F183" i="5" a="1"/>
  <c r="F184" i="5" a="1"/>
  <c r="F185" i="5" a="1"/>
  <c r="F186" i="5" a="1"/>
  <c r="F187" i="5" a="1"/>
  <c r="F188" i="5" a="1"/>
  <c r="F189" i="5" a="1"/>
  <c r="F190" i="5" a="1"/>
  <c r="F191" i="5" a="1"/>
  <c r="F192" i="5" a="1"/>
  <c r="F193" i="5" a="1"/>
  <c r="F194" i="5" a="1"/>
  <c r="F195" i="5" a="1"/>
  <c r="F196" i="5" a="1"/>
  <c r="F197" i="5" a="1"/>
  <c r="F198" i="5" a="1"/>
  <c r="F199" i="5" a="1"/>
  <c r="F200" i="5" a="1"/>
  <c r="F201" i="5" a="1"/>
  <c r="F202" i="5" a="1"/>
  <c r="F203" i="5" a="1"/>
  <c r="F204" i="5" a="1"/>
  <c r="F205" i="5" a="1"/>
  <c r="F206" i="5" a="1"/>
  <c r="F207" i="5" a="1"/>
  <c r="F208" i="5" a="1"/>
  <c r="F209" i="5" a="1"/>
  <c r="F210" i="5" a="1"/>
  <c r="F211" i="5" a="1"/>
  <c r="F212" i="5" a="1"/>
  <c r="F213" i="5" a="1"/>
  <c r="F214" i="5" a="1"/>
  <c r="F215" i="5" a="1"/>
  <c r="F216" i="5" a="1"/>
  <c r="F217" i="5" a="1"/>
  <c r="F218" i="5" a="1"/>
  <c r="F219" i="5" a="1"/>
  <c r="F220" i="5" a="1"/>
  <c r="F221" i="5" a="1"/>
  <c r="F222" i="5" a="1"/>
  <c r="F223" i="5" a="1"/>
  <c r="F224" i="5" a="1"/>
  <c r="F225" i="5" a="1"/>
  <c r="F226" i="5" a="1"/>
  <c r="F227" i="5" a="1"/>
  <c r="F228" i="5" a="1"/>
  <c r="F229" i="5" a="1"/>
  <c r="F230" i="5" a="1"/>
  <c r="F231" i="5" a="1"/>
  <c r="F232" i="5" a="1"/>
  <c r="F233" i="5" a="1"/>
  <c r="F234" i="5" a="1"/>
  <c r="F235" i="5" a="1"/>
  <c r="F236" i="5" a="1"/>
  <c r="F237" i="5" a="1"/>
  <c r="F238" i="5" a="1"/>
  <c r="F239" i="5" a="1"/>
  <c r="F240" i="5" a="1"/>
  <c r="F241" i="5" a="1"/>
  <c r="F242" i="5" a="1"/>
  <c r="F243" i="5" a="1"/>
  <c r="F244" i="5" a="1"/>
  <c r="F245" i="5" a="1"/>
  <c r="F246" i="5" a="1"/>
  <c r="F247" i="5" a="1"/>
  <c r="F248" i="5" a="1"/>
  <c r="F249" i="5" a="1"/>
  <c r="F250" i="5" a="1"/>
  <c r="F251" i="5" a="1"/>
  <c r="F252" i="5" a="1"/>
  <c r="F253" i="5" a="1"/>
  <c r="F254" i="5" a="1"/>
  <c r="F255" i="5" a="1"/>
  <c r="F256" i="5" a="1"/>
  <c r="F257" i="5" a="1"/>
  <c r="F258" i="5" a="1"/>
  <c r="F259" i="5" a="1"/>
  <c r="F260" i="5" a="1"/>
  <c r="F261" i="5" a="1"/>
  <c r="F262" i="5" a="1"/>
  <c r="F263" i="5" a="1"/>
  <c r="F264" i="5" a="1"/>
  <c r="F265" i="5" a="1"/>
  <c r="F266" i="5" a="1"/>
  <c r="F267" i="5" a="1"/>
  <c r="F268" i="5" a="1"/>
  <c r="F269" i="5" a="1"/>
  <c r="F270" i="5" a="1"/>
  <c r="F271" i="5" a="1"/>
  <c r="F272" i="5" a="1"/>
  <c r="F273" i="5" a="1"/>
  <c r="F274" i="5" a="1"/>
  <c r="F275" i="5" a="1"/>
  <c r="F276" i="5" a="1"/>
  <c r="F277" i="5" a="1"/>
  <c r="F278" i="5" a="1"/>
  <c r="F279" i="5" a="1"/>
  <c r="F280" i="5" a="1"/>
  <c r="F281" i="5" a="1"/>
  <c r="F282" i="5" a="1"/>
  <c r="F283" i="5" a="1"/>
  <c r="F284" i="5" a="1"/>
  <c r="F285" i="5" a="1"/>
  <c r="F286" i="5" a="1"/>
  <c r="F287" i="5" a="1"/>
  <c r="F288" i="5" a="1"/>
  <c r="F289" i="5" a="1"/>
  <c r="F290" i="5" a="1"/>
  <c r="F291" i="5" a="1"/>
  <c r="F292" i="5" a="1"/>
  <c r="F293" i="5" a="1"/>
  <c r="F294" i="5" a="1"/>
  <c r="F295" i="5" a="1"/>
  <c r="F296" i="5" a="1"/>
  <c r="F297" i="5" a="1"/>
  <c r="F298" i="5" a="1"/>
  <c r="F299" i="5" a="1"/>
  <c r="F300" i="5" a="1"/>
  <c r="F301" i="5" a="1"/>
  <c r="F302" i="5" a="1"/>
  <c r="F303" i="5" a="1"/>
  <c r="F304" i="5" a="1"/>
  <c r="F305" i="5" a="1"/>
  <c r="F306" i="5" a="1"/>
  <c r="F307" i="5" a="1"/>
  <c r="F308" i="5" a="1"/>
  <c r="F309" i="5" a="1"/>
  <c r="F310" i="5" a="1"/>
  <c r="F311" i="5" a="1"/>
  <c r="F312" i="5" a="1"/>
  <c r="F313" i="5" a="1"/>
  <c r="F314" i="5" a="1"/>
  <c r="F315" i="5" a="1"/>
  <c r="F316" i="5" a="1"/>
  <c r="F317" i="5" a="1"/>
  <c r="F318" i="5" a="1"/>
  <c r="F319" i="5" a="1"/>
  <c r="F320" i="5" a="1"/>
  <c r="F321" i="5" a="1"/>
  <c r="F322" i="5" a="1"/>
  <c r="F323" i="5" a="1"/>
  <c r="F324" i="5" a="1"/>
  <c r="F325" i="5" a="1"/>
  <c r="F326" i="5" a="1"/>
  <c r="F327" i="5" a="1"/>
  <c r="F328" i="5" a="1"/>
  <c r="F329" i="5" a="1"/>
  <c r="F330" i="5" a="1"/>
  <c r="F331" i="5" a="1"/>
  <c r="F332" i="5" a="1"/>
  <c r="F333" i="5" a="1"/>
  <c r="F334" i="5" a="1"/>
  <c r="F335" i="5" a="1"/>
  <c r="F336" i="5" a="1"/>
  <c r="F337" i="5" a="1"/>
  <c r="F338" i="5" a="1"/>
  <c r="F339" i="5" a="1"/>
  <c r="F340" i="5" a="1"/>
  <c r="F341" i="5" a="1"/>
  <c r="F342" i="5" a="1"/>
  <c r="F343" i="5" a="1"/>
  <c r="F344" i="5" a="1"/>
  <c r="F345" i="5" a="1"/>
  <c r="F346" i="5" a="1"/>
  <c r="F347" i="5" a="1"/>
  <c r="F348" i="5" a="1"/>
  <c r="F349" i="5" a="1"/>
  <c r="F350" i="5" a="1"/>
  <c r="F351" i="5" a="1"/>
  <c r="F352" i="5" a="1"/>
  <c r="F353" i="5" a="1"/>
  <c r="F354" i="5" a="1"/>
  <c r="F355" i="5" a="1"/>
  <c r="F356" i="5" a="1"/>
  <c r="F357" i="5" a="1"/>
  <c r="F358" i="5" a="1"/>
  <c r="F359" i="5" a="1"/>
  <c r="F360" i="5" a="1"/>
  <c r="F361" i="5" a="1"/>
  <c r="F362" i="5" a="1"/>
  <c r="F363" i="5" a="1"/>
  <c r="F364" i="5" a="1"/>
  <c r="F365" i="5" a="1"/>
  <c r="F366" i="5" a="1"/>
  <c r="F367" i="5" a="1"/>
  <c r="F368" i="5" a="1"/>
  <c r="F369" i="5" a="1"/>
  <c r="F370" i="5" a="1"/>
  <c r="F371" i="5" a="1"/>
  <c r="F372" i="5" a="1"/>
  <c r="F373" i="5" a="1"/>
  <c r="F374" i="5" a="1"/>
  <c r="F375" i="5" a="1"/>
  <c r="F376" i="5" a="1"/>
  <c r="F377" i="5" a="1"/>
  <c r="F378" i="5" a="1"/>
  <c r="F379" i="5" a="1"/>
  <c r="F380" i="5" a="1"/>
  <c r="F381" i="5" a="1"/>
  <c r="F382" i="5" a="1"/>
  <c r="F383" i="5" a="1"/>
  <c r="F384" i="5" a="1"/>
  <c r="F385" i="5" a="1"/>
  <c r="F386" i="5" a="1"/>
  <c r="F387" i="5" a="1"/>
  <c r="F388" i="5" a="1"/>
  <c r="F389" i="5" a="1"/>
  <c r="F390" i="5" a="1"/>
  <c r="F391" i="5" a="1"/>
  <c r="F392" i="5" a="1"/>
  <c r="F393" i="5" a="1"/>
  <c r="F394" i="5" a="1"/>
  <c r="F395" i="5" a="1"/>
  <c r="F396" i="5" a="1"/>
  <c r="F397" i="5" a="1"/>
  <c r="F398" i="5" a="1"/>
  <c r="F399" i="5" a="1"/>
  <c r="F400" i="5" a="1"/>
  <c r="F401" i="5" a="1"/>
  <c r="F402" i="5" a="1"/>
  <c r="F403" i="5" a="1"/>
  <c r="F404" i="5" a="1"/>
  <c r="F405" i="5" a="1"/>
  <c r="F406" i="5" a="1"/>
  <c r="F407" i="5" a="1"/>
  <c r="F408" i="5" a="1"/>
  <c r="F409" i="5" a="1"/>
  <c r="F410" i="5" a="1"/>
  <c r="F411" i="5" a="1"/>
  <c r="F412" i="5" a="1"/>
  <c r="F413" i="5" a="1"/>
  <c r="F414" i="5" a="1"/>
  <c r="F415" i="5" a="1"/>
  <c r="F416" i="5" a="1"/>
  <c r="F417" i="5" a="1"/>
  <c r="F418" i="5" a="1"/>
  <c r="F419" i="5" a="1"/>
  <c r="F420" i="5" a="1"/>
  <c r="F421" i="5" a="1"/>
  <c r="F422" i="5" a="1"/>
  <c r="F423" i="5" a="1"/>
  <c r="F424" i="5" a="1"/>
  <c r="F425" i="5" a="1"/>
  <c r="F426" i="5" a="1"/>
  <c r="F427" i="5" a="1"/>
  <c r="F428" i="5" a="1"/>
  <c r="F429" i="5" a="1"/>
  <c r="F430" i="5" a="1"/>
  <c r="F431" i="5" a="1"/>
  <c r="F432" i="5" a="1"/>
  <c r="F433" i="5" a="1"/>
  <c r="F434" i="5" a="1"/>
  <c r="F435" i="5" a="1"/>
  <c r="F436" i="5" a="1"/>
  <c r="F437" i="5" a="1"/>
  <c r="F438" i="5" a="1"/>
  <c r="F439" i="5" a="1"/>
  <c r="F440" i="5" a="1"/>
  <c r="F441" i="5" a="1"/>
  <c r="F442" i="5" a="1"/>
  <c r="F443" i="5" a="1"/>
  <c r="F444" i="5" a="1"/>
  <c r="F445" i="5" a="1"/>
  <c r="F446" i="5" a="1"/>
  <c r="F447" i="5" a="1"/>
  <c r="F448" i="5" a="1"/>
  <c r="F449" i="5" a="1"/>
  <c r="F450" i="5" a="1"/>
  <c r="F451" i="5" a="1"/>
  <c r="F452" i="5" a="1"/>
  <c r="F453" i="5" a="1"/>
  <c r="F454" i="5" a="1"/>
  <c r="F455" i="5" a="1"/>
  <c r="F456" i="5" a="1"/>
  <c r="F457" i="5" a="1"/>
  <c r="F458" i="5" a="1"/>
  <c r="F459" i="5" a="1"/>
  <c r="F460" i="5" a="1"/>
  <c r="F461" i="5" a="1"/>
  <c r="F462" i="5" a="1"/>
  <c r="F463" i="5" a="1"/>
  <c r="F464" i="5" a="1"/>
  <c r="F465" i="5" a="1"/>
  <c r="F466" i="5" a="1"/>
  <c r="F467" i="5" a="1"/>
  <c r="F468" i="5" a="1"/>
  <c r="F469" i="5" a="1"/>
  <c r="F470" i="5" a="1"/>
  <c r="F471" i="5" a="1"/>
  <c r="F472" i="5" a="1"/>
  <c r="F473" i="5" a="1"/>
  <c r="F474" i="5" a="1"/>
  <c r="F475" i="5" a="1"/>
  <c r="F476" i="5" a="1"/>
  <c r="F477" i="5" a="1"/>
  <c r="F478" i="5" a="1"/>
  <c r="F479" i="5" a="1"/>
  <c r="F480" i="5" a="1"/>
  <c r="F481" i="5" a="1"/>
  <c r="F482" i="5" a="1"/>
  <c r="F483" i="5" a="1"/>
  <c r="F484" i="5" a="1"/>
  <c r="F485" i="5" a="1"/>
  <c r="F486" i="5" a="1"/>
  <c r="F487" i="5" a="1"/>
  <c r="F488" i="5" a="1"/>
  <c r="F489" i="5" a="1"/>
  <c r="F490" i="5" a="1"/>
  <c r="F491" i="5" a="1"/>
  <c r="F492" i="5" a="1"/>
  <c r="F493" i="5" a="1"/>
  <c r="F494" i="5" a="1"/>
  <c r="F495" i="5" a="1"/>
  <c r="F496" i="5" a="1"/>
  <c r="F497" i="5" a="1"/>
  <c r="F498" i="5" a="1"/>
  <c r="F499" i="5" a="1"/>
  <c r="F500" i="5" a="1"/>
  <c r="F501" i="5" a="1"/>
  <c r="F502" i="5" a="1"/>
  <c r="F503" i="5" a="1"/>
  <c r="F504" i="5" a="1"/>
  <c r="F505" i="5" a="1"/>
  <c r="F506" i="5" a="1"/>
  <c r="F507" i="5" a="1"/>
  <c r="F508" i="5" a="1"/>
  <c r="F509" i="5" a="1"/>
  <c r="F510" i="5" a="1"/>
  <c r="F511" i="5" a="1"/>
  <c r="F512" i="5" a="1"/>
  <c r="F513" i="5" a="1"/>
  <c r="F514" i="5" a="1"/>
  <c r="F515" i="5" a="1"/>
  <c r="F516" i="5" a="1"/>
  <c r="F517" i="5" a="1"/>
  <c r="F518" i="5" a="1"/>
  <c r="F519" i="5" a="1"/>
  <c r="F520" i="5" a="1"/>
  <c r="F521" i="5" a="1"/>
  <c r="F522" i="5" a="1"/>
  <c r="F523" i="5" a="1"/>
  <c r="F524" i="5" a="1"/>
  <c r="F525" i="5" a="1"/>
  <c r="F526" i="5" a="1"/>
  <c r="F527" i="5" a="1"/>
  <c r="F528" i="5" a="1"/>
  <c r="F529" i="5" a="1"/>
  <c r="F530" i="5" a="1"/>
  <c r="F531" i="5" a="1"/>
  <c r="F532" i="5" a="1"/>
  <c r="F533" i="5" a="1"/>
  <c r="F534" i="5" a="1"/>
  <c r="F535" i="5" a="1"/>
  <c r="F536" i="5" a="1"/>
  <c r="F537" i="5" a="1"/>
  <c r="F538" i="5" a="1"/>
  <c r="F539" i="5" a="1"/>
  <c r="F540" i="5" a="1"/>
  <c r="F541" i="5" a="1"/>
  <c r="F542" i="5" a="1"/>
  <c r="F543" i="5" a="1"/>
  <c r="F544" i="5" a="1"/>
  <c r="F545" i="5" a="1"/>
  <c r="F546" i="5" a="1"/>
  <c r="F547" i="5" a="1"/>
  <c r="F548" i="5" a="1"/>
  <c r="F549" i="5" a="1"/>
  <c r="F550" i="5" a="1"/>
  <c r="F551" i="5" a="1"/>
  <c r="F552" i="5" a="1"/>
  <c r="F553" i="5" a="1"/>
  <c r="F554" i="5" a="1"/>
  <c r="F555" i="5" a="1"/>
  <c r="F556" i="5" a="1"/>
  <c r="F557" i="5" a="1"/>
  <c r="F558" i="5" a="1"/>
  <c r="F559" i="5" a="1"/>
  <c r="F560" i="5" a="1"/>
  <c r="F561" i="5" a="1"/>
  <c r="F562" i="5" a="1"/>
  <c r="F563" i="5" a="1"/>
  <c r="F564" i="5" a="1"/>
  <c r="F565" i="5" a="1"/>
  <c r="F566" i="5" a="1"/>
  <c r="F567" i="5" a="1"/>
  <c r="F568" i="5" a="1"/>
  <c r="F569" i="5" a="1"/>
  <c r="F570" i="5" a="1"/>
  <c r="F571" i="5" a="1"/>
  <c r="F572" i="5" a="1"/>
  <c r="F573" i="5" a="1"/>
  <c r="F574" i="5" a="1"/>
  <c r="F575" i="5" a="1"/>
  <c r="F576" i="5" a="1"/>
  <c r="F577" i="5" a="1"/>
  <c r="F578" i="5" a="1"/>
  <c r="F579" i="5" a="1"/>
  <c r="F580" i="5" a="1"/>
  <c r="F581" i="5" a="1"/>
  <c r="F582" i="5" a="1"/>
  <c r="F583" i="5" a="1"/>
  <c r="F584" i="5" a="1"/>
  <c r="F585" i="5" a="1"/>
  <c r="F586" i="5" a="1"/>
  <c r="F587" i="5" a="1"/>
  <c r="F588" i="5" a="1"/>
  <c r="F589" i="5" a="1"/>
  <c r="F590" i="5" a="1"/>
  <c r="F591" i="5" a="1"/>
  <c r="F592" i="5" a="1"/>
  <c r="F593" i="5" a="1"/>
  <c r="F594" i="5" a="1"/>
  <c r="F595" i="5" a="1"/>
  <c r="F596" i="5" a="1"/>
  <c r="F597" i="5" a="1"/>
  <c r="F598" i="5" a="1"/>
  <c r="F599" i="5" a="1"/>
  <c r="F600" i="5" a="1"/>
  <c r="F601" i="5" a="1"/>
  <c r="F602" i="5" a="1"/>
  <c r="F603" i="5" a="1"/>
  <c r="F604" i="5" a="1"/>
  <c r="F605" i="5" a="1"/>
  <c r="F606" i="5" a="1"/>
  <c r="F607" i="5" a="1"/>
  <c r="F608" i="5" a="1"/>
  <c r="F609" i="5" a="1"/>
  <c r="F610" i="5" a="1"/>
  <c r="F611" i="5" a="1"/>
  <c r="F612" i="5" a="1"/>
  <c r="F613" i="5" a="1"/>
  <c r="F614" i="5" a="1"/>
  <c r="F615" i="5" a="1"/>
  <c r="F616" i="5" a="1"/>
  <c r="F617" i="5" a="1"/>
  <c r="F618" i="5" a="1"/>
  <c r="F619" i="5" a="1"/>
  <c r="F620" i="5" a="1"/>
  <c r="F621" i="5" a="1"/>
  <c r="F622" i="5" a="1"/>
  <c r="F623" i="5" a="1"/>
  <c r="F624" i="5" a="1"/>
  <c r="F625" i="5" a="1"/>
  <c r="F626" i="5" a="1"/>
  <c r="F627" i="5" a="1"/>
  <c r="F628" i="5" a="1"/>
  <c r="F629" i="5" a="1"/>
  <c r="F630" i="5" a="1"/>
  <c r="F631" i="5" a="1"/>
  <c r="F632" i="5" a="1"/>
  <c r="F633" i="5" a="1"/>
  <c r="F634" i="5" a="1"/>
  <c r="F635" i="5" a="1"/>
  <c r="F636" i="5" a="1"/>
  <c r="F637" i="5" a="1"/>
  <c r="F638" i="5" a="1"/>
  <c r="F639" i="5" a="1"/>
  <c r="F640" i="5" a="1"/>
  <c r="F641" i="5" a="1"/>
  <c r="F642" i="5" a="1"/>
  <c r="F643" i="5" a="1"/>
  <c r="F644" i="5" a="1"/>
  <c r="F645" i="5" a="1"/>
  <c r="F646" i="5" a="1"/>
  <c r="F647" i="5" a="1"/>
  <c r="F648" i="5" a="1"/>
  <c r="F649" i="5" a="1"/>
  <c r="F650" i="5" a="1"/>
  <c r="F651" i="5" a="1"/>
  <c r="F652" i="5" a="1"/>
  <c r="F653" i="5" a="1"/>
  <c r="F654" i="5" a="1"/>
  <c r="F655" i="5" a="1"/>
  <c r="F656" i="5" a="1"/>
  <c r="F657" i="5" a="1"/>
  <c r="F658" i="5" a="1"/>
  <c r="F659" i="5" a="1"/>
  <c r="F660" i="5" a="1"/>
  <c r="F661" i="5" a="1"/>
  <c r="F662" i="5" a="1"/>
  <c r="F663" i="5" a="1"/>
  <c r="F664" i="5" a="1"/>
  <c r="F665" i="5" a="1"/>
  <c r="F666" i="5" a="1"/>
  <c r="F667" i="5" a="1"/>
  <c r="F668" i="5" a="1"/>
  <c r="F669" i="5" a="1"/>
  <c r="F670" i="5" a="1"/>
  <c r="F671" i="5" a="1"/>
  <c r="F672" i="5" a="1"/>
  <c r="F673" i="5" a="1"/>
  <c r="F674" i="5" a="1"/>
  <c r="F675" i="5" a="1"/>
  <c r="F676" i="5" a="1"/>
  <c r="F677" i="5" a="1"/>
  <c r="F678" i="5" a="1"/>
  <c r="F679" i="5" a="1"/>
  <c r="F680" i="5" a="1"/>
  <c r="F681" i="5" a="1"/>
  <c r="F682" i="5" a="1"/>
  <c r="F683" i="5" a="1"/>
  <c r="F684" i="5" a="1"/>
  <c r="F685" i="5" a="1"/>
  <c r="F686" i="5" a="1"/>
  <c r="F687" i="5" a="1"/>
  <c r="F688" i="5" a="1"/>
  <c r="F689" i="5" a="1"/>
  <c r="F690" i="5" a="1"/>
  <c r="F691" i="5" a="1"/>
  <c r="F692" i="5" a="1"/>
  <c r="F693" i="5" a="1"/>
  <c r="F694" i="5" a="1"/>
  <c r="F695" i="5" a="1"/>
  <c r="F696" i="5" a="1"/>
  <c r="F697" i="5" a="1"/>
  <c r="F698" i="5" a="1"/>
  <c r="F699" i="5" a="1"/>
  <c r="F700" i="5" a="1"/>
  <c r="F701" i="5" a="1"/>
  <c r="F702" i="5" a="1"/>
  <c r="F703" i="5" a="1"/>
  <c r="F704" i="5" a="1"/>
  <c r="F705" i="5" a="1"/>
  <c r="F706" i="5" a="1"/>
  <c r="F707" i="5" a="1"/>
  <c r="F708" i="5" a="1"/>
  <c r="F709" i="5" a="1"/>
  <c r="F710" i="5" a="1"/>
  <c r="F711" i="5" a="1"/>
  <c r="F712" i="5" a="1"/>
  <c r="F713" i="5" a="1"/>
  <c r="F714" i="5" a="1"/>
  <c r="F715" i="5" a="1"/>
  <c r="F716" i="5" a="1"/>
  <c r="F717" i="5" a="1"/>
  <c r="F718" i="5" a="1"/>
  <c r="F719" i="5" a="1"/>
  <c r="F720" i="5" a="1"/>
  <c r="F721" i="5" a="1"/>
  <c r="F722" i="5" a="1"/>
  <c r="F723" i="5" a="1"/>
  <c r="F724" i="5" a="1"/>
  <c r="F725" i="5" a="1"/>
  <c r="F726" i="5" a="1"/>
  <c r="F727" i="5" a="1"/>
  <c r="F728" i="5" a="1"/>
  <c r="F729" i="5" a="1"/>
  <c r="F730" i="5" a="1"/>
  <c r="F731" i="5" a="1"/>
  <c r="F732" i="5" a="1"/>
  <c r="F733" i="5" a="1"/>
  <c r="F734" i="5" a="1"/>
  <c r="F735" i="5" a="1"/>
  <c r="F736" i="5" a="1"/>
  <c r="F737" i="5" a="1"/>
  <c r="F738" i="5" a="1"/>
  <c r="F739" i="5" a="1"/>
  <c r="F740" i="5" a="1"/>
  <c r="F741" i="5" a="1"/>
  <c r="F742" i="5" a="1"/>
  <c r="F743" i="5" a="1"/>
  <c r="F744" i="5" a="1"/>
  <c r="F745" i="5" a="1"/>
  <c r="F746" i="5" a="1"/>
  <c r="F747" i="5" a="1"/>
  <c r="F748" i="5" a="1"/>
  <c r="F749" i="5" a="1"/>
  <c r="F750" i="5" a="1"/>
  <c r="F751" i="5" a="1"/>
  <c r="F752" i="5" a="1"/>
  <c r="F753" i="5" a="1"/>
  <c r="F754" i="5" a="1"/>
  <c r="F755" i="5" a="1"/>
  <c r="F756" i="5" a="1"/>
  <c r="F757" i="5" a="1"/>
  <c r="F758" i="5" a="1"/>
  <c r="F759" i="5" a="1"/>
  <c r="F760" i="5" a="1"/>
  <c r="F761" i="5" a="1"/>
  <c r="F762" i="5" a="1"/>
  <c r="F763" i="5" a="1"/>
  <c r="F764" i="5" a="1"/>
  <c r="F765" i="5" a="1"/>
  <c r="F766" i="5" a="1"/>
  <c r="F767" i="5" a="1"/>
  <c r="F768" i="5" a="1"/>
  <c r="F769" i="5" a="1"/>
  <c r="F770" i="5" a="1"/>
  <c r="F771" i="5" a="1"/>
  <c r="F772" i="5" a="1"/>
  <c r="F773" i="5" a="1"/>
  <c r="F774" i="5" a="1"/>
  <c r="F775" i="5" a="1"/>
  <c r="F776" i="5" a="1"/>
  <c r="F777" i="5" a="1"/>
  <c r="F778" i="5" a="1"/>
  <c r="F779" i="5" a="1"/>
  <c r="F780" i="5" a="1"/>
  <c r="F781" i="5" a="1"/>
  <c r="F782" i="5" a="1"/>
  <c r="F783" i="5" a="1"/>
  <c r="F784" i="5" a="1"/>
  <c r="F785" i="5" a="1"/>
  <c r="F786" i="5" a="1"/>
  <c r="F787" i="5" a="1"/>
  <c r="F788" i="5" a="1"/>
  <c r="F789" i="5" a="1"/>
  <c r="F790" i="5" a="1"/>
  <c r="F791" i="5" a="1"/>
  <c r="F792" i="5" a="1"/>
  <c r="F793" i="5" a="1"/>
  <c r="F794" i="5" a="1"/>
  <c r="F795" i="5" a="1"/>
  <c r="F796" i="5" a="1"/>
  <c r="F797" i="5" a="1"/>
  <c r="F798" i="5" a="1"/>
  <c r="F799" i="5" a="1"/>
  <c r="F800" i="5" a="1"/>
  <c r="F801" i="5" a="1"/>
  <c r="F802" i="5" a="1"/>
  <c r="F803" i="5" a="1"/>
  <c r="F804" i="5" a="1"/>
  <c r="F805" i="5" a="1"/>
  <c r="F806" i="5" a="1"/>
  <c r="F807" i="5" a="1"/>
  <c r="F808" i="5" a="1"/>
  <c r="F809" i="5" a="1"/>
  <c r="F810" i="5" a="1"/>
  <c r="F811" i="5" a="1"/>
  <c r="F812" i="5" a="1"/>
  <c r="F813" i="5" a="1"/>
  <c r="F814" i="5" a="1"/>
  <c r="F815" i="5" a="1"/>
  <c r="F816" i="5" a="1"/>
  <c r="F817" i="5" a="1"/>
  <c r="F818" i="5" a="1"/>
  <c r="F819" i="5" a="1"/>
  <c r="F820" i="5" a="1"/>
  <c r="F821" i="5" a="1"/>
  <c r="F822" i="5" a="1"/>
  <c r="F823" i="5" a="1"/>
  <c r="F824" i="5" a="1"/>
  <c r="F825" i="5" a="1"/>
  <c r="F826" i="5" a="1"/>
  <c r="F827" i="5" a="1"/>
  <c r="F828" i="5" a="1"/>
  <c r="F829" i="5" a="1"/>
  <c r="F830" i="5" a="1"/>
  <c r="F831" i="5" a="1"/>
  <c r="F832" i="5" a="1"/>
  <c r="F833" i="5" a="1"/>
  <c r="F834" i="5" a="1"/>
  <c r="F835" i="5" a="1"/>
  <c r="F836" i="5" a="1"/>
  <c r="F837" i="5" a="1"/>
  <c r="F838" i="5" a="1"/>
  <c r="F839" i="5" a="1"/>
  <c r="F840" i="5" a="1"/>
  <c r="F841" i="5" a="1"/>
  <c r="F842" i="5" a="1"/>
  <c r="F843" i="5" a="1"/>
  <c r="F844" i="5" a="1"/>
  <c r="F845" i="5" a="1"/>
  <c r="F846" i="5" a="1"/>
  <c r="F847" i="5" a="1"/>
  <c r="F848" i="5" a="1"/>
  <c r="F849" i="5" a="1"/>
  <c r="F850" i="5" a="1"/>
  <c r="F851" i="5" a="1"/>
  <c r="F852" i="5" a="1"/>
  <c r="F853" i="5" a="1"/>
  <c r="F854" i="5" a="1"/>
  <c r="F855" i="5" a="1"/>
  <c r="F856" i="5" a="1"/>
  <c r="F857" i="5" a="1"/>
  <c r="F858" i="5" a="1"/>
  <c r="F859" i="5" a="1"/>
  <c r="F860" i="5" a="1"/>
  <c r="F861" i="5" a="1"/>
  <c r="F862" i="5" a="1"/>
  <c r="F863" i="5" a="1"/>
  <c r="F864" i="5" a="1"/>
  <c r="F865" i="5" a="1"/>
  <c r="F866" i="5" a="1"/>
  <c r="F867" i="5" a="1"/>
  <c r="F868" i="5" a="1"/>
  <c r="F869" i="5" a="1"/>
  <c r="F870" i="5" a="1"/>
  <c r="F871" i="5" a="1"/>
  <c r="F872" i="5" a="1"/>
  <c r="F873" i="5" a="1"/>
  <c r="F874" i="5" a="1"/>
  <c r="F875" i="5" a="1"/>
  <c r="F876" i="5" a="1"/>
  <c r="F877" i="5" a="1"/>
  <c r="F878" i="5" a="1"/>
  <c r="F879" i="5" a="1"/>
  <c r="F880" i="5" a="1"/>
  <c r="F881" i="5" a="1"/>
  <c r="F882" i="5" a="1"/>
  <c r="F883" i="5" a="1"/>
  <c r="F884" i="5" a="1"/>
  <c r="F885" i="5" a="1"/>
  <c r="F886" i="5" a="1"/>
  <c r="F887" i="5" a="1"/>
  <c r="F888" i="5" a="1"/>
  <c r="F889" i="5" a="1"/>
  <c r="F890" i="5" a="1"/>
  <c r="F891" i="5" a="1"/>
  <c r="F892" i="5" a="1"/>
  <c r="F893" i="5" a="1"/>
  <c r="F894" i="5" a="1"/>
  <c r="F895" i="5" a="1"/>
  <c r="F896" i="5" a="1"/>
  <c r="F897" i="5" a="1"/>
  <c r="F898" i="5" a="1"/>
  <c r="F899" i="5" a="1"/>
  <c r="F900" i="5" a="1"/>
  <c r="F901" i="5" a="1"/>
  <c r="F902" i="5" a="1"/>
  <c r="F903" i="5" a="1"/>
  <c r="F904" i="5" a="1"/>
  <c r="F905" i="5" a="1"/>
  <c r="F906" i="5" a="1"/>
  <c r="F907" i="5" a="1"/>
  <c r="F908" i="5" a="1"/>
  <c r="F909" i="5" a="1"/>
  <c r="F910" i="5" a="1"/>
  <c r="F911" i="5" a="1"/>
  <c r="F912" i="5" a="1"/>
  <c r="F913" i="5" a="1"/>
  <c r="F914" i="5" a="1"/>
  <c r="F915" i="5" a="1"/>
  <c r="F916" i="5" a="1"/>
  <c r="F917" i="5" a="1"/>
  <c r="F918" i="5" a="1"/>
  <c r="F919" i="5" a="1"/>
  <c r="F920" i="5" a="1"/>
  <c r="F921" i="5" a="1"/>
  <c r="F922" i="5" a="1"/>
  <c r="F923" i="5" a="1"/>
  <c r="F924" i="5" a="1"/>
  <c r="F925" i="5" a="1"/>
  <c r="F926" i="5" a="1"/>
  <c r="F927" i="5" a="1"/>
  <c r="F928" i="5" a="1"/>
  <c r="F929" i="5" a="1"/>
  <c r="F930" i="5" a="1"/>
  <c r="F931" i="5" a="1"/>
  <c r="F932" i="5" a="1"/>
  <c r="F933" i="5" a="1"/>
  <c r="F934" i="5" a="1"/>
  <c r="F935" i="5" a="1"/>
  <c r="F936" i="5" a="1"/>
  <c r="F937" i="5" a="1"/>
  <c r="F938" i="5" a="1"/>
  <c r="F939" i="5" a="1"/>
  <c r="F940" i="5" a="1"/>
  <c r="F941" i="5" a="1"/>
  <c r="F942" i="5" a="1"/>
  <c r="F943" i="5" a="1"/>
  <c r="F944" i="5" a="1"/>
  <c r="F945" i="5" a="1"/>
  <c r="F946" i="5" a="1"/>
  <c r="F947" i="5" a="1"/>
  <c r="F948" i="5" a="1"/>
  <c r="F949" i="5" a="1"/>
  <c r="F950" i="5" a="1"/>
  <c r="F951" i="5" a="1"/>
  <c r="F952" i="5" a="1"/>
  <c r="F953" i="5" a="1"/>
  <c r="F954" i="5" a="1"/>
  <c r="F955" i="5" a="1"/>
  <c r="F956" i="5" a="1"/>
  <c r="F957" i="5" a="1"/>
  <c r="F958" i="5" a="1"/>
  <c r="F959" i="5" a="1"/>
  <c r="F960" i="5" a="1"/>
  <c r="F961" i="5" a="1"/>
  <c r="F962" i="5" a="1"/>
  <c r="F963" i="5" a="1"/>
  <c r="F964" i="5" a="1"/>
  <c r="F965" i="5" a="1"/>
  <c r="F966" i="5" a="1"/>
  <c r="F967" i="5" a="1"/>
  <c r="F968" i="5" a="1"/>
  <c r="F969" i="5" a="1"/>
  <c r="F970" i="5" a="1"/>
  <c r="F971" i="5" a="1"/>
  <c r="F972" i="5" a="1"/>
  <c r="F973" i="5" a="1"/>
  <c r="F974" i="5" a="1"/>
  <c r="F975" i="5" a="1"/>
  <c r="F976" i="5" a="1"/>
  <c r="F977" i="5" a="1"/>
  <c r="F978" i="5" a="1"/>
  <c r="F979" i="5" a="1"/>
  <c r="F980" i="5" a="1"/>
  <c r="F981" i="5" a="1"/>
  <c r="F982" i="5" a="1"/>
  <c r="F983" i="5" a="1"/>
  <c r="F984" i="5" a="1"/>
  <c r="F985" i="5" a="1"/>
  <c r="F986" i="5" a="1"/>
  <c r="F987" i="5" a="1"/>
  <c r="F988" i="5" a="1"/>
  <c r="F989" i="5" a="1"/>
  <c r="F990" i="5" a="1"/>
  <c r="F991" i="5" a="1"/>
  <c r="F992" i="5" a="1"/>
  <c r="F993" i="5" a="1"/>
  <c r="F994" i="5" a="1"/>
  <c r="F995" i="5" a="1"/>
  <c r="F996" i="5" a="1"/>
  <c r="F997" i="5" a="1"/>
  <c r="F998" i="5" a="1"/>
  <c r="F999" i="5" a="1"/>
  <c r="F1000" i="5" a="1"/>
  <c r="F1001" i="5" a="1"/>
  <c r="F1002" i="5" a="1"/>
  <c r="F1003" i="5" a="1"/>
  <c r="F1004" i="5" a="1"/>
  <c r="F6" i="5" a="1"/>
  <c r="F7" i="5" a="1"/>
  <c r="F8" i="5" a="1"/>
  <c r="F9" i="5" a="1"/>
  <c r="F10" i="5" a="1"/>
  <c r="F11" i="5" a="1"/>
  <c r="F12" i="5" a="1"/>
  <c r="F13" i="5" a="1"/>
  <c r="F14" i="5" a="1"/>
  <c r="F15" i="5" a="1"/>
  <c r="F16" i="5" a="1"/>
  <c r="F17" i="5" a="1"/>
  <c r="F18" i="5" a="1"/>
  <c r="F19" i="5" a="1"/>
  <c r="F20" i="5" a="1"/>
  <c r="F21" i="5" a="1"/>
  <c r="F22" i="5" a="1"/>
  <c r="F5" i="5" a="1"/>
  <c r="B19" i="5" a="1"/>
  <c r="B20" i="5" a="1"/>
  <c r="B21" i="5" a="1"/>
  <c r="B22" i="5" a="1"/>
  <c r="B23" i="5" a="1"/>
  <c r="B24" i="5" a="1"/>
  <c r="B25" i="5" a="1"/>
  <c r="B26" i="5" a="1"/>
  <c r="B27" i="5" a="1"/>
  <c r="B28" i="5" a="1"/>
  <c r="B29" i="5" a="1"/>
  <c r="B30" i="5" a="1"/>
  <c r="B31" i="5" a="1"/>
  <c r="B32" i="5" a="1"/>
  <c r="B33" i="5" a="1"/>
  <c r="B34" i="5" a="1"/>
  <c r="B35" i="5" a="1"/>
  <c r="B36" i="5" a="1"/>
  <c r="B37" i="5" a="1"/>
  <c r="B38" i="5" a="1"/>
  <c r="B39" i="5" a="1"/>
  <c r="B40" i="5" a="1"/>
  <c r="B41" i="5" a="1"/>
  <c r="B42" i="5" a="1"/>
  <c r="B43" i="5" a="1"/>
  <c r="B44" i="5" a="1"/>
  <c r="B45" i="5" a="1"/>
  <c r="B46" i="5" a="1"/>
  <c r="B47" i="5" a="1"/>
  <c r="B48" i="5" a="1"/>
  <c r="B49" i="5" a="1"/>
  <c r="B50" i="5" a="1"/>
  <c r="B51" i="5" a="1"/>
  <c r="B52" i="5" a="1"/>
  <c r="B53" i="5" a="1"/>
  <c r="B54" i="5" a="1"/>
  <c r="B55" i="5" a="1"/>
  <c r="B56" i="5" a="1"/>
  <c r="B57" i="5" a="1"/>
  <c r="B58" i="5" a="1"/>
  <c r="B59" i="5" a="1"/>
  <c r="B60" i="5" a="1"/>
  <c r="B61" i="5" a="1"/>
  <c r="B62" i="5" a="1"/>
  <c r="B63" i="5" a="1"/>
  <c r="B64" i="5" a="1"/>
  <c r="B65" i="5" a="1"/>
  <c r="B66" i="5" a="1"/>
  <c r="B67" i="5" a="1"/>
  <c r="B68" i="5" a="1"/>
  <c r="B69" i="5" a="1"/>
  <c r="B70" i="5" a="1"/>
  <c r="B71" i="5" a="1"/>
  <c r="B72" i="5" a="1"/>
  <c r="B73" i="5" a="1"/>
  <c r="B74" i="5" a="1"/>
  <c r="B75" i="5" a="1"/>
  <c r="B76" i="5" a="1"/>
  <c r="B77" i="5" a="1"/>
  <c r="B78" i="5" a="1"/>
  <c r="B79" i="5" a="1"/>
  <c r="B80" i="5" a="1"/>
  <c r="B81" i="5" a="1"/>
  <c r="B82" i="5" a="1"/>
  <c r="B83" i="5" a="1"/>
  <c r="B84" i="5" a="1"/>
  <c r="B85" i="5" a="1"/>
  <c r="B86" i="5" a="1"/>
  <c r="B87" i="5" a="1"/>
  <c r="B88" i="5" a="1"/>
  <c r="B89" i="5" a="1"/>
  <c r="B90" i="5" a="1"/>
  <c r="B91" i="5" a="1"/>
  <c r="B92" i="5" a="1"/>
  <c r="B93" i="5" a="1"/>
  <c r="B94" i="5" a="1"/>
  <c r="B95" i="5" a="1"/>
  <c r="B96" i="5" a="1"/>
  <c r="B97" i="5" a="1"/>
  <c r="B98" i="5" a="1"/>
  <c r="B99" i="5" a="1"/>
  <c r="B100" i="5" a="1"/>
  <c r="B101" i="5" a="1"/>
  <c r="B102" i="5" a="1"/>
  <c r="B103" i="5" a="1"/>
  <c r="B104" i="5" a="1"/>
  <c r="B105" i="5" a="1"/>
  <c r="B106" i="5" a="1"/>
  <c r="B107" i="5" a="1"/>
  <c r="B108" i="5" a="1"/>
  <c r="B109" i="5" a="1"/>
  <c r="B110" i="5" a="1"/>
  <c r="B111" i="5" a="1"/>
  <c r="B112" i="5" a="1"/>
  <c r="B113" i="5" a="1"/>
  <c r="B114" i="5" a="1"/>
  <c r="B115" i="5" a="1"/>
  <c r="B116" i="5" a="1"/>
  <c r="B117" i="5" a="1"/>
  <c r="B118" i="5" a="1"/>
  <c r="B119" i="5" a="1"/>
  <c r="B120" i="5" a="1"/>
  <c r="B121" i="5" a="1"/>
  <c r="B122" i="5" a="1"/>
  <c r="B123" i="5" a="1"/>
  <c r="B124" i="5" a="1"/>
  <c r="B125" i="5" a="1"/>
  <c r="B126" i="5" a="1"/>
  <c r="B127" i="5" a="1"/>
  <c r="B128" i="5" a="1"/>
  <c r="B129" i="5" a="1"/>
  <c r="B130" i="5" a="1"/>
  <c r="B131" i="5" a="1"/>
  <c r="B132" i="5" a="1"/>
  <c r="B133" i="5" a="1"/>
  <c r="B134" i="5" a="1"/>
  <c r="B135" i="5" a="1"/>
  <c r="B136" i="5" a="1"/>
  <c r="B137" i="5" a="1"/>
  <c r="B138" i="5" a="1"/>
  <c r="B139" i="5" a="1"/>
  <c r="B140" i="5" a="1"/>
  <c r="B141" i="5" a="1"/>
  <c r="B142" i="5" a="1"/>
  <c r="B143" i="5" a="1"/>
  <c r="B144" i="5" a="1"/>
  <c r="B145" i="5" a="1"/>
  <c r="B146" i="5" a="1"/>
  <c r="B147" i="5" a="1"/>
  <c r="B148" i="5" a="1"/>
  <c r="B149" i="5" a="1"/>
  <c r="B150" i="5" a="1"/>
  <c r="B151" i="5" a="1"/>
  <c r="B152" i="5" a="1"/>
  <c r="B153" i="5" a="1"/>
  <c r="B154" i="5" a="1"/>
  <c r="B155" i="5" a="1"/>
  <c r="B156" i="5" a="1"/>
  <c r="B157" i="5" a="1"/>
  <c r="B158" i="5" a="1"/>
  <c r="B159" i="5" a="1"/>
  <c r="B160" i="5" a="1"/>
  <c r="B161" i="5" a="1"/>
  <c r="B162" i="5" a="1"/>
  <c r="B163" i="5" a="1"/>
  <c r="B164" i="5" a="1"/>
  <c r="B165" i="5" a="1"/>
  <c r="B166" i="5" a="1"/>
  <c r="B167" i="5" a="1"/>
  <c r="B168" i="5" a="1"/>
  <c r="B169" i="5" a="1"/>
  <c r="B170" i="5" a="1"/>
  <c r="B171" i="5" a="1"/>
  <c r="B172" i="5" a="1"/>
  <c r="B173" i="5" a="1"/>
  <c r="B174" i="5" a="1"/>
  <c r="B175" i="5" a="1"/>
  <c r="B176" i="5" a="1"/>
  <c r="B177" i="5" a="1"/>
  <c r="B178" i="5" a="1"/>
  <c r="B179" i="5" a="1"/>
  <c r="B180" i="5" a="1"/>
  <c r="B181" i="5" a="1"/>
  <c r="B182" i="5" a="1"/>
  <c r="B183" i="5" a="1"/>
  <c r="B184" i="5" a="1"/>
  <c r="B185" i="5" a="1"/>
  <c r="B186" i="5" a="1"/>
  <c r="B187" i="5" a="1"/>
  <c r="B188" i="5" a="1"/>
  <c r="B189" i="5" a="1"/>
  <c r="B190" i="5" a="1"/>
  <c r="B191" i="5" a="1"/>
  <c r="B192" i="5" a="1"/>
  <c r="B193" i="5" a="1"/>
  <c r="B194" i="5" a="1"/>
  <c r="B195" i="5" a="1"/>
  <c r="B196" i="5" a="1"/>
  <c r="B197" i="5" a="1"/>
  <c r="B198" i="5" a="1"/>
  <c r="B199" i="5" a="1"/>
  <c r="B200" i="5" a="1"/>
  <c r="B201" i="5" a="1"/>
  <c r="B202" i="5" a="1"/>
  <c r="B203" i="5" a="1"/>
  <c r="B204" i="5" a="1"/>
  <c r="B205" i="5" a="1"/>
  <c r="B206" i="5" a="1"/>
  <c r="B207" i="5" a="1"/>
  <c r="B208" i="5" a="1"/>
  <c r="B209" i="5" a="1"/>
  <c r="B210" i="5" a="1"/>
  <c r="B211" i="5" a="1"/>
  <c r="B212" i="5" a="1"/>
  <c r="B213" i="5" a="1"/>
  <c r="B214" i="5" a="1"/>
  <c r="B215" i="5" a="1"/>
  <c r="B216" i="5" a="1"/>
  <c r="B217" i="5" a="1"/>
  <c r="B218" i="5" a="1"/>
  <c r="B219" i="5" a="1"/>
  <c r="B220" i="5" a="1"/>
  <c r="B221" i="5" a="1"/>
  <c r="B222" i="5" a="1"/>
  <c r="B223" i="5" a="1"/>
  <c r="B224" i="5" a="1"/>
  <c r="B225" i="5" a="1"/>
  <c r="B226" i="5" a="1"/>
  <c r="B227" i="5" a="1"/>
  <c r="B228" i="5" a="1"/>
  <c r="B229" i="5" a="1"/>
  <c r="B230" i="5" a="1"/>
  <c r="B231" i="5" a="1"/>
  <c r="B232" i="5" a="1"/>
  <c r="B233" i="5" a="1"/>
  <c r="B234" i="5" a="1"/>
  <c r="B235" i="5" a="1"/>
  <c r="B236" i="5" a="1"/>
  <c r="B237" i="5" a="1"/>
  <c r="B238" i="5" a="1"/>
  <c r="B239" i="5" a="1"/>
  <c r="B240" i="5" a="1"/>
  <c r="B241" i="5" a="1"/>
  <c r="B242" i="5" a="1"/>
  <c r="B243" i="5" a="1"/>
  <c r="B244" i="5" a="1"/>
  <c r="B245" i="5" a="1"/>
  <c r="B246" i="5" a="1"/>
  <c r="B247" i="5" a="1"/>
  <c r="B248" i="5" a="1"/>
  <c r="B249" i="5" a="1"/>
  <c r="B250" i="5" a="1"/>
  <c r="B251" i="5" a="1"/>
  <c r="B252" i="5" a="1"/>
  <c r="B253" i="5" a="1"/>
  <c r="B254" i="5" a="1"/>
  <c r="B255" i="5" a="1"/>
  <c r="B256" i="5" a="1"/>
  <c r="B257" i="5" a="1"/>
  <c r="B258" i="5" a="1"/>
  <c r="B259" i="5" a="1"/>
  <c r="B260" i="5" a="1"/>
  <c r="B261" i="5" a="1"/>
  <c r="B262" i="5" a="1"/>
  <c r="B263" i="5" a="1"/>
  <c r="B264" i="5" a="1"/>
  <c r="B265" i="5" a="1"/>
  <c r="B266" i="5" a="1"/>
  <c r="B267" i="5" a="1"/>
  <c r="B268" i="5" a="1"/>
  <c r="B269" i="5" a="1"/>
  <c r="B270" i="5" a="1"/>
  <c r="B271" i="5" a="1"/>
  <c r="B272" i="5" a="1"/>
  <c r="B273" i="5" a="1"/>
  <c r="B274" i="5" a="1"/>
  <c r="B275" i="5" a="1"/>
  <c r="B276" i="5" a="1"/>
  <c r="B277" i="5" a="1"/>
  <c r="B278" i="5" a="1"/>
  <c r="B279" i="5" a="1"/>
  <c r="B280" i="5" a="1"/>
  <c r="B281" i="5" a="1"/>
  <c r="B282" i="5" a="1"/>
  <c r="B283" i="5" a="1"/>
  <c r="B284" i="5" a="1"/>
  <c r="B285" i="5" a="1"/>
  <c r="B286" i="5" a="1"/>
  <c r="B287" i="5" a="1"/>
  <c r="B288" i="5" a="1"/>
  <c r="B289" i="5" a="1"/>
  <c r="B290" i="5" a="1"/>
  <c r="B291" i="5" a="1"/>
  <c r="B292" i="5" a="1"/>
  <c r="B293" i="5" a="1"/>
  <c r="B294" i="5" a="1"/>
  <c r="B295" i="5" a="1"/>
  <c r="B296" i="5" a="1"/>
  <c r="B297" i="5" a="1"/>
  <c r="B298" i="5" a="1"/>
  <c r="B299" i="5" a="1"/>
  <c r="B300" i="5" a="1"/>
  <c r="B301" i="5" a="1"/>
  <c r="B302" i="5" a="1"/>
  <c r="B303" i="5" a="1"/>
  <c r="B304" i="5" a="1"/>
  <c r="B305" i="5" a="1"/>
  <c r="B306" i="5" a="1"/>
  <c r="B307" i="5" a="1"/>
  <c r="B308" i="5" a="1"/>
  <c r="B309" i="5" a="1"/>
  <c r="B310" i="5" a="1"/>
  <c r="B311" i="5" a="1"/>
  <c r="B312" i="5" a="1"/>
  <c r="B313" i="5" a="1"/>
  <c r="B314" i="5" a="1"/>
  <c r="B315" i="5" a="1"/>
  <c r="B316" i="5" a="1"/>
  <c r="B317" i="5" a="1"/>
  <c r="B318" i="5" a="1"/>
  <c r="B319" i="5" a="1"/>
  <c r="B320" i="5" a="1"/>
  <c r="B321" i="5" a="1"/>
  <c r="B322" i="5" a="1"/>
  <c r="B323" i="5" a="1"/>
  <c r="B324" i="5" a="1"/>
  <c r="B325" i="5" a="1"/>
  <c r="B326" i="5" a="1"/>
  <c r="B327" i="5" a="1"/>
  <c r="B328" i="5" a="1"/>
  <c r="B329" i="5" a="1"/>
  <c r="B330" i="5" a="1"/>
  <c r="B331" i="5" a="1"/>
  <c r="B332" i="5" a="1"/>
  <c r="B333" i="5" a="1"/>
  <c r="B334" i="5" a="1"/>
  <c r="B335" i="5" a="1"/>
  <c r="B336" i="5" a="1"/>
  <c r="B337" i="5" a="1"/>
  <c r="B338" i="5" a="1"/>
  <c r="B339" i="5" a="1"/>
  <c r="B340" i="5" a="1"/>
  <c r="B341" i="5" a="1"/>
  <c r="B342" i="5" a="1"/>
  <c r="B343" i="5" a="1"/>
  <c r="B344" i="5" a="1"/>
  <c r="B345" i="5" a="1"/>
  <c r="B346" i="5" a="1"/>
  <c r="B347" i="5" a="1"/>
  <c r="B348" i="5" a="1"/>
  <c r="B349" i="5" a="1"/>
  <c r="B350" i="5" a="1"/>
  <c r="B351" i="5" a="1"/>
  <c r="B352" i="5" a="1"/>
  <c r="B353" i="5" a="1"/>
  <c r="B354" i="5" a="1"/>
  <c r="B355" i="5" a="1"/>
  <c r="B356" i="5" a="1"/>
  <c r="B357" i="5" a="1"/>
  <c r="B358" i="5" a="1"/>
  <c r="B359" i="5" a="1"/>
  <c r="B360" i="5" a="1"/>
  <c r="B361" i="5" a="1"/>
  <c r="B362" i="5" a="1"/>
  <c r="B363" i="5" a="1"/>
  <c r="B364" i="5" a="1"/>
  <c r="B365" i="5" a="1"/>
  <c r="B366" i="5" a="1"/>
  <c r="B367" i="5" a="1"/>
  <c r="B368" i="5" a="1"/>
  <c r="B369" i="5" a="1"/>
  <c r="B370" i="5" a="1"/>
  <c r="B371" i="5" a="1"/>
  <c r="B372" i="5" a="1"/>
  <c r="B373" i="5" a="1"/>
  <c r="B374" i="5" a="1"/>
  <c r="B375" i="5" a="1"/>
  <c r="B376" i="5" a="1"/>
  <c r="B377" i="5" a="1"/>
  <c r="B378" i="5" a="1"/>
  <c r="B379" i="5" a="1"/>
  <c r="B380" i="5" a="1"/>
  <c r="B381" i="5" a="1"/>
  <c r="B382" i="5" a="1"/>
  <c r="B383" i="5" a="1"/>
  <c r="B384" i="5" a="1"/>
  <c r="B385" i="5" a="1"/>
  <c r="B386" i="5" a="1"/>
  <c r="B387" i="5" a="1"/>
  <c r="B388" i="5" a="1"/>
  <c r="B389" i="5" a="1"/>
  <c r="B390" i="5" a="1"/>
  <c r="B391" i="5" a="1"/>
  <c r="B392" i="5" a="1"/>
  <c r="B393" i="5" a="1"/>
  <c r="B394" i="5" a="1"/>
  <c r="B395" i="5" a="1"/>
  <c r="B396" i="5" a="1"/>
  <c r="B397" i="5" a="1"/>
  <c r="B398" i="5" a="1"/>
  <c r="B399" i="5" a="1"/>
  <c r="B400" i="5" a="1"/>
  <c r="B401" i="5" a="1"/>
  <c r="B402" i="5" a="1"/>
  <c r="B403" i="5" a="1"/>
  <c r="B404" i="5" a="1"/>
  <c r="B405" i="5" a="1"/>
  <c r="B406" i="5" a="1"/>
  <c r="B407" i="5" a="1"/>
  <c r="B408" i="5" a="1"/>
  <c r="B409" i="5" a="1"/>
  <c r="B410" i="5" a="1"/>
  <c r="B411" i="5" a="1"/>
  <c r="B412" i="5" a="1"/>
  <c r="B413" i="5" a="1"/>
  <c r="B414" i="5" a="1"/>
  <c r="B415" i="5" a="1"/>
  <c r="B416" i="5" a="1"/>
  <c r="B417" i="5" a="1"/>
  <c r="B418" i="5" a="1"/>
  <c r="B419" i="5" a="1"/>
  <c r="B420" i="5" a="1"/>
  <c r="B421" i="5" a="1"/>
  <c r="B422" i="5" a="1"/>
  <c r="B423" i="5" a="1"/>
  <c r="B424" i="5" a="1"/>
  <c r="B425" i="5" a="1"/>
  <c r="B426" i="5" a="1"/>
  <c r="B427" i="5" a="1"/>
  <c r="B428" i="5" a="1"/>
  <c r="B429" i="5" a="1"/>
  <c r="B430" i="5" a="1"/>
  <c r="B431" i="5" a="1"/>
  <c r="B432" i="5" a="1"/>
  <c r="B433" i="5" a="1"/>
  <c r="B434" i="5" a="1"/>
  <c r="B435" i="5" a="1"/>
  <c r="B436" i="5" a="1"/>
  <c r="B437" i="5" a="1"/>
  <c r="B438" i="5" a="1"/>
  <c r="B439" i="5" a="1"/>
  <c r="B440" i="5" a="1"/>
  <c r="B441" i="5" a="1"/>
  <c r="B442" i="5" a="1"/>
  <c r="B443" i="5" a="1"/>
  <c r="B444" i="5" a="1"/>
  <c r="B445" i="5" a="1"/>
  <c r="B446" i="5" a="1"/>
  <c r="B447" i="5" a="1"/>
  <c r="B448" i="5" a="1"/>
  <c r="B449" i="5" a="1"/>
  <c r="B450" i="5" a="1"/>
  <c r="B451" i="5" a="1"/>
  <c r="B452" i="5" a="1"/>
  <c r="B453" i="5" a="1"/>
  <c r="B454" i="5" a="1"/>
  <c r="B455" i="5" a="1"/>
  <c r="B456" i="5" a="1"/>
  <c r="B457" i="5" a="1"/>
  <c r="B458" i="5" a="1"/>
  <c r="B459" i="5" a="1"/>
  <c r="B460" i="5" a="1"/>
  <c r="B461" i="5" a="1"/>
  <c r="B462" i="5" a="1"/>
  <c r="B463" i="5" a="1"/>
  <c r="B464" i="5" a="1"/>
  <c r="B465" i="5" a="1"/>
  <c r="B466" i="5" a="1"/>
  <c r="B467" i="5" a="1"/>
  <c r="B468" i="5" a="1"/>
  <c r="B469" i="5" a="1"/>
  <c r="B470" i="5" a="1"/>
  <c r="B471" i="5" a="1"/>
  <c r="B472" i="5" a="1"/>
  <c r="B473" i="5" a="1"/>
  <c r="B474" i="5" a="1"/>
  <c r="B475" i="5" a="1"/>
  <c r="B476" i="5" a="1"/>
  <c r="B477" i="5" a="1"/>
  <c r="B478" i="5" a="1"/>
  <c r="B479" i="5" a="1"/>
  <c r="B480" i="5" a="1"/>
  <c r="B481" i="5" a="1"/>
  <c r="B482" i="5" a="1"/>
  <c r="B483" i="5" a="1"/>
  <c r="B484" i="5" a="1"/>
  <c r="B485" i="5" a="1"/>
  <c r="B486" i="5" a="1"/>
  <c r="B487" i="5" a="1"/>
  <c r="B488" i="5" a="1"/>
  <c r="B489" i="5" a="1"/>
  <c r="B490" i="5" a="1"/>
  <c r="B491" i="5" a="1"/>
  <c r="B492" i="5" a="1"/>
  <c r="B493" i="5" a="1"/>
  <c r="B494" i="5" a="1"/>
  <c r="B495" i="5" a="1"/>
  <c r="B496" i="5" a="1"/>
  <c r="B497" i="5" a="1"/>
  <c r="B498" i="5" a="1"/>
  <c r="B499" i="5" a="1"/>
  <c r="B500" i="5" a="1"/>
  <c r="B501" i="5" a="1"/>
  <c r="B502" i="5" a="1"/>
  <c r="B503" i="5" a="1"/>
  <c r="B504" i="5" a="1"/>
  <c r="B505" i="5" a="1"/>
  <c r="B506" i="5" a="1"/>
  <c r="B507" i="5" a="1"/>
  <c r="B508" i="5" a="1"/>
  <c r="B509" i="5" a="1"/>
  <c r="B510" i="5" a="1"/>
  <c r="B511" i="5" a="1"/>
  <c r="B512" i="5" a="1"/>
  <c r="B513" i="5" a="1"/>
  <c r="B514" i="5" a="1"/>
  <c r="B515" i="5" a="1"/>
  <c r="B516" i="5" a="1"/>
  <c r="B517" i="5" a="1"/>
  <c r="B518" i="5" a="1"/>
  <c r="B519" i="5" a="1"/>
  <c r="B520" i="5" a="1"/>
  <c r="B521" i="5" a="1"/>
  <c r="B522" i="5" a="1"/>
  <c r="B523" i="5" a="1"/>
  <c r="B524" i="5" a="1"/>
  <c r="B525" i="5" a="1"/>
  <c r="B526" i="5" a="1"/>
  <c r="B527" i="5" a="1"/>
  <c r="B528" i="5" a="1"/>
  <c r="B529" i="5" a="1"/>
  <c r="B530" i="5" a="1"/>
  <c r="B531" i="5" a="1"/>
  <c r="B532" i="5" a="1"/>
  <c r="B533" i="5" a="1"/>
  <c r="B534" i="5" a="1"/>
  <c r="B535" i="5" a="1"/>
  <c r="B536" i="5" a="1"/>
  <c r="B537" i="5" a="1"/>
  <c r="B538" i="5" a="1"/>
  <c r="B539" i="5" a="1"/>
  <c r="B540" i="5" a="1"/>
  <c r="B541" i="5" a="1"/>
  <c r="B542" i="5" a="1"/>
  <c r="B543" i="5" a="1"/>
  <c r="B544" i="5" a="1"/>
  <c r="B545" i="5" a="1"/>
  <c r="B546" i="5" a="1"/>
  <c r="B547" i="5" a="1"/>
  <c r="B548" i="5" a="1"/>
  <c r="B549" i="5" a="1"/>
  <c r="B550" i="5" a="1"/>
  <c r="B551" i="5" a="1"/>
  <c r="B552" i="5" a="1"/>
  <c r="B553" i="5" a="1"/>
  <c r="B554" i="5" a="1"/>
  <c r="B555" i="5" a="1"/>
  <c r="B556" i="5" a="1"/>
  <c r="B557" i="5" a="1"/>
  <c r="B558" i="5" a="1"/>
  <c r="B559" i="5" a="1"/>
  <c r="B560" i="5" a="1"/>
  <c r="B561" i="5" a="1"/>
  <c r="B562" i="5" a="1"/>
  <c r="B563" i="5" a="1"/>
  <c r="B564" i="5" a="1"/>
  <c r="B565" i="5" a="1"/>
  <c r="B566" i="5" a="1"/>
  <c r="B567" i="5" a="1"/>
  <c r="B568" i="5" a="1"/>
  <c r="B569" i="5" a="1"/>
  <c r="B570" i="5" a="1"/>
  <c r="B571" i="5" a="1"/>
  <c r="B572" i="5" a="1"/>
  <c r="B573" i="5" a="1"/>
  <c r="B574" i="5" a="1"/>
  <c r="B575" i="5" a="1"/>
  <c r="B576" i="5" a="1"/>
  <c r="B577" i="5" a="1"/>
  <c r="B578" i="5" a="1"/>
  <c r="B579" i="5" a="1"/>
  <c r="B580" i="5" a="1"/>
  <c r="B581" i="5" a="1"/>
  <c r="B582" i="5" a="1"/>
  <c r="B583" i="5" a="1"/>
  <c r="B584" i="5" a="1"/>
  <c r="B585" i="5" a="1"/>
  <c r="B586" i="5" a="1"/>
  <c r="B587" i="5" a="1"/>
  <c r="B588" i="5" a="1"/>
  <c r="B589" i="5" a="1"/>
  <c r="B590" i="5" a="1"/>
  <c r="B591" i="5" a="1"/>
  <c r="B592" i="5" a="1"/>
  <c r="B593" i="5" a="1"/>
  <c r="B594" i="5" a="1"/>
  <c r="B595" i="5" a="1"/>
  <c r="B596" i="5" a="1"/>
  <c r="B597" i="5" a="1"/>
  <c r="B598" i="5" a="1"/>
  <c r="B599" i="5" a="1"/>
  <c r="B600" i="5" a="1"/>
  <c r="B601" i="5" a="1"/>
  <c r="B602" i="5" a="1"/>
  <c r="B603" i="5" a="1"/>
  <c r="B604" i="5" a="1"/>
  <c r="B605" i="5" a="1"/>
  <c r="B606" i="5" a="1"/>
  <c r="B607" i="5" a="1"/>
  <c r="B608" i="5" a="1"/>
  <c r="B609" i="5" a="1"/>
  <c r="B610" i="5" a="1"/>
  <c r="B611" i="5" a="1"/>
  <c r="B612" i="5" a="1"/>
  <c r="B613" i="5" a="1"/>
  <c r="B614" i="5" a="1"/>
  <c r="B615" i="5" a="1"/>
  <c r="B616" i="5" a="1"/>
  <c r="B617" i="5" a="1"/>
  <c r="B618" i="5" a="1"/>
  <c r="B619" i="5" a="1"/>
  <c r="B620" i="5" a="1"/>
  <c r="B621" i="5" a="1"/>
  <c r="B622" i="5" a="1"/>
  <c r="B623" i="5" a="1"/>
  <c r="B624" i="5" a="1"/>
  <c r="B625" i="5" a="1"/>
  <c r="B626" i="5" a="1"/>
  <c r="B627" i="5" a="1"/>
  <c r="B628" i="5" a="1"/>
  <c r="B629" i="5" a="1"/>
  <c r="B630" i="5" a="1"/>
  <c r="B631" i="5" a="1"/>
  <c r="B632" i="5" a="1"/>
  <c r="B633" i="5" a="1"/>
  <c r="B634" i="5" a="1"/>
  <c r="B635" i="5" a="1"/>
  <c r="B636" i="5" a="1"/>
  <c r="B637" i="5" a="1"/>
  <c r="B638" i="5" a="1"/>
  <c r="B639" i="5" a="1"/>
  <c r="B640" i="5" a="1"/>
  <c r="B641" i="5" a="1"/>
  <c r="B642" i="5" a="1"/>
  <c r="B643" i="5" a="1"/>
  <c r="B644" i="5" a="1"/>
  <c r="B645" i="5" a="1"/>
  <c r="B646" i="5" a="1"/>
  <c r="B647" i="5" a="1"/>
  <c r="B648" i="5" a="1"/>
  <c r="B649" i="5" a="1"/>
  <c r="B650" i="5" a="1"/>
  <c r="B651" i="5" a="1"/>
  <c r="B652" i="5" a="1"/>
  <c r="B653" i="5" a="1"/>
  <c r="B654" i="5" a="1"/>
  <c r="B655" i="5" a="1"/>
  <c r="B656" i="5" a="1"/>
  <c r="B657" i="5" a="1"/>
  <c r="B658" i="5" a="1"/>
  <c r="B659" i="5" a="1"/>
  <c r="B660" i="5" a="1"/>
  <c r="B661" i="5" a="1"/>
  <c r="B662" i="5" a="1"/>
  <c r="B663" i="5" a="1"/>
  <c r="B664" i="5" a="1"/>
  <c r="B665" i="5" a="1"/>
  <c r="B666" i="5" a="1"/>
  <c r="B667" i="5" a="1"/>
  <c r="B668" i="5" a="1"/>
  <c r="B669" i="5" a="1"/>
  <c r="B670" i="5" a="1"/>
  <c r="B671" i="5" a="1"/>
  <c r="B672" i="5" a="1"/>
  <c r="B673" i="5" a="1"/>
  <c r="B674" i="5" a="1"/>
  <c r="B675" i="5" a="1"/>
  <c r="B676" i="5" a="1"/>
  <c r="B677" i="5" a="1"/>
  <c r="B678" i="5" a="1"/>
  <c r="B679" i="5" a="1"/>
  <c r="B680" i="5" a="1"/>
  <c r="B681" i="5" a="1"/>
  <c r="B682" i="5" a="1"/>
  <c r="B683" i="5" a="1"/>
  <c r="B684" i="5" a="1"/>
  <c r="B685" i="5" a="1"/>
  <c r="B686" i="5" a="1"/>
  <c r="B687" i="5" a="1"/>
  <c r="B688" i="5" a="1"/>
  <c r="B689" i="5" a="1"/>
  <c r="B690" i="5" a="1"/>
  <c r="B691" i="5" a="1"/>
  <c r="B692" i="5" a="1"/>
  <c r="B693" i="5" a="1"/>
  <c r="B694" i="5" a="1"/>
  <c r="B695" i="5" a="1"/>
  <c r="B696" i="5" a="1"/>
  <c r="B697" i="5" a="1"/>
  <c r="B698" i="5" a="1"/>
  <c r="B699" i="5" a="1"/>
  <c r="B700" i="5" a="1"/>
  <c r="B701" i="5" a="1"/>
  <c r="B702" i="5" a="1"/>
  <c r="B703" i="5" a="1"/>
  <c r="B704" i="5" a="1"/>
  <c r="B705" i="5" a="1"/>
  <c r="B706" i="5" a="1"/>
  <c r="B707" i="5" a="1"/>
  <c r="B708" i="5" a="1"/>
  <c r="B709" i="5" a="1"/>
  <c r="B710" i="5" a="1"/>
  <c r="B711" i="5" a="1"/>
  <c r="B712" i="5" a="1"/>
  <c r="B713" i="5" a="1"/>
  <c r="B714" i="5" a="1"/>
  <c r="B715" i="5" a="1"/>
  <c r="B716" i="5" a="1"/>
  <c r="B717" i="5" a="1"/>
  <c r="B718" i="5" a="1"/>
  <c r="B719" i="5" a="1"/>
  <c r="B720" i="5" a="1"/>
  <c r="B721" i="5" a="1"/>
  <c r="B722" i="5" a="1"/>
  <c r="B723" i="5" a="1"/>
  <c r="B724" i="5" a="1"/>
  <c r="B725" i="5" a="1"/>
  <c r="B726" i="5" a="1"/>
  <c r="B727" i="5" a="1"/>
  <c r="B728" i="5" a="1"/>
  <c r="B729" i="5" a="1"/>
  <c r="B730" i="5" a="1"/>
  <c r="B731" i="5" a="1"/>
  <c r="B732" i="5" a="1"/>
  <c r="B733" i="5" a="1"/>
  <c r="B734" i="5" a="1"/>
  <c r="B735" i="5" a="1"/>
  <c r="B736" i="5" a="1"/>
  <c r="B737" i="5" a="1"/>
  <c r="B738" i="5" a="1"/>
  <c r="B739" i="5" a="1"/>
  <c r="B740" i="5" a="1"/>
  <c r="B741" i="5" a="1"/>
  <c r="B742" i="5" a="1"/>
  <c r="B743" i="5" a="1"/>
  <c r="B744" i="5" a="1"/>
  <c r="B745" i="5" a="1"/>
  <c r="B746" i="5" a="1"/>
  <c r="B747" i="5" a="1"/>
  <c r="B748" i="5" a="1"/>
  <c r="B749" i="5" a="1"/>
  <c r="B750" i="5" a="1"/>
  <c r="B751" i="5" a="1"/>
  <c r="B752" i="5" a="1"/>
  <c r="B753" i="5" a="1"/>
  <c r="B754" i="5" a="1"/>
  <c r="B755" i="5" a="1"/>
  <c r="B756" i="5" a="1"/>
  <c r="B757" i="5" a="1"/>
  <c r="B758" i="5" a="1"/>
  <c r="B759" i="5" a="1"/>
  <c r="B760" i="5" a="1"/>
  <c r="B761" i="5" a="1"/>
  <c r="B762" i="5" a="1"/>
  <c r="B763" i="5" a="1"/>
  <c r="B764" i="5" a="1"/>
  <c r="B765" i="5" a="1"/>
  <c r="B766" i="5" a="1"/>
  <c r="B767" i="5" a="1"/>
  <c r="B768" i="5" a="1"/>
  <c r="B769" i="5" a="1"/>
  <c r="B770" i="5" a="1"/>
  <c r="B771" i="5" a="1"/>
  <c r="B772" i="5" a="1"/>
  <c r="B773" i="5" a="1"/>
  <c r="B774" i="5" a="1"/>
  <c r="B775" i="5" a="1"/>
  <c r="B776" i="5" a="1"/>
  <c r="B777" i="5" a="1"/>
  <c r="B778" i="5" a="1"/>
  <c r="B779" i="5" a="1"/>
  <c r="B780" i="5" a="1"/>
  <c r="B781" i="5" a="1"/>
  <c r="B782" i="5" a="1"/>
  <c r="B783" i="5" a="1"/>
  <c r="B784" i="5" a="1"/>
  <c r="B785" i="5" a="1"/>
  <c r="B786" i="5" a="1"/>
  <c r="B787" i="5" a="1"/>
  <c r="B788" i="5" a="1"/>
  <c r="B789" i="5" a="1"/>
  <c r="B790" i="5" a="1"/>
  <c r="B791" i="5" a="1"/>
  <c r="B792" i="5" a="1"/>
  <c r="B793" i="5" a="1"/>
  <c r="B794" i="5" a="1"/>
  <c r="B795" i="5" a="1"/>
  <c r="B796" i="5" a="1"/>
  <c r="B797" i="5" a="1"/>
  <c r="B798" i="5" a="1"/>
  <c r="B799" i="5" a="1"/>
  <c r="B800" i="5" a="1"/>
  <c r="B801" i="5" a="1"/>
  <c r="B802" i="5" a="1"/>
  <c r="B803" i="5" a="1"/>
  <c r="B804" i="5" a="1"/>
  <c r="B805" i="5" a="1"/>
  <c r="B806" i="5" a="1"/>
  <c r="B807" i="5" a="1"/>
  <c r="B808" i="5" a="1"/>
  <c r="B809" i="5" a="1"/>
  <c r="B810" i="5" a="1"/>
  <c r="B811" i="5" a="1"/>
  <c r="B812" i="5" a="1"/>
  <c r="B813" i="5" a="1"/>
  <c r="B814" i="5" a="1"/>
  <c r="B815" i="5" a="1"/>
  <c r="B816" i="5" a="1"/>
  <c r="B817" i="5" a="1"/>
  <c r="B818" i="5" a="1"/>
  <c r="B819" i="5" a="1"/>
  <c r="B820" i="5" a="1"/>
  <c r="B821" i="5" a="1"/>
  <c r="B822" i="5" a="1"/>
  <c r="B823" i="5" a="1"/>
  <c r="B824" i="5" a="1"/>
  <c r="B825" i="5" a="1"/>
  <c r="B826" i="5" a="1"/>
  <c r="B827" i="5" a="1"/>
  <c r="B828" i="5" a="1"/>
  <c r="B829" i="5" a="1"/>
  <c r="B830" i="5" a="1"/>
  <c r="B831" i="5" a="1"/>
  <c r="B832" i="5" a="1"/>
  <c r="B833" i="5" a="1"/>
  <c r="B834" i="5" a="1"/>
  <c r="B835" i="5" a="1"/>
  <c r="B836" i="5" a="1"/>
  <c r="B837" i="5" a="1"/>
  <c r="B838" i="5" a="1"/>
  <c r="B839" i="5" a="1"/>
  <c r="B840" i="5" a="1"/>
  <c r="B841" i="5" a="1"/>
  <c r="B842" i="5" a="1"/>
  <c r="B843" i="5" a="1"/>
  <c r="B844" i="5" a="1"/>
  <c r="B845" i="5" a="1"/>
  <c r="B846" i="5" a="1"/>
  <c r="B847" i="5" a="1"/>
  <c r="B848" i="5" a="1"/>
  <c r="B849" i="5" a="1"/>
  <c r="B850" i="5" a="1"/>
  <c r="B851" i="5" a="1"/>
  <c r="B852" i="5" a="1"/>
  <c r="B853" i="5" a="1"/>
  <c r="B854" i="5" a="1"/>
  <c r="B855" i="5" a="1"/>
  <c r="B856" i="5" a="1"/>
  <c r="B857" i="5" a="1"/>
  <c r="B858" i="5" a="1"/>
  <c r="B859" i="5" a="1"/>
  <c r="B860" i="5" a="1"/>
  <c r="B861" i="5" a="1"/>
  <c r="B862" i="5" a="1"/>
  <c r="B863" i="5" a="1"/>
  <c r="B864" i="5" a="1"/>
  <c r="B865" i="5" a="1"/>
  <c r="B866" i="5" a="1"/>
  <c r="B867" i="5" a="1"/>
  <c r="B868" i="5" a="1"/>
  <c r="B869" i="5" a="1"/>
  <c r="B870" i="5" a="1"/>
  <c r="B871" i="5" a="1"/>
  <c r="B872" i="5" a="1"/>
  <c r="B873" i="5" a="1"/>
  <c r="B874" i="5" a="1"/>
  <c r="B875" i="5" a="1"/>
  <c r="B876" i="5" a="1"/>
  <c r="B877" i="5" a="1"/>
  <c r="B878" i="5" a="1"/>
  <c r="B879" i="5" a="1"/>
  <c r="B880" i="5" a="1"/>
  <c r="B881" i="5" a="1"/>
  <c r="B882" i="5" a="1"/>
  <c r="B883" i="5" a="1"/>
  <c r="B884" i="5" a="1"/>
  <c r="B885" i="5" a="1"/>
  <c r="B886" i="5" a="1"/>
  <c r="B887" i="5" a="1"/>
  <c r="B888" i="5" a="1"/>
  <c r="B889" i="5" a="1"/>
  <c r="B890" i="5" a="1"/>
  <c r="B891" i="5" a="1"/>
  <c r="B892" i="5" a="1"/>
  <c r="B893" i="5" a="1"/>
  <c r="B894" i="5" a="1"/>
  <c r="B895" i="5" a="1"/>
  <c r="B896" i="5" a="1"/>
  <c r="B897" i="5" a="1"/>
  <c r="B898" i="5" a="1"/>
  <c r="B899" i="5" a="1"/>
  <c r="B900" i="5" a="1"/>
  <c r="B901" i="5" a="1"/>
  <c r="B902" i="5" a="1"/>
  <c r="B903" i="5" a="1"/>
  <c r="B904" i="5" a="1"/>
  <c r="B905" i="5" a="1"/>
  <c r="B906" i="5" a="1"/>
  <c r="B907" i="5" a="1"/>
  <c r="B908" i="5" a="1"/>
  <c r="B909" i="5" a="1"/>
  <c r="B910" i="5" a="1"/>
  <c r="B911" i="5" a="1"/>
  <c r="B912" i="5" a="1"/>
  <c r="B913" i="5" a="1"/>
  <c r="B914" i="5" a="1"/>
  <c r="B915" i="5" a="1"/>
  <c r="B916" i="5" a="1"/>
  <c r="B917" i="5" a="1"/>
  <c r="B918" i="5" a="1"/>
  <c r="B919" i="5" a="1"/>
  <c r="B920" i="5" a="1"/>
  <c r="B921" i="5" a="1"/>
  <c r="B922" i="5" a="1"/>
  <c r="B923" i="5" a="1"/>
  <c r="B924" i="5" a="1"/>
  <c r="B925" i="5" a="1"/>
  <c r="B926" i="5" a="1"/>
  <c r="B927" i="5" a="1"/>
  <c r="B928" i="5" a="1"/>
  <c r="B929" i="5" a="1"/>
  <c r="B930" i="5" a="1"/>
  <c r="B931" i="5" a="1"/>
  <c r="B932" i="5" a="1"/>
  <c r="B933" i="5" a="1"/>
  <c r="B934" i="5" a="1"/>
  <c r="B935" i="5" a="1"/>
  <c r="B936" i="5" a="1"/>
  <c r="B937" i="5" a="1"/>
  <c r="B938" i="5" a="1"/>
  <c r="B939" i="5" a="1"/>
  <c r="B940" i="5" a="1"/>
  <c r="B941" i="5" a="1"/>
  <c r="B942" i="5" a="1"/>
  <c r="B943" i="5" a="1"/>
  <c r="B944" i="5" a="1"/>
  <c r="B945" i="5" a="1"/>
  <c r="B946" i="5" a="1"/>
  <c r="B947" i="5" a="1"/>
  <c r="B948" i="5" a="1"/>
  <c r="B949" i="5" a="1"/>
  <c r="B950" i="5" a="1"/>
  <c r="B951" i="5" a="1"/>
  <c r="B952" i="5" a="1"/>
  <c r="B953" i="5" a="1"/>
  <c r="B954" i="5" a="1"/>
  <c r="B955" i="5" a="1"/>
  <c r="B956" i="5" a="1"/>
  <c r="B957" i="5" a="1"/>
  <c r="B958" i="5" a="1"/>
  <c r="B959" i="5" a="1"/>
  <c r="B960" i="5" a="1"/>
  <c r="B961" i="5" a="1"/>
  <c r="B962" i="5" a="1"/>
  <c r="B963" i="5" a="1"/>
  <c r="B964" i="5" a="1"/>
  <c r="B965" i="5" a="1"/>
  <c r="B966" i="5" a="1"/>
  <c r="B967" i="5" a="1"/>
  <c r="B968" i="5" a="1"/>
  <c r="B969" i="5" a="1"/>
  <c r="B970" i="5" a="1"/>
  <c r="B971" i="5" a="1"/>
  <c r="B972" i="5" a="1"/>
  <c r="B973" i="5" a="1"/>
  <c r="B974" i="5" a="1"/>
  <c r="B975" i="5" a="1"/>
  <c r="B976" i="5" a="1"/>
  <c r="B977" i="5" a="1"/>
  <c r="B978" i="5" a="1"/>
  <c r="B979" i="5" a="1"/>
  <c r="B980" i="5" a="1"/>
  <c r="B981" i="5" a="1"/>
  <c r="B982" i="5" a="1"/>
  <c r="B983" i="5" a="1"/>
  <c r="B984" i="5" a="1"/>
  <c r="B985" i="5" a="1"/>
  <c r="B986" i="5" a="1"/>
  <c r="B987" i="5" a="1"/>
  <c r="B988" i="5" a="1"/>
  <c r="B989" i="5" a="1"/>
  <c r="B990" i="5" a="1"/>
  <c r="B991" i="5" a="1"/>
  <c r="B992" i="5" a="1"/>
  <c r="B993" i="5" a="1"/>
  <c r="B994" i="5" a="1"/>
  <c r="B995" i="5" a="1"/>
  <c r="B996" i="5" a="1"/>
  <c r="B997" i="5" a="1"/>
  <c r="B998" i="5" a="1"/>
  <c r="B999" i="5" a="1"/>
  <c r="B1000" i="5" a="1"/>
  <c r="B1001" i="5" a="1"/>
  <c r="B1002" i="5" a="1"/>
  <c r="B1003" i="5" a="1"/>
  <c r="B1004" i="5" a="1"/>
  <c r="B6" i="5" a="1"/>
  <c r="B7" i="5" a="1"/>
  <c r="B8" i="5" a="1"/>
  <c r="B9" i="5" a="1"/>
  <c r="B10" i="5" a="1"/>
  <c r="B11" i="5" a="1"/>
  <c r="B12" i="5" a="1"/>
  <c r="B13" i="5" a="1"/>
  <c r="B14" i="5" a="1"/>
  <c r="B15" i="5" a="1"/>
  <c r="B16" i="5" a="1"/>
  <c r="B17" i="5" a="1"/>
  <c r="B18" i="5" a="1"/>
  <c r="B5" i="5" a="1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" i="4"/>
  <c r="R980" i="1" a="1"/>
  <c r="R97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<sst xmlns="http://schemas.openxmlformats.org/spreadsheetml/2006/main" count="21163" uniqueCount="2073">
  <si>
    <t>FirstName</t>
  </si>
  <si>
    <t>Age</t>
  </si>
  <si>
    <t>Gender</t>
  </si>
  <si>
    <t>Department</t>
  </si>
  <si>
    <t>JobTitle</t>
  </si>
  <si>
    <t>Employee ID</t>
  </si>
  <si>
    <t>Salary</t>
  </si>
  <si>
    <t>Date Of Hire</t>
  </si>
  <si>
    <t>Phone</t>
  </si>
  <si>
    <t>Address</t>
  </si>
  <si>
    <t>City</t>
  </si>
  <si>
    <t>State</t>
  </si>
  <si>
    <t>Country</t>
  </si>
  <si>
    <t>Performance Rating</t>
  </si>
  <si>
    <t>Manager ID</t>
  </si>
  <si>
    <t>Aaron</t>
  </si>
  <si>
    <t>Female</t>
  </si>
  <si>
    <t>Finance</t>
  </si>
  <si>
    <t>Project Manager</t>
  </si>
  <si>
    <t>555-01001</t>
  </si>
  <si>
    <t>1 Main St</t>
  </si>
  <si>
    <t>New York</t>
  </si>
  <si>
    <t>NK</t>
  </si>
  <si>
    <t>USA</t>
  </si>
  <si>
    <t>Abby</t>
  </si>
  <si>
    <t>Other</t>
  </si>
  <si>
    <t>Development</t>
  </si>
  <si>
    <t>Sales Executive</t>
  </si>
  <si>
    <t>555-01002</t>
  </si>
  <si>
    <t>2 Main St</t>
  </si>
  <si>
    <t>Paris</t>
  </si>
  <si>
    <t>PA</t>
  </si>
  <si>
    <t>France</t>
  </si>
  <si>
    <t>Abel</t>
  </si>
  <si>
    <t>Analyst</t>
  </si>
  <si>
    <t>555-01003</t>
  </si>
  <si>
    <t>3 Main St</t>
  </si>
  <si>
    <t>London</t>
  </si>
  <si>
    <t>LN</t>
  </si>
  <si>
    <t>UK</t>
  </si>
  <si>
    <t>Abigail</t>
  </si>
  <si>
    <t>555-01004</t>
  </si>
  <si>
    <t>4 Main St</t>
  </si>
  <si>
    <t>Dubai</t>
  </si>
  <si>
    <t>DB</t>
  </si>
  <si>
    <t>UAE</t>
  </si>
  <si>
    <t>Abraham</t>
  </si>
  <si>
    <t>Support</t>
  </si>
  <si>
    <t>Software Engineer</t>
  </si>
  <si>
    <t>555-01005</t>
  </si>
  <si>
    <t>5 Main St</t>
  </si>
  <si>
    <t>Tokyo</t>
  </si>
  <si>
    <t>TK</t>
  </si>
  <si>
    <t>Japan</t>
  </si>
  <si>
    <t>Adam</t>
  </si>
  <si>
    <t>Marketing</t>
  </si>
  <si>
    <t>555-01006</t>
  </si>
  <si>
    <t>6 Main St</t>
  </si>
  <si>
    <t>Sydney</t>
  </si>
  <si>
    <t>SD</t>
  </si>
  <si>
    <t>Australia</t>
  </si>
  <si>
    <t>Addison</t>
  </si>
  <si>
    <t>Male</t>
  </si>
  <si>
    <t>555-01007</t>
  </si>
  <si>
    <t>7 Main St</t>
  </si>
  <si>
    <t>Adele</t>
  </si>
  <si>
    <t>555-01008</t>
  </si>
  <si>
    <t>8 Main St</t>
  </si>
  <si>
    <t>Adrian</t>
  </si>
  <si>
    <t>HR</t>
  </si>
  <si>
    <t>555-01009</t>
  </si>
  <si>
    <t>9 Main St</t>
  </si>
  <si>
    <t>Aidan</t>
  </si>
  <si>
    <t>555-01000</t>
  </si>
  <si>
    <t>10 Main St</t>
  </si>
  <si>
    <t>Ainsley</t>
  </si>
  <si>
    <t>11 Main St</t>
  </si>
  <si>
    <t>Aisha</t>
  </si>
  <si>
    <t>12 Main St</t>
  </si>
  <si>
    <t>Aiden</t>
  </si>
  <si>
    <t>HR Specialist</t>
  </si>
  <si>
    <t>13 Main St</t>
  </si>
  <si>
    <t>Alan</t>
  </si>
  <si>
    <t>14 Main St</t>
  </si>
  <si>
    <t>Alana</t>
  </si>
  <si>
    <t>15 Main St</t>
  </si>
  <si>
    <t>Albert</t>
  </si>
  <si>
    <t>16 Main St</t>
  </si>
  <si>
    <t>Alexa</t>
  </si>
  <si>
    <t>17 Main St</t>
  </si>
  <si>
    <t>Alexander</t>
  </si>
  <si>
    <t>18 Main St</t>
  </si>
  <si>
    <t>Alexis</t>
  </si>
  <si>
    <t>19 Main St</t>
  </si>
  <si>
    <t>Alice</t>
  </si>
  <si>
    <t>20 Main St</t>
  </si>
  <si>
    <t>Alicia</t>
  </si>
  <si>
    <t>21 Main St</t>
  </si>
  <si>
    <t>Alison</t>
  </si>
  <si>
    <t>22 Main St</t>
  </si>
  <si>
    <t>Alistair</t>
  </si>
  <si>
    <t>23 Main St</t>
  </si>
  <si>
    <t>Allie</t>
  </si>
  <si>
    <t>24 Main St</t>
  </si>
  <si>
    <t>Ally</t>
  </si>
  <si>
    <t>25 Main St</t>
  </si>
  <si>
    <t>Alma</t>
  </si>
  <si>
    <t>26 Main St</t>
  </si>
  <si>
    <t>Alondra</t>
  </si>
  <si>
    <t>27 Main St</t>
  </si>
  <si>
    <t>Alvin</t>
  </si>
  <si>
    <t>28 Main St</t>
  </si>
  <si>
    <t>Alyssa</t>
  </si>
  <si>
    <t>29 Main St</t>
  </si>
  <si>
    <t>Amara</t>
  </si>
  <si>
    <t>30 Main St</t>
  </si>
  <si>
    <t>Amber</t>
  </si>
  <si>
    <t>31 Main St</t>
  </si>
  <si>
    <t>Amelia</t>
  </si>
  <si>
    <t>32 Main St</t>
  </si>
  <si>
    <t>Amir</t>
  </si>
  <si>
    <t>33 Main St</t>
  </si>
  <si>
    <t>Amos</t>
  </si>
  <si>
    <t>34 Main St</t>
  </si>
  <si>
    <t>Amy</t>
  </si>
  <si>
    <t>35 Main St</t>
  </si>
  <si>
    <t>Ana</t>
  </si>
  <si>
    <t>36 Main St</t>
  </si>
  <si>
    <t>Anabelle</t>
  </si>
  <si>
    <t>37 Main St</t>
  </si>
  <si>
    <t>Andre</t>
  </si>
  <si>
    <t>38 Main St</t>
  </si>
  <si>
    <t>Andrea</t>
  </si>
  <si>
    <t>39 Main St</t>
  </si>
  <si>
    <t>Andrew</t>
  </si>
  <si>
    <t>40 Main St</t>
  </si>
  <si>
    <t>Angela</t>
  </si>
  <si>
    <t>41 Main St</t>
  </si>
  <si>
    <t>Angelica</t>
  </si>
  <si>
    <t>42 Main St</t>
  </si>
  <si>
    <t>Angelina</t>
  </si>
  <si>
    <t>43 Main St</t>
  </si>
  <si>
    <t>Angelo</t>
  </si>
  <si>
    <t>44 Main St</t>
  </si>
  <si>
    <t>Anika</t>
  </si>
  <si>
    <t>45 Main St</t>
  </si>
  <si>
    <t>Anissa</t>
  </si>
  <si>
    <t>46 Main St</t>
  </si>
  <si>
    <t>Ann</t>
  </si>
  <si>
    <t>47 Main St</t>
  </si>
  <si>
    <t>Anna</t>
  </si>
  <si>
    <t>48 Main St</t>
  </si>
  <si>
    <t>Annabel</t>
  </si>
  <si>
    <t>49 Main St</t>
  </si>
  <si>
    <t>Annabella</t>
  </si>
  <si>
    <t>50 Main St</t>
  </si>
  <si>
    <t>Annalise</t>
  </si>
  <si>
    <t>51 Main St</t>
  </si>
  <si>
    <t>Anne</t>
  </si>
  <si>
    <t>52 Main St</t>
  </si>
  <si>
    <t>Annette</t>
  </si>
  <si>
    <t>53 Main St</t>
  </si>
  <si>
    <t>Annie</t>
  </si>
  <si>
    <t>54 Main St</t>
  </si>
  <si>
    <t>Anthony</t>
  </si>
  <si>
    <t>55 Main St</t>
  </si>
  <si>
    <t>Antonio</t>
  </si>
  <si>
    <t>56 Main St</t>
  </si>
  <si>
    <t>April</t>
  </si>
  <si>
    <t>57 Main St</t>
  </si>
  <si>
    <t>Arabella</t>
  </si>
  <si>
    <t>58 Main St</t>
  </si>
  <si>
    <t>Archer</t>
  </si>
  <si>
    <t>59 Main St</t>
  </si>
  <si>
    <t>Arden</t>
  </si>
  <si>
    <t>60 Main St</t>
  </si>
  <si>
    <t>Ariel</t>
  </si>
  <si>
    <t>61 Main St</t>
  </si>
  <si>
    <t>Ariella</t>
  </si>
  <si>
    <t>62 Main St</t>
  </si>
  <si>
    <t>Arlo</t>
  </si>
  <si>
    <t>63 Main St</t>
  </si>
  <si>
    <t>Arnold</t>
  </si>
  <si>
    <t>64 Main St</t>
  </si>
  <si>
    <t>Arthur</t>
  </si>
  <si>
    <t>65 Main St</t>
  </si>
  <si>
    <t>Arya</t>
  </si>
  <si>
    <t>66 Main St</t>
  </si>
  <si>
    <t>Asher</t>
  </si>
  <si>
    <t>67 Main St</t>
  </si>
  <si>
    <t>Ashley</t>
  </si>
  <si>
    <t>68 Main St</t>
  </si>
  <si>
    <t>Ashton</t>
  </si>
  <si>
    <t>69 Main St</t>
  </si>
  <si>
    <t>Athena</t>
  </si>
  <si>
    <t>70 Main St</t>
  </si>
  <si>
    <t>Aubrey</t>
  </si>
  <si>
    <t>71 Main St</t>
  </si>
  <si>
    <t>Audrey</t>
  </si>
  <si>
    <t>72 Main St</t>
  </si>
  <si>
    <t>August</t>
  </si>
  <si>
    <t>73 Main St</t>
  </si>
  <si>
    <t>Aurora</t>
  </si>
  <si>
    <t>74 Main St</t>
  </si>
  <si>
    <t>Austin</t>
  </si>
  <si>
    <t>75 Main St</t>
  </si>
  <si>
    <t>Autumn</t>
  </si>
  <si>
    <t>76 Main St</t>
  </si>
  <si>
    <t>Ava</t>
  </si>
  <si>
    <t>77 Main St</t>
  </si>
  <si>
    <t>Avery</t>
  </si>
  <si>
    <t>78 Main St</t>
  </si>
  <si>
    <t>Axel</t>
  </si>
  <si>
    <t>79 Main St</t>
  </si>
  <si>
    <t>Bailey</t>
  </si>
  <si>
    <t>80 Main St</t>
  </si>
  <si>
    <t>Barbara</t>
  </si>
  <si>
    <t>81 Main St</t>
  </si>
  <si>
    <t>Barnaby</t>
  </si>
  <si>
    <t>82 Main St</t>
  </si>
  <si>
    <t>Barrett</t>
  </si>
  <si>
    <t>83 Main St</t>
  </si>
  <si>
    <t>Barry</t>
  </si>
  <si>
    <t>84 Main St</t>
  </si>
  <si>
    <t>Beatrice</t>
  </si>
  <si>
    <t>85 Main St</t>
  </si>
  <si>
    <t>Beau</t>
  </si>
  <si>
    <t>86 Main St</t>
  </si>
  <si>
    <t>Becca</t>
  </si>
  <si>
    <t>87 Main St</t>
  </si>
  <si>
    <t>Becky</t>
  </si>
  <si>
    <t>88 Main St</t>
  </si>
  <si>
    <t>Bella</t>
  </si>
  <si>
    <t>89 Main St</t>
  </si>
  <si>
    <t>Belle</t>
  </si>
  <si>
    <t>90 Main St</t>
  </si>
  <si>
    <t>Ben</t>
  </si>
  <si>
    <t>91 Main St</t>
  </si>
  <si>
    <t>Benjamin</t>
  </si>
  <si>
    <t>92 Main St</t>
  </si>
  <si>
    <t>Bennett</t>
  </si>
  <si>
    <t>93 Main St</t>
  </si>
  <si>
    <t>Benny</t>
  </si>
  <si>
    <t>94 Main St</t>
  </si>
  <si>
    <t>Bernard</t>
  </si>
  <si>
    <t>95 Main St</t>
  </si>
  <si>
    <t>Beth</t>
  </si>
  <si>
    <t>96 Main St</t>
  </si>
  <si>
    <t>Bethany</t>
  </si>
  <si>
    <t>97 Main St</t>
  </si>
  <si>
    <t>Betsy</t>
  </si>
  <si>
    <t>98 Main St</t>
  </si>
  <si>
    <t>Betty</t>
  </si>
  <si>
    <t>99 Main St</t>
  </si>
  <si>
    <t>Bianca</t>
  </si>
  <si>
    <t>100 Main St</t>
  </si>
  <si>
    <t>Bill</t>
  </si>
  <si>
    <t>101 Main St</t>
  </si>
  <si>
    <t>Billy</t>
  </si>
  <si>
    <t>102 Main St</t>
  </si>
  <si>
    <t>Blaine</t>
  </si>
  <si>
    <t>103 Main St</t>
  </si>
  <si>
    <t>Blake</t>
  </si>
  <si>
    <t>104 Main St</t>
  </si>
  <si>
    <t>Blair</t>
  </si>
  <si>
    <t>105 Main St</t>
  </si>
  <si>
    <t>Blanche</t>
  </si>
  <si>
    <t>106 Main St</t>
  </si>
  <si>
    <t>Blayne</t>
  </si>
  <si>
    <t>107 Main St</t>
  </si>
  <si>
    <t>Bo</t>
  </si>
  <si>
    <t>108 Main St</t>
  </si>
  <si>
    <t>Bob</t>
  </si>
  <si>
    <t>109 Main St</t>
  </si>
  <si>
    <t>Bobby</t>
  </si>
  <si>
    <t>110 Main St</t>
  </si>
  <si>
    <t>Bonnie</t>
  </si>
  <si>
    <t>111 Main St</t>
  </si>
  <si>
    <t>Brad</t>
  </si>
  <si>
    <t>112 Main St</t>
  </si>
  <si>
    <t>Bradley</t>
  </si>
  <si>
    <t>113 Main St</t>
  </si>
  <si>
    <t>Brady</t>
  </si>
  <si>
    <t>114 Main St</t>
  </si>
  <si>
    <t>Brandon</t>
  </si>
  <si>
    <t>115 Main St</t>
  </si>
  <si>
    <t>Brandy</t>
  </si>
  <si>
    <t>116 Main St</t>
  </si>
  <si>
    <t>Breanna</t>
  </si>
  <si>
    <t>117 Main St</t>
  </si>
  <si>
    <t>Brenda</t>
  </si>
  <si>
    <t>118 Main St</t>
  </si>
  <si>
    <t>Brent</t>
  </si>
  <si>
    <t>119 Main St</t>
  </si>
  <si>
    <t>Brett</t>
  </si>
  <si>
    <t>120 Main St</t>
  </si>
  <si>
    <t>Brian</t>
  </si>
  <si>
    <t>121 Main St</t>
  </si>
  <si>
    <t>Briana</t>
  </si>
  <si>
    <t>122 Main St</t>
  </si>
  <si>
    <t>Brianna</t>
  </si>
  <si>
    <t>123 Main St</t>
  </si>
  <si>
    <t>Bridget</t>
  </si>
  <si>
    <t>124 Main St</t>
  </si>
  <si>
    <t>sum(</t>
  </si>
  <si>
    <t>Britt</t>
  </si>
  <si>
    <t>125 Main St</t>
  </si>
  <si>
    <t>Brittany</t>
  </si>
  <si>
    <t>126 Main St</t>
  </si>
  <si>
    <t>Brooke</t>
  </si>
  <si>
    <t>127 Main St</t>
  </si>
  <si>
    <t>Brooks</t>
  </si>
  <si>
    <t>128 Main St</t>
  </si>
  <si>
    <t>Bruce</t>
  </si>
  <si>
    <t>129 Main St</t>
  </si>
  <si>
    <t>Bryan</t>
  </si>
  <si>
    <t>130 Main St</t>
  </si>
  <si>
    <t>Bryce</t>
  </si>
  <si>
    <t>131 Main St</t>
  </si>
  <si>
    <t>Bryn</t>
  </si>
  <si>
    <t>132 Main St</t>
  </si>
  <si>
    <t>Brynn</t>
  </si>
  <si>
    <t>133 Main St</t>
  </si>
  <si>
    <t>Buddy</t>
  </si>
  <si>
    <t>134 Main St</t>
  </si>
  <si>
    <t>Burke</t>
  </si>
  <si>
    <t>135 Main St</t>
  </si>
  <si>
    <t>Byron</t>
  </si>
  <si>
    <t>136 Main St</t>
  </si>
  <si>
    <t>Cade</t>
  </si>
  <si>
    <t>137 Main St</t>
  </si>
  <si>
    <t>Caden</t>
  </si>
  <si>
    <t>138 Main St</t>
  </si>
  <si>
    <t>Caitlin</t>
  </si>
  <si>
    <t>139 Main St</t>
  </si>
  <si>
    <t>Caleb</t>
  </si>
  <si>
    <t>140 Main St</t>
  </si>
  <si>
    <t>Callie</t>
  </si>
  <si>
    <t>141 Main St</t>
  </si>
  <si>
    <t>Calvin</t>
  </si>
  <si>
    <t>142 Main St</t>
  </si>
  <si>
    <t>Cameron</t>
  </si>
  <si>
    <t>143 Main St</t>
  </si>
  <si>
    <t>Camilla</t>
  </si>
  <si>
    <t>144 Main St</t>
  </si>
  <si>
    <t>Camille</t>
  </si>
  <si>
    <t>145 Main St</t>
  </si>
  <si>
    <t>Candace</t>
  </si>
  <si>
    <t>146 Main St</t>
  </si>
  <si>
    <t>Candy</t>
  </si>
  <si>
    <t>147 Main St</t>
  </si>
  <si>
    <t>Cara</t>
  </si>
  <si>
    <t>148 Main St</t>
  </si>
  <si>
    <t>Carl</t>
  </si>
  <si>
    <t>149 Main St</t>
  </si>
  <si>
    <t>Carla</t>
  </si>
  <si>
    <t>150 Main St</t>
  </si>
  <si>
    <t>Carlee</t>
  </si>
  <si>
    <t>151 Main St</t>
  </si>
  <si>
    <t>Carley</t>
  </si>
  <si>
    <t>152 Main St</t>
  </si>
  <si>
    <t>Carlos</t>
  </si>
  <si>
    <t>153 Main St</t>
  </si>
  <si>
    <t>Carly</t>
  </si>
  <si>
    <t>154 Main St</t>
  </si>
  <si>
    <t>Carmen</t>
  </si>
  <si>
    <t>155 Main St</t>
  </si>
  <si>
    <t>Carol</t>
  </si>
  <si>
    <t>156 Main St</t>
  </si>
  <si>
    <t>Caroline</t>
  </si>
  <si>
    <t>157 Main St</t>
  </si>
  <si>
    <t>Carolyn</t>
  </si>
  <si>
    <t>158 Main St</t>
  </si>
  <si>
    <t>Carrie</t>
  </si>
  <si>
    <t>159 Main St</t>
  </si>
  <si>
    <t>Carson</t>
  </si>
  <si>
    <t>160 Main St</t>
  </si>
  <si>
    <t>Carter</t>
  </si>
  <si>
    <t>161 Main St</t>
  </si>
  <si>
    <t>Casey</t>
  </si>
  <si>
    <t>162 Main St</t>
  </si>
  <si>
    <t>Cassandra</t>
  </si>
  <si>
    <t>163 Main St</t>
  </si>
  <si>
    <t>Cassie</t>
  </si>
  <si>
    <t>164 Main St</t>
  </si>
  <si>
    <t>Catherine</t>
  </si>
  <si>
    <t>165 Main St</t>
  </si>
  <si>
    <t>Cathy</t>
  </si>
  <si>
    <t>166 Main St</t>
  </si>
  <si>
    <t>Cayden</t>
  </si>
  <si>
    <t>167 Main St</t>
  </si>
  <si>
    <t>Cecil</t>
  </si>
  <si>
    <t>168 Main St</t>
  </si>
  <si>
    <t>Cedric</t>
  </si>
  <si>
    <t>169 Main St</t>
  </si>
  <si>
    <t>Celeste</t>
  </si>
  <si>
    <t>170 Main St</t>
  </si>
  <si>
    <t>Celine</t>
  </si>
  <si>
    <t>171 Main St</t>
  </si>
  <si>
    <t>Chad</t>
  </si>
  <si>
    <t>172 Main St</t>
  </si>
  <si>
    <t>Chance</t>
  </si>
  <si>
    <t>173 Main St</t>
  </si>
  <si>
    <t>Chandler</t>
  </si>
  <si>
    <t>174 Main St</t>
  </si>
  <si>
    <t>Chanel</t>
  </si>
  <si>
    <t>175 Main St</t>
  </si>
  <si>
    <t>Channing</t>
  </si>
  <si>
    <t>176 Main St</t>
  </si>
  <si>
    <t>Charles</t>
  </si>
  <si>
    <t>177 Main St</t>
  </si>
  <si>
    <t>Charlie</t>
  </si>
  <si>
    <t>178 Main St</t>
  </si>
  <si>
    <t>Charlotte</t>
  </si>
  <si>
    <t>179 Main St</t>
  </si>
  <si>
    <t>Chase</t>
  </si>
  <si>
    <t>180 Main St</t>
  </si>
  <si>
    <t>Chelsea</t>
  </si>
  <si>
    <t>181 Main St</t>
  </si>
  <si>
    <t>Cheryl</t>
  </si>
  <si>
    <t>182 Main St</t>
  </si>
  <si>
    <t>Cheyenne</t>
  </si>
  <si>
    <t>183 Main St</t>
  </si>
  <si>
    <t>Chloe</t>
  </si>
  <si>
    <t>184 Main St</t>
  </si>
  <si>
    <t>Chris</t>
  </si>
  <si>
    <t>185 Main St</t>
  </si>
  <si>
    <t>Christian</t>
  </si>
  <si>
    <t>186 Main St</t>
  </si>
  <si>
    <t>Christina</t>
  </si>
  <si>
    <t>187 Main St</t>
  </si>
  <si>
    <t>Christine</t>
  </si>
  <si>
    <t>188 Main St</t>
  </si>
  <si>
    <t>Christopher</t>
  </si>
  <si>
    <t>189 Main St</t>
  </si>
  <si>
    <t>Cindy</t>
  </si>
  <si>
    <t>190 Main St</t>
  </si>
  <si>
    <t>Claire</t>
  </si>
  <si>
    <t>191 Main St</t>
  </si>
  <si>
    <t>Clara</t>
  </si>
  <si>
    <t>192 Main St</t>
  </si>
  <si>
    <t>Clarence</t>
  </si>
  <si>
    <t>193 Main St</t>
  </si>
  <si>
    <t>Clark</t>
  </si>
  <si>
    <t>194 Main St</t>
  </si>
  <si>
    <t>Claudia</t>
  </si>
  <si>
    <t>195 Main St</t>
  </si>
  <si>
    <t>Clay</t>
  </si>
  <si>
    <t>196 Main St</t>
  </si>
  <si>
    <t>Clayton</t>
  </si>
  <si>
    <t>197 Main St</t>
  </si>
  <si>
    <t>Clementine</t>
  </si>
  <si>
    <t>198 Main St</t>
  </si>
  <si>
    <t>Cliff</t>
  </si>
  <si>
    <t>199 Main St</t>
  </si>
  <si>
    <t>Clifford</t>
  </si>
  <si>
    <t>200 Main St</t>
  </si>
  <si>
    <t>Clinton</t>
  </si>
  <si>
    <t>201 Main St</t>
  </si>
  <si>
    <t>Clive</t>
  </si>
  <si>
    <t>202 Main St</t>
  </si>
  <si>
    <t>Clyde</t>
  </si>
  <si>
    <t>203 Main St</t>
  </si>
  <si>
    <t>Cody</t>
  </si>
  <si>
    <t>204 Main St</t>
  </si>
  <si>
    <t>Colby</t>
  </si>
  <si>
    <t>205 Main St</t>
  </si>
  <si>
    <t>Cole</t>
  </si>
  <si>
    <t>206 Main St</t>
  </si>
  <si>
    <t>Colette</t>
  </si>
  <si>
    <t>207 Main St</t>
  </si>
  <si>
    <t>Colin</t>
  </si>
  <si>
    <t>208 Main St</t>
  </si>
  <si>
    <t>Colleen</t>
  </si>
  <si>
    <t>209 Main St</t>
  </si>
  <si>
    <t>Collin</t>
  </si>
  <si>
    <t>210 Main St</t>
  </si>
  <si>
    <t>Colt</t>
  </si>
  <si>
    <t>211 Main St</t>
  </si>
  <si>
    <t>Colton</t>
  </si>
  <si>
    <t>212 Main St</t>
  </si>
  <si>
    <t>Conner</t>
  </si>
  <si>
    <t>213 Main St</t>
  </si>
  <si>
    <t>Connor</t>
  </si>
  <si>
    <t>214 Main St</t>
  </si>
  <si>
    <t>Conrad</t>
  </si>
  <si>
    <t>215 Main St</t>
  </si>
  <si>
    <t>Cooper</t>
  </si>
  <si>
    <t>216 Main St</t>
  </si>
  <si>
    <t>Coral</t>
  </si>
  <si>
    <t>217 Main St</t>
  </si>
  <si>
    <t>Corey</t>
  </si>
  <si>
    <t>218 Main St</t>
  </si>
  <si>
    <t>Corinne</t>
  </si>
  <si>
    <t>219 Main St</t>
  </si>
  <si>
    <t>Cornelius</t>
  </si>
  <si>
    <t>220 Main St</t>
  </si>
  <si>
    <t>Cory</t>
  </si>
  <si>
    <t>221 Main St</t>
  </si>
  <si>
    <t>Courtney</t>
  </si>
  <si>
    <t>222 Main St</t>
  </si>
  <si>
    <t>Craig</t>
  </si>
  <si>
    <t>223 Main St</t>
  </si>
  <si>
    <t>Crystal</t>
  </si>
  <si>
    <t>224 Main St</t>
  </si>
  <si>
    <t>Curtis</t>
  </si>
  <si>
    <t>225 Main St</t>
  </si>
  <si>
    <t>Cynthia</t>
  </si>
  <si>
    <t>226 Main St</t>
  </si>
  <si>
    <t>Cyrus</t>
  </si>
  <si>
    <t>227 Main St</t>
  </si>
  <si>
    <t>Daisy</t>
  </si>
  <si>
    <t>228 Main St</t>
  </si>
  <si>
    <t>Dakota</t>
  </si>
  <si>
    <t>229 Main St</t>
  </si>
  <si>
    <t>Dale</t>
  </si>
  <si>
    <t>230 Main St</t>
  </si>
  <si>
    <t>Dallas</t>
  </si>
  <si>
    <t>231 Main St</t>
  </si>
  <si>
    <t>Dalton</t>
  </si>
  <si>
    <t>232 Main St</t>
  </si>
  <si>
    <t>Damon</t>
  </si>
  <si>
    <t>233 Main St</t>
  </si>
  <si>
    <t>Dan</t>
  </si>
  <si>
    <t>234 Main St</t>
  </si>
  <si>
    <t>Dana</t>
  </si>
  <si>
    <t>235 Main St</t>
  </si>
  <si>
    <t>Dane</t>
  </si>
  <si>
    <t>236 Main St</t>
  </si>
  <si>
    <t>Dani</t>
  </si>
  <si>
    <t>237 Main St</t>
  </si>
  <si>
    <t>Daniel</t>
  </si>
  <si>
    <t>238 Main St</t>
  </si>
  <si>
    <t>Danielle</t>
  </si>
  <si>
    <t>239 Main St</t>
  </si>
  <si>
    <t>Danny</t>
  </si>
  <si>
    <t>240 Main St</t>
  </si>
  <si>
    <t>Daphne</t>
  </si>
  <si>
    <t>241 Main St</t>
  </si>
  <si>
    <t>Darby</t>
  </si>
  <si>
    <t>242 Main St</t>
  </si>
  <si>
    <t>Darcie</t>
  </si>
  <si>
    <t>243 Main St</t>
  </si>
  <si>
    <t>Darla</t>
  </si>
  <si>
    <t>244 Main St</t>
  </si>
  <si>
    <t>Darlene</t>
  </si>
  <si>
    <t>245 Main St</t>
  </si>
  <si>
    <t>Darnell</t>
  </si>
  <si>
    <t>246 Main St</t>
  </si>
  <si>
    <t>Daron</t>
  </si>
  <si>
    <t>247 Main St</t>
  </si>
  <si>
    <t>Darrell</t>
  </si>
  <si>
    <t>248 Main St</t>
  </si>
  <si>
    <t>Darren</t>
  </si>
  <si>
    <t>249 Main St</t>
  </si>
  <si>
    <t>Darrin</t>
  </si>
  <si>
    <t>250 Main St</t>
  </si>
  <si>
    <t>Daryl</t>
  </si>
  <si>
    <t>251 Main St</t>
  </si>
  <si>
    <t>Dave</t>
  </si>
  <si>
    <t>252 Main St</t>
  </si>
  <si>
    <t>David</t>
  </si>
  <si>
    <t>253 Main St</t>
  </si>
  <si>
    <t>Dawn</t>
  </si>
  <si>
    <t>254 Main St</t>
  </si>
  <si>
    <t>Dean</t>
  </si>
  <si>
    <t>255 Main St</t>
  </si>
  <si>
    <t>Deanna</t>
  </si>
  <si>
    <t>256 Main St</t>
  </si>
  <si>
    <t>Deanne</t>
  </si>
  <si>
    <t>257 Main St</t>
  </si>
  <si>
    <t>Debbie</t>
  </si>
  <si>
    <t>258 Main St</t>
  </si>
  <si>
    <t>Deborah</t>
  </si>
  <si>
    <t>259 Main St</t>
  </si>
  <si>
    <t>Debra</t>
  </si>
  <si>
    <t>260 Main St</t>
  </si>
  <si>
    <t>Dee</t>
  </si>
  <si>
    <t>261 Main St</t>
  </si>
  <si>
    <t>Deidre</t>
  </si>
  <si>
    <t>262 Main St</t>
  </si>
  <si>
    <t>Delaney</t>
  </si>
  <si>
    <t>263 Main St</t>
  </si>
  <si>
    <t>Delia</t>
  </si>
  <si>
    <t>264 Main St</t>
  </si>
  <si>
    <t>Delilah</t>
  </si>
  <si>
    <t>265 Main St</t>
  </si>
  <si>
    <t>Dell</t>
  </si>
  <si>
    <t>266 Main St</t>
  </si>
  <si>
    <t>Della</t>
  </si>
  <si>
    <t>267 Main St</t>
  </si>
  <si>
    <t>Denise</t>
  </si>
  <si>
    <t>268 Main St</t>
  </si>
  <si>
    <t>Dennis</t>
  </si>
  <si>
    <t>269 Main St</t>
  </si>
  <si>
    <t>Derek</t>
  </si>
  <si>
    <t>270 Main St</t>
  </si>
  <si>
    <t>Desmond</t>
  </si>
  <si>
    <t>271 Main St</t>
  </si>
  <si>
    <t>Devin</t>
  </si>
  <si>
    <t>272 Main St</t>
  </si>
  <si>
    <t>Devon</t>
  </si>
  <si>
    <t>273 Main St</t>
  </si>
  <si>
    <t>Dexter</t>
  </si>
  <si>
    <t>274 Main St</t>
  </si>
  <si>
    <t>Diana</t>
  </si>
  <si>
    <t>275 Main St</t>
  </si>
  <si>
    <t>Diane</t>
  </si>
  <si>
    <t>276 Main St</t>
  </si>
  <si>
    <t>Dianna</t>
  </si>
  <si>
    <t>277 Main St</t>
  </si>
  <si>
    <t>Diego</t>
  </si>
  <si>
    <t>278 Main St</t>
  </si>
  <si>
    <t>Dina</t>
  </si>
  <si>
    <t>279 Main St</t>
  </si>
  <si>
    <t>Dixie</t>
  </si>
  <si>
    <t>280 Main St</t>
  </si>
  <si>
    <t>Dolores</t>
  </si>
  <si>
    <t>281 Main St</t>
  </si>
  <si>
    <t>Dominic</t>
  </si>
  <si>
    <t>282 Main St</t>
  </si>
  <si>
    <t>Don</t>
  </si>
  <si>
    <t>283 Main St</t>
  </si>
  <si>
    <t>Donald</t>
  </si>
  <si>
    <t>284 Main St</t>
  </si>
  <si>
    <t>Donna</t>
  </si>
  <si>
    <t>285 Main St</t>
  </si>
  <si>
    <t>Donnie</t>
  </si>
  <si>
    <t>286 Main St</t>
  </si>
  <si>
    <t>Donovan</t>
  </si>
  <si>
    <t>287 Main St</t>
  </si>
  <si>
    <t>Dora</t>
  </si>
  <si>
    <t>288 Main St</t>
  </si>
  <si>
    <t>Doris</t>
  </si>
  <si>
    <t>289 Main St</t>
  </si>
  <si>
    <t>Dorothy</t>
  </si>
  <si>
    <t>290 Main St</t>
  </si>
  <si>
    <t>Doug</t>
  </si>
  <si>
    <t>291 Main St</t>
  </si>
  <si>
    <t>Douglas</t>
  </si>
  <si>
    <t>292 Main St</t>
  </si>
  <si>
    <t>Drake</t>
  </si>
  <si>
    <t>293 Main St</t>
  </si>
  <si>
    <t>Drew</t>
  </si>
  <si>
    <t>294 Main St</t>
  </si>
  <si>
    <t>Duane</t>
  </si>
  <si>
    <t>295 Main St</t>
  </si>
  <si>
    <t>Duke</t>
  </si>
  <si>
    <t>296 Main St</t>
  </si>
  <si>
    <t>Duncan</t>
  </si>
  <si>
    <t>297 Main St</t>
  </si>
  <si>
    <t>Dustin</t>
  </si>
  <si>
    <t>298 Main St</t>
  </si>
  <si>
    <t>Dusty</t>
  </si>
  <si>
    <t>299 Main St</t>
  </si>
  <si>
    <t>Dylan</t>
  </si>
  <si>
    <t>300 Main St</t>
  </si>
  <si>
    <t>Earl</t>
  </si>
  <si>
    <t>301 Main St</t>
  </si>
  <si>
    <t>Ebony</t>
  </si>
  <si>
    <t>302 Main St</t>
  </si>
  <si>
    <t>Ed</t>
  </si>
  <si>
    <t>303 Main St</t>
  </si>
  <si>
    <t>Eddie</t>
  </si>
  <si>
    <t>304 Main St</t>
  </si>
  <si>
    <t>Edgar</t>
  </si>
  <si>
    <t>305 Main St</t>
  </si>
  <si>
    <t>Edith</t>
  </si>
  <si>
    <t>306 Main St</t>
  </si>
  <si>
    <t>Edmund</t>
  </si>
  <si>
    <t>307 Main St</t>
  </si>
  <si>
    <t>Edna</t>
  </si>
  <si>
    <t>308 Main St</t>
  </si>
  <si>
    <t>Edward</t>
  </si>
  <si>
    <t>309 Main St</t>
  </si>
  <si>
    <t>Edwin</t>
  </si>
  <si>
    <t>310 Main St</t>
  </si>
  <si>
    <t>Eileen</t>
  </si>
  <si>
    <t>311 Main St</t>
  </si>
  <si>
    <t>Elaine</t>
  </si>
  <si>
    <t>312 Main St</t>
  </si>
  <si>
    <t>Eleanor</t>
  </si>
  <si>
    <t>313 Main St</t>
  </si>
  <si>
    <t>Elena</t>
  </si>
  <si>
    <t>314 Main St</t>
  </si>
  <si>
    <t>Eli</t>
  </si>
  <si>
    <t>315 Main St</t>
  </si>
  <si>
    <t>Eliana</t>
  </si>
  <si>
    <t>316 Main St</t>
  </si>
  <si>
    <t>Elias</t>
  </si>
  <si>
    <t>317 Main St</t>
  </si>
  <si>
    <t>Elijah</t>
  </si>
  <si>
    <t>318 Main St</t>
  </si>
  <si>
    <t>Elise</t>
  </si>
  <si>
    <t>319 Main St</t>
  </si>
  <si>
    <t>Eliza</t>
  </si>
  <si>
    <t>320 Main St</t>
  </si>
  <si>
    <t>Elizabeth</t>
  </si>
  <si>
    <t>321 Main St</t>
  </si>
  <si>
    <t>Ella</t>
  </si>
  <si>
    <t>322 Main St</t>
  </si>
  <si>
    <t>Ellen</t>
  </si>
  <si>
    <t>323 Main St</t>
  </si>
  <si>
    <t>Ellie</t>
  </si>
  <si>
    <t>324 Main St</t>
  </si>
  <si>
    <t>Elliott</t>
  </si>
  <si>
    <t>325 Main St</t>
  </si>
  <si>
    <t>Ellis</t>
  </si>
  <si>
    <t>326 Main St</t>
  </si>
  <si>
    <t>Elmer</t>
  </si>
  <si>
    <t>327 Main St</t>
  </si>
  <si>
    <t>Eloise</t>
  </si>
  <si>
    <t>328 Main St</t>
  </si>
  <si>
    <t>Elsa</t>
  </si>
  <si>
    <t>329 Main St</t>
  </si>
  <si>
    <t>Elsie</t>
  </si>
  <si>
    <t>330 Main St</t>
  </si>
  <si>
    <t>Elva</t>
  </si>
  <si>
    <t>331 Main St</t>
  </si>
  <si>
    <t>Elvin</t>
  </si>
  <si>
    <t>332 Main St</t>
  </si>
  <si>
    <t>Elvira</t>
  </si>
  <si>
    <t>333 Main St</t>
  </si>
  <si>
    <t>Emelia</t>
  </si>
  <si>
    <t>334 Main St</t>
  </si>
  <si>
    <t>Emilia</t>
  </si>
  <si>
    <t>335 Main St</t>
  </si>
  <si>
    <t>Emily</t>
  </si>
  <si>
    <t>336 Main St</t>
  </si>
  <si>
    <t>Emma</t>
  </si>
  <si>
    <t>337 Main St</t>
  </si>
  <si>
    <t>Emmett</t>
  </si>
  <si>
    <t>338 Main St</t>
  </si>
  <si>
    <t>Enid</t>
  </si>
  <si>
    <t>339 Main St</t>
  </si>
  <si>
    <t>Enzo</t>
  </si>
  <si>
    <t>340 Main St</t>
  </si>
  <si>
    <t>Eric</t>
  </si>
  <si>
    <t>341 Main St</t>
  </si>
  <si>
    <t>Erica</t>
  </si>
  <si>
    <t>342 Main St</t>
  </si>
  <si>
    <t>Erik</t>
  </si>
  <si>
    <t>343 Main St</t>
  </si>
  <si>
    <t>Erin</t>
  </si>
  <si>
    <t>344 Main St</t>
  </si>
  <si>
    <t>Ernest</t>
  </si>
  <si>
    <t>345 Main St</t>
  </si>
  <si>
    <t>Esme</t>
  </si>
  <si>
    <t>346 Main St</t>
  </si>
  <si>
    <t>Esteban</t>
  </si>
  <si>
    <t>347 Main St</t>
  </si>
  <si>
    <t>Esther</t>
  </si>
  <si>
    <t>348 Main St</t>
  </si>
  <si>
    <t>Ethan</t>
  </si>
  <si>
    <t>349 Main St</t>
  </si>
  <si>
    <t>Ethel</t>
  </si>
  <si>
    <t>350 Main St</t>
  </si>
  <si>
    <t>Eugene</t>
  </si>
  <si>
    <t>351 Main St</t>
  </si>
  <si>
    <t>Eva</t>
  </si>
  <si>
    <t>352 Main St</t>
  </si>
  <si>
    <t>Evan</t>
  </si>
  <si>
    <t>353 Main St</t>
  </si>
  <si>
    <t>Evelyn</t>
  </si>
  <si>
    <t>354 Main St</t>
  </si>
  <si>
    <t>Everett</t>
  </si>
  <si>
    <t>355 Main St</t>
  </si>
  <si>
    <t>Ezra</t>
  </si>
  <si>
    <t>356 Main St</t>
  </si>
  <si>
    <t>Fabian</t>
  </si>
  <si>
    <t>357 Main St</t>
  </si>
  <si>
    <t>Faith</t>
  </si>
  <si>
    <t>358 Main St</t>
  </si>
  <si>
    <t>Fallon</t>
  </si>
  <si>
    <t>359 Main St</t>
  </si>
  <si>
    <t>Fanny</t>
  </si>
  <si>
    <t>360 Main St</t>
  </si>
  <si>
    <t>Farrah</t>
  </si>
  <si>
    <t>361 Main St</t>
  </si>
  <si>
    <t>Fatima</t>
  </si>
  <si>
    <t>362 Main St</t>
  </si>
  <si>
    <t>Felicia</t>
  </si>
  <si>
    <t>363 Main St</t>
  </si>
  <si>
    <t>Felix</t>
  </si>
  <si>
    <t>364 Main St</t>
  </si>
  <si>
    <t>Ferdinand</t>
  </si>
  <si>
    <t>365 Main St</t>
  </si>
  <si>
    <t>Fern</t>
  </si>
  <si>
    <t>366 Main St</t>
  </si>
  <si>
    <t>Fernando</t>
  </si>
  <si>
    <t>367 Main St</t>
  </si>
  <si>
    <t>Fiona</t>
  </si>
  <si>
    <t>368 Main St</t>
  </si>
  <si>
    <t>Floyd</t>
  </si>
  <si>
    <t>369 Main St</t>
  </si>
  <si>
    <t>Flynn</t>
  </si>
  <si>
    <t>370 Main St</t>
  </si>
  <si>
    <t>Ford</t>
  </si>
  <si>
    <t>371 Main St</t>
  </si>
  <si>
    <t>Forest</t>
  </si>
  <si>
    <t>372 Main St</t>
  </si>
  <si>
    <t>Forrest</t>
  </si>
  <si>
    <t>373 Main St</t>
  </si>
  <si>
    <t>Frances</t>
  </si>
  <si>
    <t>374 Main St</t>
  </si>
  <si>
    <t>Francesca</t>
  </si>
  <si>
    <t>375 Main St</t>
  </si>
  <si>
    <t>Francis</t>
  </si>
  <si>
    <t>376 Main St</t>
  </si>
  <si>
    <t>Francisco</t>
  </si>
  <si>
    <t>377 Main St</t>
  </si>
  <si>
    <t>Frank</t>
  </si>
  <si>
    <t>378 Main St</t>
  </si>
  <si>
    <t>Frankie</t>
  </si>
  <si>
    <t>379 Main St</t>
  </si>
  <si>
    <t>Franklin</t>
  </si>
  <si>
    <t>380 Main St</t>
  </si>
  <si>
    <t>Fred</t>
  </si>
  <si>
    <t>381 Main St</t>
  </si>
  <si>
    <t>Freddie</t>
  </si>
  <si>
    <t>382 Main St</t>
  </si>
  <si>
    <t>Frederick</t>
  </si>
  <si>
    <t>383 Main St</t>
  </si>
  <si>
    <t>Fredrick</t>
  </si>
  <si>
    <t>384 Main St</t>
  </si>
  <si>
    <t>Frida</t>
  </si>
  <si>
    <t>385 Main St</t>
  </si>
  <si>
    <t>Gabriel</t>
  </si>
  <si>
    <t>386 Main St</t>
  </si>
  <si>
    <t>Gabriella</t>
  </si>
  <si>
    <t>387 Main St</t>
  </si>
  <si>
    <t>Gabrielle</t>
  </si>
  <si>
    <t>388 Main St</t>
  </si>
  <si>
    <t>Gail</t>
  </si>
  <si>
    <t>389 Main St</t>
  </si>
  <si>
    <t>Gale</t>
  </si>
  <si>
    <t>390 Main St</t>
  </si>
  <si>
    <t>Garrett</t>
  </si>
  <si>
    <t>391 Main St</t>
  </si>
  <si>
    <t>Gary</t>
  </si>
  <si>
    <t>392 Main St</t>
  </si>
  <si>
    <t>Gavin</t>
  </si>
  <si>
    <t>393 Main St</t>
  </si>
  <si>
    <t>Gemma</t>
  </si>
  <si>
    <t>394 Main St</t>
  </si>
  <si>
    <t>Gene</t>
  </si>
  <si>
    <t>395 Main St</t>
  </si>
  <si>
    <t>Genesis</t>
  </si>
  <si>
    <t>396 Main St</t>
  </si>
  <si>
    <t>Genevieve</t>
  </si>
  <si>
    <t>397 Main St</t>
  </si>
  <si>
    <t>George</t>
  </si>
  <si>
    <t>398 Main St</t>
  </si>
  <si>
    <t>Georgia</t>
  </si>
  <si>
    <t>399 Main St</t>
  </si>
  <si>
    <t>Georgina</t>
  </si>
  <si>
    <t>400 Main St</t>
  </si>
  <si>
    <t>Gerald</t>
  </si>
  <si>
    <t>401 Main St</t>
  </si>
  <si>
    <t>Geraldine</t>
  </si>
  <si>
    <t>402 Main St</t>
  </si>
  <si>
    <t>Gertrude</t>
  </si>
  <si>
    <t>403 Main St</t>
  </si>
  <si>
    <t>Gia</t>
  </si>
  <si>
    <t>404 Main St</t>
  </si>
  <si>
    <t>Gideon</t>
  </si>
  <si>
    <t>405 Main St</t>
  </si>
  <si>
    <t>Gilbert</t>
  </si>
  <si>
    <t>406 Main St</t>
  </si>
  <si>
    <t>Gillian</t>
  </si>
  <si>
    <t>407 Main St</t>
  </si>
  <si>
    <t>Gina</t>
  </si>
  <si>
    <t>408 Main St</t>
  </si>
  <si>
    <t>Ginger</t>
  </si>
  <si>
    <t>409 Main St</t>
  </si>
  <si>
    <t>Giovanna</t>
  </si>
  <si>
    <t>410 Main St</t>
  </si>
  <si>
    <t>Giovanni</t>
  </si>
  <si>
    <t>411 Main St</t>
  </si>
  <si>
    <t>Giselle</t>
  </si>
  <si>
    <t>412 Main St</t>
  </si>
  <si>
    <t>Gladys</t>
  </si>
  <si>
    <t>413 Main St</t>
  </si>
  <si>
    <t>Gloria</t>
  </si>
  <si>
    <t>414 Main St</t>
  </si>
  <si>
    <t>Gordon</t>
  </si>
  <si>
    <t>415 Main St</t>
  </si>
  <si>
    <t>Grace</t>
  </si>
  <si>
    <t>416 Main St</t>
  </si>
  <si>
    <t>Gracie</t>
  </si>
  <si>
    <t>417 Main St</t>
  </si>
  <si>
    <t>Graham</t>
  </si>
  <si>
    <t>418 Main St</t>
  </si>
  <si>
    <t>Grant</t>
  </si>
  <si>
    <t>419 Main St</t>
  </si>
  <si>
    <t>Grayson</t>
  </si>
  <si>
    <t>420 Main St</t>
  </si>
  <si>
    <t>Greg</t>
  </si>
  <si>
    <t>421 Main St</t>
  </si>
  <si>
    <t>Gregg</t>
  </si>
  <si>
    <t>422 Main St</t>
  </si>
  <si>
    <t>Gregory</t>
  </si>
  <si>
    <t>423 Main St</t>
  </si>
  <si>
    <t>Greta</t>
  </si>
  <si>
    <t>424 Main St</t>
  </si>
  <si>
    <t>Gretchen</t>
  </si>
  <si>
    <t>425 Main St</t>
  </si>
  <si>
    <t>Griffin</t>
  </si>
  <si>
    <t>426 Main St</t>
  </si>
  <si>
    <t>Guadalupe</t>
  </si>
  <si>
    <t>427 Main St</t>
  </si>
  <si>
    <t>Guido</t>
  </si>
  <si>
    <t>428 Main St</t>
  </si>
  <si>
    <t>Gwen</t>
  </si>
  <si>
    <t>429 Main St</t>
  </si>
  <si>
    <t>Gwendolyn</t>
  </si>
  <si>
    <t>430 Main St</t>
  </si>
  <si>
    <t>Hadley</t>
  </si>
  <si>
    <t>431 Main St</t>
  </si>
  <si>
    <t>Hailey</t>
  </si>
  <si>
    <t>432 Main St</t>
  </si>
  <si>
    <t>Hal</t>
  </si>
  <si>
    <t>433 Main St</t>
  </si>
  <si>
    <t>Haley</t>
  </si>
  <si>
    <t>434 Main St</t>
  </si>
  <si>
    <t>Hallie</t>
  </si>
  <si>
    <t>435 Main St</t>
  </si>
  <si>
    <t>Hank</t>
  </si>
  <si>
    <t>436 Main St</t>
  </si>
  <si>
    <t>Hannah</t>
  </si>
  <si>
    <t>437 Main St</t>
  </si>
  <si>
    <t>Hans</t>
  </si>
  <si>
    <t>438 Main St</t>
  </si>
  <si>
    <t>Harley</t>
  </si>
  <si>
    <t>439 Main St</t>
  </si>
  <si>
    <t>Harold</t>
  </si>
  <si>
    <t>440 Main St</t>
  </si>
  <si>
    <t>Harmony</t>
  </si>
  <si>
    <t>441 Main St</t>
  </si>
  <si>
    <t>Harper</t>
  </si>
  <si>
    <t>442 Main St</t>
  </si>
  <si>
    <t>Harrison</t>
  </si>
  <si>
    <t>443 Main St</t>
  </si>
  <si>
    <t>Harry</t>
  </si>
  <si>
    <t>444 Main St</t>
  </si>
  <si>
    <t>Harvey</t>
  </si>
  <si>
    <t>445 Main St</t>
  </si>
  <si>
    <t>Hattie</t>
  </si>
  <si>
    <t>446 Main St</t>
  </si>
  <si>
    <t>Hayden</t>
  </si>
  <si>
    <t>447 Main St</t>
  </si>
  <si>
    <t>Hazel</t>
  </si>
  <si>
    <t>448 Main St</t>
  </si>
  <si>
    <t>Heath</t>
  </si>
  <si>
    <t>449 Main St</t>
  </si>
  <si>
    <t>Heather</t>
  </si>
  <si>
    <t>450 Main St</t>
  </si>
  <si>
    <t>Hector</t>
  </si>
  <si>
    <t>451 Main St</t>
  </si>
  <si>
    <t>Heidi</t>
  </si>
  <si>
    <t>452 Main St</t>
  </si>
  <si>
    <t>Helen</t>
  </si>
  <si>
    <t>453 Main St</t>
  </si>
  <si>
    <t>Helena</t>
  </si>
  <si>
    <t>454 Main St</t>
  </si>
  <si>
    <t>Helene</t>
  </si>
  <si>
    <t>455 Main St</t>
  </si>
  <si>
    <t>Henry</t>
  </si>
  <si>
    <t>456 Main St</t>
  </si>
  <si>
    <t>Herbert</t>
  </si>
  <si>
    <t>457 Main St</t>
  </si>
  <si>
    <t>Herman</t>
  </si>
  <si>
    <t>458 Main St</t>
  </si>
  <si>
    <t>Hilary</t>
  </si>
  <si>
    <t>459 Main St</t>
  </si>
  <si>
    <t>Hillary</t>
  </si>
  <si>
    <t>460 Main St</t>
  </si>
  <si>
    <t>Holly</t>
  </si>
  <si>
    <t>461 Main St</t>
  </si>
  <si>
    <t>Hope</t>
  </si>
  <si>
    <t>462 Main St</t>
  </si>
  <si>
    <t>Howard</t>
  </si>
  <si>
    <t>463 Main St</t>
  </si>
  <si>
    <t>Hudson</t>
  </si>
  <si>
    <t>464 Main St</t>
  </si>
  <si>
    <t>Hugh</t>
  </si>
  <si>
    <t>465 Main St</t>
  </si>
  <si>
    <t>Hugo</t>
  </si>
  <si>
    <t>466 Main St</t>
  </si>
  <si>
    <t>Hunter</t>
  </si>
  <si>
    <t>467 Main St</t>
  </si>
  <si>
    <t>Ian</t>
  </si>
  <si>
    <t>468 Main St</t>
  </si>
  <si>
    <t>Ibrahim</t>
  </si>
  <si>
    <t>469 Main St</t>
  </si>
  <si>
    <t>Ida</t>
  </si>
  <si>
    <t>470 Main St</t>
  </si>
  <si>
    <t>Ignatius</t>
  </si>
  <si>
    <t>471 Main St</t>
  </si>
  <si>
    <t>Ike</t>
  </si>
  <si>
    <t>472 Main St</t>
  </si>
  <si>
    <t>Iliana</t>
  </si>
  <si>
    <t>473 Main St</t>
  </si>
  <si>
    <t>Imani</t>
  </si>
  <si>
    <t>474 Main St</t>
  </si>
  <si>
    <t>Imogen</t>
  </si>
  <si>
    <t>475 Main St</t>
  </si>
  <si>
    <t>India</t>
  </si>
  <si>
    <t>476 Main St</t>
  </si>
  <si>
    <t>Indigo</t>
  </si>
  <si>
    <t>477 Main St</t>
  </si>
  <si>
    <t>Inez</t>
  </si>
  <si>
    <t>478 Main St</t>
  </si>
  <si>
    <t>Ingrid</t>
  </si>
  <si>
    <t>479 Main St</t>
  </si>
  <si>
    <t>Ira</t>
  </si>
  <si>
    <t>480 Main St</t>
  </si>
  <si>
    <t>Irene</t>
  </si>
  <si>
    <t>481 Main St</t>
  </si>
  <si>
    <t>Iris</t>
  </si>
  <si>
    <t>482 Main St</t>
  </si>
  <si>
    <t>Irma</t>
  </si>
  <si>
    <t>483 Main St</t>
  </si>
  <si>
    <t>Isaac</t>
  </si>
  <si>
    <t>484 Main St</t>
  </si>
  <si>
    <t>Isabel</t>
  </si>
  <si>
    <t>485 Main St</t>
  </si>
  <si>
    <t>Isabella</t>
  </si>
  <si>
    <t>486 Main St</t>
  </si>
  <si>
    <t>Isabelle</t>
  </si>
  <si>
    <t>487 Main St</t>
  </si>
  <si>
    <t>Isadora</t>
  </si>
  <si>
    <t>488 Main St</t>
  </si>
  <si>
    <t>Isaiah</t>
  </si>
  <si>
    <t>489 Main St</t>
  </si>
  <si>
    <t>Isaias</t>
  </si>
  <si>
    <t>490 Main St</t>
  </si>
  <si>
    <t>Isla</t>
  </si>
  <si>
    <t>491 Main St</t>
  </si>
  <si>
    <t>Israel</t>
  </si>
  <si>
    <t>492 Main St</t>
  </si>
  <si>
    <t>Issac</t>
  </si>
  <si>
    <t>493 Main St</t>
  </si>
  <si>
    <t>Ivan</t>
  </si>
  <si>
    <t>494 Main St</t>
  </si>
  <si>
    <t>Ivy</t>
  </si>
  <si>
    <t>495 Main St</t>
  </si>
  <si>
    <t>Izabella</t>
  </si>
  <si>
    <t>496 Main St</t>
  </si>
  <si>
    <t>Jace</t>
  </si>
  <si>
    <t>497 Main St</t>
  </si>
  <si>
    <t>Jack</t>
  </si>
  <si>
    <t>498 Main St</t>
  </si>
  <si>
    <t>Jackie</t>
  </si>
  <si>
    <t>499 Main St</t>
  </si>
  <si>
    <t>Jackson</t>
  </si>
  <si>
    <t>500 Main St</t>
  </si>
  <si>
    <t>Jacob</t>
  </si>
  <si>
    <t>501 Main St</t>
  </si>
  <si>
    <t>Jacquelyn</t>
  </si>
  <si>
    <t>502 Main St</t>
  </si>
  <si>
    <t>Jade</t>
  </si>
  <si>
    <t>503 Main St</t>
  </si>
  <si>
    <t>Jaden</t>
  </si>
  <si>
    <t>504 Main St</t>
  </si>
  <si>
    <t>Jadyn</t>
  </si>
  <si>
    <t>505 Main St</t>
  </si>
  <si>
    <t>Jaelyn</t>
  </si>
  <si>
    <t>506 Main St</t>
  </si>
  <si>
    <t>Jagger</t>
  </si>
  <si>
    <t>507 Main St</t>
  </si>
  <si>
    <t>Jaime</t>
  </si>
  <si>
    <t>508 Main St</t>
  </si>
  <si>
    <t>Jake</t>
  </si>
  <si>
    <t>509 Main St</t>
  </si>
  <si>
    <t>Jakob</t>
  </si>
  <si>
    <t>510 Main St</t>
  </si>
  <si>
    <t>Jamal</t>
  </si>
  <si>
    <t>511 Main St</t>
  </si>
  <si>
    <t>James</t>
  </si>
  <si>
    <t>512 Main St</t>
  </si>
  <si>
    <t>Jameson</t>
  </si>
  <si>
    <t>513 Main St</t>
  </si>
  <si>
    <t>Jamie</t>
  </si>
  <si>
    <t>514 Main St</t>
  </si>
  <si>
    <t>Jamison</t>
  </si>
  <si>
    <t>515 Main St</t>
  </si>
  <si>
    <t>Jan</t>
  </si>
  <si>
    <t>516 Main St</t>
  </si>
  <si>
    <t>Jana</t>
  </si>
  <si>
    <t>517 Main St</t>
  </si>
  <si>
    <t>Janae</t>
  </si>
  <si>
    <t>518 Main St</t>
  </si>
  <si>
    <t>Jane</t>
  </si>
  <si>
    <t>519 Main St</t>
  </si>
  <si>
    <t>Janelle</t>
  </si>
  <si>
    <t>520 Main St</t>
  </si>
  <si>
    <t>Janet</t>
  </si>
  <si>
    <t>521 Main St</t>
  </si>
  <si>
    <t>Janice</t>
  </si>
  <si>
    <t>522 Main St</t>
  </si>
  <si>
    <t>Jared</t>
  </si>
  <si>
    <t>523 Main St</t>
  </si>
  <si>
    <t>Jarrett</t>
  </si>
  <si>
    <t>524 Main St</t>
  </si>
  <si>
    <t>Jarvis</t>
  </si>
  <si>
    <t>525 Main St</t>
  </si>
  <si>
    <t>Jasmin</t>
  </si>
  <si>
    <t>526 Main St</t>
  </si>
  <si>
    <t>Jasmine</t>
  </si>
  <si>
    <t>527 Main St</t>
  </si>
  <si>
    <t>Jason</t>
  </si>
  <si>
    <t>528 Main St</t>
  </si>
  <si>
    <t>Jasper</t>
  </si>
  <si>
    <t>529 Main St</t>
  </si>
  <si>
    <t>Javier</t>
  </si>
  <si>
    <t>530 Main St</t>
  </si>
  <si>
    <t>Jax</t>
  </si>
  <si>
    <t>531 Main St</t>
  </si>
  <si>
    <t>Jaxon</t>
  </si>
  <si>
    <t>532 Main St</t>
  </si>
  <si>
    <t>Jaxson</t>
  </si>
  <si>
    <t>533 Main St</t>
  </si>
  <si>
    <t>Jay</t>
  </si>
  <si>
    <t>534 Main St</t>
  </si>
  <si>
    <t>Jayden</t>
  </si>
  <si>
    <t>535 Main St</t>
  </si>
  <si>
    <t>Jayla</t>
  </si>
  <si>
    <t>536 Main St</t>
  </si>
  <si>
    <t>Jaylen</t>
  </si>
  <si>
    <t>537 Main St</t>
  </si>
  <si>
    <t>Jaylene</t>
  </si>
  <si>
    <t>538 Main St</t>
  </si>
  <si>
    <t>Jazlyn</t>
  </si>
  <si>
    <t>539 Main St</t>
  </si>
  <si>
    <t>Jazmin</t>
  </si>
  <si>
    <t>540 Main St</t>
  </si>
  <si>
    <t>Jazmine</t>
  </si>
  <si>
    <t>541 Main St</t>
  </si>
  <si>
    <t>Jean</t>
  </si>
  <si>
    <t>542 Main St</t>
  </si>
  <si>
    <t>Jeanette</t>
  </si>
  <si>
    <t>543 Main St</t>
  </si>
  <si>
    <t>Jeanne</t>
  </si>
  <si>
    <t>544 Main St</t>
  </si>
  <si>
    <t>Jeannette</t>
  </si>
  <si>
    <t>545 Main St</t>
  </si>
  <si>
    <t>Jeannie</t>
  </si>
  <si>
    <t>546 Main St</t>
  </si>
  <si>
    <t>Jeannine</t>
  </si>
  <si>
    <t>547 Main St</t>
  </si>
  <si>
    <t>Jed</t>
  </si>
  <si>
    <t>548 Main St</t>
  </si>
  <si>
    <t>Jeff</t>
  </si>
  <si>
    <t>549 Main St</t>
  </si>
  <si>
    <t>Jeffery</t>
  </si>
  <si>
    <t>550 Main St</t>
  </si>
  <si>
    <t>Jefferson</t>
  </si>
  <si>
    <t>551 Main St</t>
  </si>
  <si>
    <t>Jeffrey</t>
  </si>
  <si>
    <t>552 Main St</t>
  </si>
  <si>
    <t>Jenna</t>
  </si>
  <si>
    <t>553 Main St</t>
  </si>
  <si>
    <t>Jennifer</t>
  </si>
  <si>
    <t>554 Main St</t>
  </si>
  <si>
    <t>Jenny</t>
  </si>
  <si>
    <t>555 Main St</t>
  </si>
  <si>
    <t>Jeremiah</t>
  </si>
  <si>
    <t>556 Main St</t>
  </si>
  <si>
    <t>Jeremy</t>
  </si>
  <si>
    <t>557 Main St</t>
  </si>
  <si>
    <t>Jeri</t>
  </si>
  <si>
    <t>558 Main St</t>
  </si>
  <si>
    <t>Jericho</t>
  </si>
  <si>
    <t>559 Main St</t>
  </si>
  <si>
    <t>Jerome</t>
  </si>
  <si>
    <t>560 Main St</t>
  </si>
  <si>
    <t>Jerry</t>
  </si>
  <si>
    <t>561 Main St</t>
  </si>
  <si>
    <t>Jess</t>
  </si>
  <si>
    <t>562 Main St</t>
  </si>
  <si>
    <t>Jesse</t>
  </si>
  <si>
    <t>563 Main St</t>
  </si>
  <si>
    <t>Jessica</t>
  </si>
  <si>
    <t>564 Main St</t>
  </si>
  <si>
    <t>Jessie</t>
  </si>
  <si>
    <t>565 Main St</t>
  </si>
  <si>
    <t>Jesus</t>
  </si>
  <si>
    <t>566 Main St</t>
  </si>
  <si>
    <t>Jewel</t>
  </si>
  <si>
    <t>567 Main St</t>
  </si>
  <si>
    <t>Jewell</t>
  </si>
  <si>
    <t>568 Main St</t>
  </si>
  <si>
    <t>Jilian</t>
  </si>
  <si>
    <t>569 Main St</t>
  </si>
  <si>
    <t>Jill</t>
  </si>
  <si>
    <t>570 Main St</t>
  </si>
  <si>
    <t>Jillian</t>
  </si>
  <si>
    <t>571 Main St</t>
  </si>
  <si>
    <t>Jim</t>
  </si>
  <si>
    <t>572 Main St</t>
  </si>
  <si>
    <t>Jimmy</t>
  </si>
  <si>
    <t>573 Main St</t>
  </si>
  <si>
    <t>Joan</t>
  </si>
  <si>
    <t>574 Main St</t>
  </si>
  <si>
    <t>Joanna</t>
  </si>
  <si>
    <t>575 Main St</t>
  </si>
  <si>
    <t>Joanne</t>
  </si>
  <si>
    <t>576 Main St</t>
  </si>
  <si>
    <t>Jocelyn</t>
  </si>
  <si>
    <t>577 Main St</t>
  </si>
  <si>
    <t>Jodi</t>
  </si>
  <si>
    <t>578 Main St</t>
  </si>
  <si>
    <t>Jodie</t>
  </si>
  <si>
    <t>579 Main St</t>
  </si>
  <si>
    <t>Jody</t>
  </si>
  <si>
    <t>580 Main St</t>
  </si>
  <si>
    <t>Joe</t>
  </si>
  <si>
    <t>581 Main St</t>
  </si>
  <si>
    <t>Joel</t>
  </si>
  <si>
    <t>582 Main St</t>
  </si>
  <si>
    <t>Joelle</t>
  </si>
  <si>
    <t>583 Main St</t>
  </si>
  <si>
    <t>Joey</t>
  </si>
  <si>
    <t>584 Main St</t>
  </si>
  <si>
    <t>Johan</t>
  </si>
  <si>
    <t>585 Main St</t>
  </si>
  <si>
    <t>Johanna</t>
  </si>
  <si>
    <t>586 Main St</t>
  </si>
  <si>
    <t>John</t>
  </si>
  <si>
    <t>587 Main St</t>
  </si>
  <si>
    <t>Johnathan</t>
  </si>
  <si>
    <t>588 Main St</t>
  </si>
  <si>
    <t>Johnny</t>
  </si>
  <si>
    <t>589 Main St</t>
  </si>
  <si>
    <t>Jonas</t>
  </si>
  <si>
    <t>590 Main St</t>
  </si>
  <si>
    <t>Jonathan</t>
  </si>
  <si>
    <t>591 Main St</t>
  </si>
  <si>
    <t>Jonathon</t>
  </si>
  <si>
    <t>592 Main St</t>
  </si>
  <si>
    <t>Joni</t>
  </si>
  <si>
    <t>593 Main St</t>
  </si>
  <si>
    <t>Jordan</t>
  </si>
  <si>
    <t>594 Main St</t>
  </si>
  <si>
    <t>Jordyn</t>
  </si>
  <si>
    <t>595 Main St</t>
  </si>
  <si>
    <t>Jorge</t>
  </si>
  <si>
    <t>596 Main St</t>
  </si>
  <si>
    <t>Jose</t>
  </si>
  <si>
    <t>597 Main St</t>
  </si>
  <si>
    <t>Joseph</t>
  </si>
  <si>
    <t>598 Main St</t>
  </si>
  <si>
    <t>Josephine</t>
  </si>
  <si>
    <t>599 Main St</t>
  </si>
  <si>
    <t>Josh</t>
  </si>
  <si>
    <t>600 Main St</t>
  </si>
  <si>
    <t>Joshua</t>
  </si>
  <si>
    <t>601 Main St</t>
  </si>
  <si>
    <t>Josiah</t>
  </si>
  <si>
    <t>602 Main St</t>
  </si>
  <si>
    <t>Josie</t>
  </si>
  <si>
    <t>603 Main St</t>
  </si>
  <si>
    <t>Joy</t>
  </si>
  <si>
    <t>604 Main St</t>
  </si>
  <si>
    <t>Joyce</t>
  </si>
  <si>
    <t>605 Main St</t>
  </si>
  <si>
    <t>Juan</t>
  </si>
  <si>
    <t>606 Main St</t>
  </si>
  <si>
    <t>Juanita</t>
  </si>
  <si>
    <t>607 Main St</t>
  </si>
  <si>
    <t>Judah</t>
  </si>
  <si>
    <t>608 Main St</t>
  </si>
  <si>
    <t>Jude</t>
  </si>
  <si>
    <t>609 Main St</t>
  </si>
  <si>
    <t>Judith</t>
  </si>
  <si>
    <t>610 Main St</t>
  </si>
  <si>
    <t>Judy</t>
  </si>
  <si>
    <t>611 Main St</t>
  </si>
  <si>
    <t>Julia</t>
  </si>
  <si>
    <t>612 Main St</t>
  </si>
  <si>
    <t>Julian</t>
  </si>
  <si>
    <t>613 Main St</t>
  </si>
  <si>
    <t>Juliana</t>
  </si>
  <si>
    <t>614 Main St</t>
  </si>
  <si>
    <t>Julianna</t>
  </si>
  <si>
    <t>615 Main St</t>
  </si>
  <si>
    <t>Julianne</t>
  </si>
  <si>
    <t>616 Main St</t>
  </si>
  <si>
    <t>Julie</t>
  </si>
  <si>
    <t>617 Main St</t>
  </si>
  <si>
    <t>Juliet</t>
  </si>
  <si>
    <t>618 Main St</t>
  </si>
  <si>
    <t>Juliette</t>
  </si>
  <si>
    <t>619 Main St</t>
  </si>
  <si>
    <t>Julio</t>
  </si>
  <si>
    <t>620 Main St</t>
  </si>
  <si>
    <t>June</t>
  </si>
  <si>
    <t>621 Main St</t>
  </si>
  <si>
    <t>Junior</t>
  </si>
  <si>
    <t>622 Main St</t>
  </si>
  <si>
    <t>Justin</t>
  </si>
  <si>
    <t>623 Main St</t>
  </si>
  <si>
    <t>Justine</t>
  </si>
  <si>
    <t>624 Main St</t>
  </si>
  <si>
    <t>Kaden</t>
  </si>
  <si>
    <t>625 Main St</t>
  </si>
  <si>
    <t>Kai</t>
  </si>
  <si>
    <t>626 Main St</t>
  </si>
  <si>
    <t>Kaiden</t>
  </si>
  <si>
    <t>627 Main St</t>
  </si>
  <si>
    <t>Kaitlin</t>
  </si>
  <si>
    <t>628 Main St</t>
  </si>
  <si>
    <t>Kaitlyn</t>
  </si>
  <si>
    <t>629 Main St</t>
  </si>
  <si>
    <t>Kala</t>
  </si>
  <si>
    <t>630 Main St</t>
  </si>
  <si>
    <t>Kale</t>
  </si>
  <si>
    <t>631 Main St</t>
  </si>
  <si>
    <t>Kaleb</t>
  </si>
  <si>
    <t>632 Main St</t>
  </si>
  <si>
    <t>Kaleigh</t>
  </si>
  <si>
    <t>633 Main St</t>
  </si>
  <si>
    <t>Kali</t>
  </si>
  <si>
    <t>634 Main St</t>
  </si>
  <si>
    <t>Kallie</t>
  </si>
  <si>
    <t>635 Main St</t>
  </si>
  <si>
    <t>Kamryn</t>
  </si>
  <si>
    <t>636 Main St</t>
  </si>
  <si>
    <t>Kane</t>
  </si>
  <si>
    <t>637 Main St</t>
  </si>
  <si>
    <t>Kara</t>
  </si>
  <si>
    <t>638 Main St</t>
  </si>
  <si>
    <t>Karen</t>
  </si>
  <si>
    <t>639 Main St</t>
  </si>
  <si>
    <t>Kari</t>
  </si>
  <si>
    <t>640 Main St</t>
  </si>
  <si>
    <t>Karina</t>
  </si>
  <si>
    <t>641 Main St</t>
  </si>
  <si>
    <t>Karl</t>
  </si>
  <si>
    <t>642 Main St</t>
  </si>
  <si>
    <t>Karla</t>
  </si>
  <si>
    <t>643 Main St</t>
  </si>
  <si>
    <t>Karlee</t>
  </si>
  <si>
    <t>644 Main St</t>
  </si>
  <si>
    <t>Karlie</t>
  </si>
  <si>
    <t>645 Main St</t>
  </si>
  <si>
    <t>Karol</t>
  </si>
  <si>
    <t>646 Main St</t>
  </si>
  <si>
    <t>Karson</t>
  </si>
  <si>
    <t>647 Main St</t>
  </si>
  <si>
    <t>Kasey</t>
  </si>
  <si>
    <t>648 Main St</t>
  </si>
  <si>
    <t>Kash</t>
  </si>
  <si>
    <t>649 Main St</t>
  </si>
  <si>
    <t>Kate</t>
  </si>
  <si>
    <t>650 Main St</t>
  </si>
  <si>
    <t>Katelyn</t>
  </si>
  <si>
    <t>651 Main St</t>
  </si>
  <si>
    <t>Katherine</t>
  </si>
  <si>
    <t>652 Main St</t>
  </si>
  <si>
    <t>Kathleen</t>
  </si>
  <si>
    <t>653 Main St</t>
  </si>
  <si>
    <t>Kathryn</t>
  </si>
  <si>
    <t>654 Main St</t>
  </si>
  <si>
    <t>Kathy</t>
  </si>
  <si>
    <t>655 Main St</t>
  </si>
  <si>
    <t>Katie</t>
  </si>
  <si>
    <t>656 Main St</t>
  </si>
  <si>
    <t>Katlyn</t>
  </si>
  <si>
    <t>657 Main St</t>
  </si>
  <si>
    <t>Katrina</t>
  </si>
  <si>
    <t>658 Main St</t>
  </si>
  <si>
    <t>Kay</t>
  </si>
  <si>
    <t>659 Main St</t>
  </si>
  <si>
    <t>Kayden</t>
  </si>
  <si>
    <t>660 Main St</t>
  </si>
  <si>
    <t>Kayla</t>
  </si>
  <si>
    <t>661 Main St</t>
  </si>
  <si>
    <t>Kaylee</t>
  </si>
  <si>
    <t>662 Main St</t>
  </si>
  <si>
    <t>Kayleigh</t>
  </si>
  <si>
    <t>663 Main St</t>
  </si>
  <si>
    <t>Kaylen</t>
  </si>
  <si>
    <t>664 Main St</t>
  </si>
  <si>
    <t>Kayley</t>
  </si>
  <si>
    <t>665 Main St</t>
  </si>
  <si>
    <t>Keegan</t>
  </si>
  <si>
    <t>666 Main St</t>
  </si>
  <si>
    <t>Keely</t>
  </si>
  <si>
    <t>667 Main St</t>
  </si>
  <si>
    <t>Keira</t>
  </si>
  <si>
    <t>668 Main St</t>
  </si>
  <si>
    <t>Keith</t>
  </si>
  <si>
    <t>669 Main St</t>
  </si>
  <si>
    <t>Kellen</t>
  </si>
  <si>
    <t>670 Main St</t>
  </si>
  <si>
    <t>Kelly</t>
  </si>
  <si>
    <t>671 Main St</t>
  </si>
  <si>
    <t>Kelvin</t>
  </si>
  <si>
    <t>672 Main St</t>
  </si>
  <si>
    <t>Kelsey</t>
  </si>
  <si>
    <t>673 Main St</t>
  </si>
  <si>
    <t>Kendall</t>
  </si>
  <si>
    <t>674 Main St</t>
  </si>
  <si>
    <t>Kendra</t>
  </si>
  <si>
    <t>675 Main St</t>
  </si>
  <si>
    <t>Kenley</t>
  </si>
  <si>
    <t>676 Main St</t>
  </si>
  <si>
    <t>Kenna</t>
  </si>
  <si>
    <t>677 Main St</t>
  </si>
  <si>
    <t>Kenneth</t>
  </si>
  <si>
    <t>678 Main St</t>
  </si>
  <si>
    <t>Kenny</t>
  </si>
  <si>
    <t>679 Main St</t>
  </si>
  <si>
    <t>Kent</t>
  </si>
  <si>
    <t>680 Main St</t>
  </si>
  <si>
    <t>Kenya</t>
  </si>
  <si>
    <t>681 Main St</t>
  </si>
  <si>
    <t>Keri</t>
  </si>
  <si>
    <t>682 Main St</t>
  </si>
  <si>
    <t>Kerrigan</t>
  </si>
  <si>
    <t>683 Main St</t>
  </si>
  <si>
    <t>Kerry</t>
  </si>
  <si>
    <t>684 Main St</t>
  </si>
  <si>
    <t>Kevin</t>
  </si>
  <si>
    <t>685 Main St</t>
  </si>
  <si>
    <t>Khloe</t>
  </si>
  <si>
    <t>686 Main St</t>
  </si>
  <si>
    <t>Kia</t>
  </si>
  <si>
    <t>687 Main St</t>
  </si>
  <si>
    <t>Kian</t>
  </si>
  <si>
    <t>688 Main St</t>
  </si>
  <si>
    <t>Kiera</t>
  </si>
  <si>
    <t>689 Main St</t>
  </si>
  <si>
    <t>Kieran</t>
  </si>
  <si>
    <t>690 Main St</t>
  </si>
  <si>
    <t>Kiley</t>
  </si>
  <si>
    <t>691 Main St</t>
  </si>
  <si>
    <t>Killian</t>
  </si>
  <si>
    <t>692 Main St</t>
  </si>
  <si>
    <t>Kim</t>
  </si>
  <si>
    <t>693 Main St</t>
  </si>
  <si>
    <t>Kimberly</t>
  </si>
  <si>
    <t>694 Main St</t>
  </si>
  <si>
    <t>King</t>
  </si>
  <si>
    <t>695 Main St</t>
  </si>
  <si>
    <t>Kingston</t>
  </si>
  <si>
    <t>696 Main St</t>
  </si>
  <si>
    <t>Kinley</t>
  </si>
  <si>
    <t>697 Main St</t>
  </si>
  <si>
    <t>Kip</t>
  </si>
  <si>
    <t>698 Main St</t>
  </si>
  <si>
    <t>Kira</t>
  </si>
  <si>
    <t>699 Main St</t>
  </si>
  <si>
    <t>Kirk</t>
  </si>
  <si>
    <t>700 Main St</t>
  </si>
  <si>
    <t>Kit</t>
  </si>
  <si>
    <t>701 Main St</t>
  </si>
  <si>
    <t>Kiya</t>
  </si>
  <si>
    <t>702 Main St</t>
  </si>
  <si>
    <t>Knox</t>
  </si>
  <si>
    <t>703 Main St</t>
  </si>
  <si>
    <t>Kolby</t>
  </si>
  <si>
    <t>704 Main St</t>
  </si>
  <si>
    <t>Kora</t>
  </si>
  <si>
    <t>705 Main St</t>
  </si>
  <si>
    <t>Korbin</t>
  </si>
  <si>
    <t>706 Main St</t>
  </si>
  <si>
    <t>Korey</t>
  </si>
  <si>
    <t>707 Main St</t>
  </si>
  <si>
    <t>Kory</t>
  </si>
  <si>
    <t>708 Main St</t>
  </si>
  <si>
    <t>Kourtney</t>
  </si>
  <si>
    <t>709 Main St</t>
  </si>
  <si>
    <t>Krista</t>
  </si>
  <si>
    <t>710 Main St</t>
  </si>
  <si>
    <t>Kristan</t>
  </si>
  <si>
    <t>711 Main St</t>
  </si>
  <si>
    <t>Kristen</t>
  </si>
  <si>
    <t>712 Main St</t>
  </si>
  <si>
    <t>Kristi</t>
  </si>
  <si>
    <t>713 Main St</t>
  </si>
  <si>
    <t>Kristie</t>
  </si>
  <si>
    <t>714 Main St</t>
  </si>
  <si>
    <t>Kristin</t>
  </si>
  <si>
    <t>715 Main St</t>
  </si>
  <si>
    <t>Kristina</t>
  </si>
  <si>
    <t>716 Main St</t>
  </si>
  <si>
    <t>Kristine</t>
  </si>
  <si>
    <t>717 Main St</t>
  </si>
  <si>
    <t>Kristy</t>
  </si>
  <si>
    <t>718 Main St</t>
  </si>
  <si>
    <t>Krystal</t>
  </si>
  <si>
    <t>719 Main St</t>
  </si>
  <si>
    <t>Kya</t>
  </si>
  <si>
    <t>720 Main St</t>
  </si>
  <si>
    <t>Kyla</t>
  </si>
  <si>
    <t>721 Main St</t>
  </si>
  <si>
    <t>Kylie</t>
  </si>
  <si>
    <t>722 Main St</t>
  </si>
  <si>
    <t>Kyra</t>
  </si>
  <si>
    <t>723 Main St</t>
  </si>
  <si>
    <t>Lacey</t>
  </si>
  <si>
    <t>724 Main St</t>
  </si>
  <si>
    <t>Lachlan</t>
  </si>
  <si>
    <t>725 Main St</t>
  </si>
  <si>
    <t>Lacy</t>
  </si>
  <si>
    <t>726 Main St</t>
  </si>
  <si>
    <t>Laila</t>
  </si>
  <si>
    <t>727 Main St</t>
  </si>
  <si>
    <t>Lamar</t>
  </si>
  <si>
    <t>728 Main St</t>
  </si>
  <si>
    <t>Lana</t>
  </si>
  <si>
    <t>729 Main St</t>
  </si>
  <si>
    <t>Lance</t>
  </si>
  <si>
    <t>730 Main St</t>
  </si>
  <si>
    <t>Landon</t>
  </si>
  <si>
    <t>731 Main St</t>
  </si>
  <si>
    <t>Lane</t>
  </si>
  <si>
    <t>732 Main St</t>
  </si>
  <si>
    <t>Laney</t>
  </si>
  <si>
    <t>733 Main St</t>
  </si>
  <si>
    <t>Lara</t>
  </si>
  <si>
    <t>734 Main St</t>
  </si>
  <si>
    <t>Larry</t>
  </si>
  <si>
    <t>735 Main St</t>
  </si>
  <si>
    <t>Lars</t>
  </si>
  <si>
    <t>736 Main St</t>
  </si>
  <si>
    <t>Laurel</t>
  </si>
  <si>
    <t>737 Main St</t>
  </si>
  <si>
    <t>Lauren</t>
  </si>
  <si>
    <t>738 Main St</t>
  </si>
  <si>
    <t>Laurie</t>
  </si>
  <si>
    <t>739 Main St</t>
  </si>
  <si>
    <t>Lawson</t>
  </si>
  <si>
    <t>740 Main St</t>
  </si>
  <si>
    <t>Layla</t>
  </si>
  <si>
    <t>741 Main St</t>
  </si>
  <si>
    <t>Lea</t>
  </si>
  <si>
    <t>742 Main St</t>
  </si>
  <si>
    <t>Leah</t>
  </si>
  <si>
    <t>743 Main St</t>
  </si>
  <si>
    <t>Leann</t>
  </si>
  <si>
    <t>744 Main St</t>
  </si>
  <si>
    <t>Leanna</t>
  </si>
  <si>
    <t>745 Main St</t>
  </si>
  <si>
    <t>Leanne</t>
  </si>
  <si>
    <t>746 Main St</t>
  </si>
  <si>
    <t>Lee</t>
  </si>
  <si>
    <t>747 Main St</t>
  </si>
  <si>
    <t>Leif</t>
  </si>
  <si>
    <t>748 Main St</t>
  </si>
  <si>
    <t>Leigh</t>
  </si>
  <si>
    <t>749 Main St</t>
  </si>
  <si>
    <t>Leila</t>
  </si>
  <si>
    <t>750 Main St</t>
  </si>
  <si>
    <t>Lena</t>
  </si>
  <si>
    <t>751 Main St</t>
  </si>
  <si>
    <t>Lennox</t>
  </si>
  <si>
    <t>752 Main St</t>
  </si>
  <si>
    <t>Leo</t>
  </si>
  <si>
    <t>753 Main St</t>
  </si>
  <si>
    <t>Leon</t>
  </si>
  <si>
    <t>754 Main St</t>
  </si>
  <si>
    <t>Leonard</t>
  </si>
  <si>
    <t>755 Main St</t>
  </si>
  <si>
    <t>Leonel</t>
  </si>
  <si>
    <t>756 Main St</t>
  </si>
  <si>
    <t>Leonidas</t>
  </si>
  <si>
    <t>757 Main St</t>
  </si>
  <si>
    <t>Leroy</t>
  </si>
  <si>
    <t>758 Main St</t>
  </si>
  <si>
    <t>Lesley</t>
  </si>
  <si>
    <t>759 Main St</t>
  </si>
  <si>
    <t>Leslie</t>
  </si>
  <si>
    <t>760 Main St</t>
  </si>
  <si>
    <t>Lester</t>
  </si>
  <si>
    <t>761 Main St</t>
  </si>
  <si>
    <t>Levi</t>
  </si>
  <si>
    <t>762 Main St</t>
  </si>
  <si>
    <t>Lexi</t>
  </si>
  <si>
    <t>763 Main St</t>
  </si>
  <si>
    <t>Lexie</t>
  </si>
  <si>
    <t>764 Main St</t>
  </si>
  <si>
    <t>Lia</t>
  </si>
  <si>
    <t>765 Main St</t>
  </si>
  <si>
    <t>Liana</t>
  </si>
  <si>
    <t>766 Main St</t>
  </si>
  <si>
    <t>Lianne</t>
  </si>
  <si>
    <t>767 Main St</t>
  </si>
  <si>
    <t>Libby</t>
  </si>
  <si>
    <t>768 Main St</t>
  </si>
  <si>
    <t>Lila</t>
  </si>
  <si>
    <t>769 Main St</t>
  </si>
  <si>
    <t>Lili</t>
  </si>
  <si>
    <t>770 Main St</t>
  </si>
  <si>
    <t>Lilia</t>
  </si>
  <si>
    <t>771 Main St</t>
  </si>
  <si>
    <t>Lillian</t>
  </si>
  <si>
    <t>772 Main St</t>
  </si>
  <si>
    <t>Lilliana</t>
  </si>
  <si>
    <t>773 Main St</t>
  </si>
  <si>
    <t>Lillie</t>
  </si>
  <si>
    <t>774 Main St</t>
  </si>
  <si>
    <t>Lilly</t>
  </si>
  <si>
    <t>775 Main St</t>
  </si>
  <si>
    <t>Lily</t>
  </si>
  <si>
    <t>776 Main St</t>
  </si>
  <si>
    <t>Lina</t>
  </si>
  <si>
    <t>777 Main St</t>
  </si>
  <si>
    <t>Lincoln</t>
  </si>
  <si>
    <t>778 Main St</t>
  </si>
  <si>
    <t>Linda</t>
  </si>
  <si>
    <t>779 Main St</t>
  </si>
  <si>
    <t>Lindsay</t>
  </si>
  <si>
    <t>780 Main St</t>
  </si>
  <si>
    <t>Lindsey</t>
  </si>
  <si>
    <t>781 Main St</t>
  </si>
  <si>
    <t>Lisa</t>
  </si>
  <si>
    <t>782 Main St</t>
  </si>
  <si>
    <t>Lisette</t>
  </si>
  <si>
    <t>783 Main St</t>
  </si>
  <si>
    <t>Livia</t>
  </si>
  <si>
    <t>784 Main St</t>
  </si>
  <si>
    <t>Liz</t>
  </si>
  <si>
    <t>785 Main St</t>
  </si>
  <si>
    <t>Liza</t>
  </si>
  <si>
    <t>786 Main St</t>
  </si>
  <si>
    <t>Lizbeth</t>
  </si>
  <si>
    <t>787 Main St</t>
  </si>
  <si>
    <t>Lizette</t>
  </si>
  <si>
    <t>788 Main St</t>
  </si>
  <si>
    <t>Lizzie</t>
  </si>
  <si>
    <t>789 Main St</t>
  </si>
  <si>
    <t>Lloyd</t>
  </si>
  <si>
    <t>790 Main St</t>
  </si>
  <si>
    <t>Logan</t>
  </si>
  <si>
    <t>791 Main St</t>
  </si>
  <si>
    <t>Lois</t>
  </si>
  <si>
    <t>792 Main St</t>
  </si>
  <si>
    <t>Lola</t>
  </si>
  <si>
    <t>793 Main St</t>
  </si>
  <si>
    <t>794 Main St</t>
  </si>
  <si>
    <t>Lonnie</t>
  </si>
  <si>
    <t>795 Main St</t>
  </si>
  <si>
    <t>Lorelai</t>
  </si>
  <si>
    <t>796 Main St</t>
  </si>
  <si>
    <t>Lorelei</t>
  </si>
  <si>
    <t>797 Main St</t>
  </si>
  <si>
    <t>Lorena</t>
  </si>
  <si>
    <t>798 Main St</t>
  </si>
  <si>
    <t>Lorenzo</t>
  </si>
  <si>
    <t>799 Main St</t>
  </si>
  <si>
    <t>Lori</t>
  </si>
  <si>
    <t>800 Main St</t>
  </si>
  <si>
    <t>Lorna</t>
  </si>
  <si>
    <t>801 Main St</t>
  </si>
  <si>
    <t>Lorraine</t>
  </si>
  <si>
    <t>802 Main St</t>
  </si>
  <si>
    <t>Lottie</t>
  </si>
  <si>
    <t>803 Main St</t>
  </si>
  <si>
    <t>Lou</t>
  </si>
  <si>
    <t>804 Main St</t>
  </si>
  <si>
    <t>Louisa</t>
  </si>
  <si>
    <t>805 Main St</t>
  </si>
  <si>
    <t>Louise</t>
  </si>
  <si>
    <t>806 Main St</t>
  </si>
  <si>
    <t>Lourdes</t>
  </si>
  <si>
    <t>807 Main St</t>
  </si>
  <si>
    <t>Lowell</t>
  </si>
  <si>
    <t>808 Main St</t>
  </si>
  <si>
    <t>Lucas</t>
  </si>
  <si>
    <t>809 Main St</t>
  </si>
  <si>
    <t>Luciana</t>
  </si>
  <si>
    <t>810 Main St</t>
  </si>
  <si>
    <t>Lucille</t>
  </si>
  <si>
    <t>811 Main St</t>
  </si>
  <si>
    <t>Lucinda</t>
  </si>
  <si>
    <t>812 Main St</t>
  </si>
  <si>
    <t>Lucia</t>
  </si>
  <si>
    <t>813 Main St</t>
  </si>
  <si>
    <t>Lucius</t>
  </si>
  <si>
    <t>814 Main St</t>
  </si>
  <si>
    <t>Lucky</t>
  </si>
  <si>
    <t>815 Main St</t>
  </si>
  <si>
    <t>Luisa</t>
  </si>
  <si>
    <t>816 Main St</t>
  </si>
  <si>
    <t>Luke</t>
  </si>
  <si>
    <t>817 Main St</t>
  </si>
  <si>
    <t>Luna</t>
  </si>
  <si>
    <t>818 Main St</t>
  </si>
  <si>
    <t>Luther</t>
  </si>
  <si>
    <t>819 Main St</t>
  </si>
  <si>
    <t>Lydia</t>
  </si>
  <si>
    <t>820 Main St</t>
  </si>
  <si>
    <t>Lynette</t>
  </si>
  <si>
    <t>821 Main St</t>
  </si>
  <si>
    <t>Lynn</t>
  </si>
  <si>
    <t>822 Main St</t>
  </si>
  <si>
    <t>Lynne</t>
  </si>
  <si>
    <t>823 Main St</t>
  </si>
  <si>
    <t>Lyric</t>
  </si>
  <si>
    <t>824 Main St</t>
  </si>
  <si>
    <t>Mabel</t>
  </si>
  <si>
    <t>825 Main St</t>
  </si>
  <si>
    <t>Mac</t>
  </si>
  <si>
    <t>826 Main St</t>
  </si>
  <si>
    <t>Mack</t>
  </si>
  <si>
    <t>827 Main St</t>
  </si>
  <si>
    <t>Mackenzie</t>
  </si>
  <si>
    <t>828 Main St</t>
  </si>
  <si>
    <t>Macy</t>
  </si>
  <si>
    <t>829 Main St</t>
  </si>
  <si>
    <t>Maddie</t>
  </si>
  <si>
    <t>830 Main St</t>
  </si>
  <si>
    <t>Maddox</t>
  </si>
  <si>
    <t>831 Main St</t>
  </si>
  <si>
    <t>Madeline</t>
  </si>
  <si>
    <t>832 Main St</t>
  </si>
  <si>
    <t>Madelyn</t>
  </si>
  <si>
    <t>833 Main St</t>
  </si>
  <si>
    <t>Madison</t>
  </si>
  <si>
    <t>834 Main St</t>
  </si>
  <si>
    <t>Mae</t>
  </si>
  <si>
    <t>835 Main St</t>
  </si>
  <si>
    <t>Maeve</t>
  </si>
  <si>
    <t>836 Main St</t>
  </si>
  <si>
    <t>Maggie</t>
  </si>
  <si>
    <t>837 Main St</t>
  </si>
  <si>
    <t>Magnolia</t>
  </si>
  <si>
    <t>838 Main St</t>
  </si>
  <si>
    <t>Mahmoud</t>
  </si>
  <si>
    <t>839 Main St</t>
  </si>
  <si>
    <t>Mai</t>
  </si>
  <si>
    <t>840 Main St</t>
  </si>
  <si>
    <t>Maisie</t>
  </si>
  <si>
    <t>841 Main St</t>
  </si>
  <si>
    <t>Major</t>
  </si>
  <si>
    <t>842 Main St</t>
  </si>
  <si>
    <t>Makayla</t>
  </si>
  <si>
    <t>843 Main St</t>
  </si>
  <si>
    <t>Malcolm</t>
  </si>
  <si>
    <t>844 Main St</t>
  </si>
  <si>
    <t>Mallory</t>
  </si>
  <si>
    <t>845 Main St</t>
  </si>
  <si>
    <t>Mandy</t>
  </si>
  <si>
    <t>846 Main St</t>
  </si>
  <si>
    <t>Manuel</t>
  </si>
  <si>
    <t>847 Main St</t>
  </si>
  <si>
    <t>Marc</t>
  </si>
  <si>
    <t>848 Main St</t>
  </si>
  <si>
    <t>Marcel</t>
  </si>
  <si>
    <t>849 Main St</t>
  </si>
  <si>
    <t>Marcia</t>
  </si>
  <si>
    <t>850 Main St</t>
  </si>
  <si>
    <t>Marco</t>
  </si>
  <si>
    <t>851 Main St</t>
  </si>
  <si>
    <t>Marcus</t>
  </si>
  <si>
    <t>852 Main St</t>
  </si>
  <si>
    <t>Marcy</t>
  </si>
  <si>
    <t>853 Main St</t>
  </si>
  <si>
    <t>Margaret</t>
  </si>
  <si>
    <t>854 Main St</t>
  </si>
  <si>
    <t>Margarita</t>
  </si>
  <si>
    <t>855 Main St</t>
  </si>
  <si>
    <t>Margo</t>
  </si>
  <si>
    <t>856 Main St</t>
  </si>
  <si>
    <t>Margot</t>
  </si>
  <si>
    <t>857 Main St</t>
  </si>
  <si>
    <t>Maria</t>
  </si>
  <si>
    <t>858 Main St</t>
  </si>
  <si>
    <t>Marian</t>
  </si>
  <si>
    <t>859 Main St</t>
  </si>
  <si>
    <t>Mariana</t>
  </si>
  <si>
    <t>860 Main St</t>
  </si>
  <si>
    <t>Maribel</t>
  </si>
  <si>
    <t>861 Main St</t>
  </si>
  <si>
    <t>Marie</t>
  </si>
  <si>
    <t>862 Main St</t>
  </si>
  <si>
    <t>Mariel</t>
  </si>
  <si>
    <t>863 Main St</t>
  </si>
  <si>
    <t>Marigold</t>
  </si>
  <si>
    <t>864 Main St</t>
  </si>
  <si>
    <t>Marilyn</t>
  </si>
  <si>
    <t>865 Main St</t>
  </si>
  <si>
    <t>Marina</t>
  </si>
  <si>
    <t>866 Main St</t>
  </si>
  <si>
    <t>Mario</t>
  </si>
  <si>
    <t>867 Main St</t>
  </si>
  <si>
    <t>Marisa</t>
  </si>
  <si>
    <t>868 Main St</t>
  </si>
  <si>
    <t>Marisol</t>
  </si>
  <si>
    <t>869 Main St</t>
  </si>
  <si>
    <t>Marissa</t>
  </si>
  <si>
    <t>870 Main St</t>
  </si>
  <si>
    <t>Marjorie</t>
  </si>
  <si>
    <t>871 Main St</t>
  </si>
  <si>
    <t>Mark</t>
  </si>
  <si>
    <t>872 Main St</t>
  </si>
  <si>
    <t>Marla</t>
  </si>
  <si>
    <t>873 Main St</t>
  </si>
  <si>
    <t>Marlene</t>
  </si>
  <si>
    <t>874 Main St</t>
  </si>
  <si>
    <t>Marlin</t>
  </si>
  <si>
    <t>875 Main St</t>
  </si>
  <si>
    <t>Marley</t>
  </si>
  <si>
    <t>876 Main St</t>
  </si>
  <si>
    <t>Marlo</t>
  </si>
  <si>
    <t>877 Main St</t>
  </si>
  <si>
    <t>Marlon</t>
  </si>
  <si>
    <t>878 Main St</t>
  </si>
  <si>
    <t>Marsha</t>
  </si>
  <si>
    <t>879 Main St</t>
  </si>
  <si>
    <t>Martha</t>
  </si>
  <si>
    <t>880 Main St</t>
  </si>
  <si>
    <t>Martin</t>
  </si>
  <si>
    <t>881 Main St</t>
  </si>
  <si>
    <t>Martina</t>
  </si>
  <si>
    <t>882 Main St</t>
  </si>
  <si>
    <t>Marty</t>
  </si>
  <si>
    <t>883 Main St</t>
  </si>
  <si>
    <t>Marvin</t>
  </si>
  <si>
    <t>884 Main St</t>
  </si>
  <si>
    <t>Mary</t>
  </si>
  <si>
    <t>885 Main St</t>
  </si>
  <si>
    <t>Maryann</t>
  </si>
  <si>
    <t>886 Main St</t>
  </si>
  <si>
    <t>Mat</t>
  </si>
  <si>
    <t>887 Main St</t>
  </si>
  <si>
    <t>Mateo</t>
  </si>
  <si>
    <t>888 Main St</t>
  </si>
  <si>
    <t>Mathew</t>
  </si>
  <si>
    <t>889 Main St</t>
  </si>
  <si>
    <t>Mathilda</t>
  </si>
  <si>
    <t>890 Main St</t>
  </si>
  <si>
    <t>Mathilde</t>
  </si>
  <si>
    <t>891 Main St</t>
  </si>
  <si>
    <t>Matilda</t>
  </si>
  <si>
    <t>892 Main St</t>
  </si>
  <si>
    <t>Matt</t>
  </si>
  <si>
    <t>893 Main St</t>
  </si>
  <si>
    <t>Matthew</t>
  </si>
  <si>
    <t>894 Main St</t>
  </si>
  <si>
    <t>Mattie</t>
  </si>
  <si>
    <t>895 Main St</t>
  </si>
  <si>
    <t>Maureen</t>
  </si>
  <si>
    <t>896 Main St</t>
  </si>
  <si>
    <t>Maverick</t>
  </si>
  <si>
    <t>897 Main St</t>
  </si>
  <si>
    <t>Max</t>
  </si>
  <si>
    <t>898 Main St</t>
  </si>
  <si>
    <t>Maximus</t>
  </si>
  <si>
    <t>899 Main St</t>
  </si>
  <si>
    <t>Maxwell</t>
  </si>
  <si>
    <t>900 Main St</t>
  </si>
  <si>
    <t>May</t>
  </si>
  <si>
    <t>901 Main St</t>
  </si>
  <si>
    <t>Maya</t>
  </si>
  <si>
    <t>902 Main St</t>
  </si>
  <si>
    <t>Mayson</t>
  </si>
  <si>
    <t>903 Main St</t>
  </si>
  <si>
    <t>Meagan</t>
  </si>
  <si>
    <t>904 Main St</t>
  </si>
  <si>
    <t>Meadow</t>
  </si>
  <si>
    <t>905 Main St</t>
  </si>
  <si>
    <t>Meg</t>
  </si>
  <si>
    <t>906 Main St</t>
  </si>
  <si>
    <t>Megan</t>
  </si>
  <si>
    <t>907 Main St</t>
  </si>
  <si>
    <t>Melanie</t>
  </si>
  <si>
    <t>908 Main St</t>
  </si>
  <si>
    <t>Melinda</t>
  </si>
  <si>
    <t>909 Main St</t>
  </si>
  <si>
    <t>Melissa</t>
  </si>
  <si>
    <t>910 Main St</t>
  </si>
  <si>
    <t>Melody</t>
  </si>
  <si>
    <t>911 Main St</t>
  </si>
  <si>
    <t>Melvin</t>
  </si>
  <si>
    <t>912 Main St</t>
  </si>
  <si>
    <t>Mercedes</t>
  </si>
  <si>
    <t>913 Main St</t>
  </si>
  <si>
    <t>Meredith</t>
  </si>
  <si>
    <t>914 Main St</t>
  </si>
  <si>
    <t>Merlin</t>
  </si>
  <si>
    <t>915 Main St</t>
  </si>
  <si>
    <t>Meryl</t>
  </si>
  <si>
    <t>916 Main St</t>
  </si>
  <si>
    <t>Micah</t>
  </si>
  <si>
    <t>917 Main St</t>
  </si>
  <si>
    <t>Michael</t>
  </si>
  <si>
    <t>918 Main St</t>
  </si>
  <si>
    <t>Michaela</t>
  </si>
  <si>
    <t>919 Main St</t>
  </si>
  <si>
    <t>Michele</t>
  </si>
  <si>
    <t>920 Main St</t>
  </si>
  <si>
    <t>Michelle</t>
  </si>
  <si>
    <t>921 Main St</t>
  </si>
  <si>
    <t>Mick</t>
  </si>
  <si>
    <t>922 Main St</t>
  </si>
  <si>
    <t>Mickey</t>
  </si>
  <si>
    <t>923 Main St</t>
  </si>
  <si>
    <t>Miguel</t>
  </si>
  <si>
    <t>924 Main St</t>
  </si>
  <si>
    <t>Mika</t>
  </si>
  <si>
    <t>925 Main St</t>
  </si>
  <si>
    <t>Mikel</t>
  </si>
  <si>
    <t>926 Main St</t>
  </si>
  <si>
    <t>Mikhail</t>
  </si>
  <si>
    <t>927 Main St</t>
  </si>
  <si>
    <t>Mila</t>
  </si>
  <si>
    <t>928 Main St</t>
  </si>
  <si>
    <t>Milan</t>
  </si>
  <si>
    <t>929 Main St</t>
  </si>
  <si>
    <t>Milena</t>
  </si>
  <si>
    <t>930 Main St</t>
  </si>
  <si>
    <t>Miles</t>
  </si>
  <si>
    <t>931 Main St</t>
  </si>
  <si>
    <t>Millie</t>
  </si>
  <si>
    <t>932 Main St</t>
  </si>
  <si>
    <t>Milo</t>
  </si>
  <si>
    <t>933 Main St</t>
  </si>
  <si>
    <t>Milton</t>
  </si>
  <si>
    <t>934 Main St</t>
  </si>
  <si>
    <t>Mimi</t>
  </si>
  <si>
    <t>935 Main St</t>
  </si>
  <si>
    <t>Mina</t>
  </si>
  <si>
    <t>936 Main St</t>
  </si>
  <si>
    <t>Mindy</t>
  </si>
  <si>
    <t>937 Main St</t>
  </si>
  <si>
    <t>Minnie</t>
  </si>
  <si>
    <t>938 Main St</t>
  </si>
  <si>
    <t>Mira</t>
  </si>
  <si>
    <t>939 Main St</t>
  </si>
  <si>
    <t>Miranda</t>
  </si>
  <si>
    <t>940 Main St</t>
  </si>
  <si>
    <t>Miriam</t>
  </si>
  <si>
    <t>941 Main St</t>
  </si>
  <si>
    <t>Missy</t>
  </si>
  <si>
    <t>942 Main St</t>
  </si>
  <si>
    <t>Misty</t>
  </si>
  <si>
    <t>943 Main St</t>
  </si>
  <si>
    <t>Mitch</t>
  </si>
  <si>
    <t>944 Main St</t>
  </si>
  <si>
    <t>Mitchell</t>
  </si>
  <si>
    <t>945 Main St</t>
  </si>
  <si>
    <t>Moira</t>
  </si>
  <si>
    <t>946 Main St</t>
  </si>
  <si>
    <t>Molly</t>
  </si>
  <si>
    <t>947 Main St</t>
  </si>
  <si>
    <t>Monroe</t>
  </si>
  <si>
    <t>948 Main St</t>
  </si>
  <si>
    <t>Monty</t>
  </si>
  <si>
    <t>949 Main St</t>
  </si>
  <si>
    <t>Morgan</t>
  </si>
  <si>
    <t>950 Main St</t>
  </si>
  <si>
    <t>Morris</t>
  </si>
  <si>
    <t>951 Main St</t>
  </si>
  <si>
    <t>Mortimer</t>
  </si>
  <si>
    <t>952 Main St</t>
  </si>
  <si>
    <t>Morton</t>
  </si>
  <si>
    <t>953 Main St</t>
  </si>
  <si>
    <t>Moses</t>
  </si>
  <si>
    <t>954 Main St</t>
  </si>
  <si>
    <t>Muhammad</t>
  </si>
  <si>
    <t>955 Main St</t>
  </si>
  <si>
    <t>Muriel</t>
  </si>
  <si>
    <t>956 Main St</t>
  </si>
  <si>
    <t>Myra</t>
  </si>
  <si>
    <t>957 Main St</t>
  </si>
  <si>
    <t>Myron</t>
  </si>
  <si>
    <t>958 Main St</t>
  </si>
  <si>
    <t>Nadia</t>
  </si>
  <si>
    <t>959 Main St</t>
  </si>
  <si>
    <t>Nadine</t>
  </si>
  <si>
    <t>960 Main St</t>
  </si>
  <si>
    <t>Nancy</t>
  </si>
  <si>
    <t>961 Main St</t>
  </si>
  <si>
    <t>Naomi</t>
  </si>
  <si>
    <t>962 Main St</t>
  </si>
  <si>
    <t>Natalia</t>
  </si>
  <si>
    <t>963 Main St</t>
  </si>
  <si>
    <t>Natalie</t>
  </si>
  <si>
    <t>964 Main St</t>
  </si>
  <si>
    <t>Natasha</t>
  </si>
  <si>
    <t>965 Main St</t>
  </si>
  <si>
    <t>Nate</t>
  </si>
  <si>
    <t>966 Main St</t>
  </si>
  <si>
    <t>Nathan</t>
  </si>
  <si>
    <t>967 Main St</t>
  </si>
  <si>
    <t>Nathaniel</t>
  </si>
  <si>
    <t>968 Main St</t>
  </si>
  <si>
    <t>Neal</t>
  </si>
  <si>
    <t>969 Main St</t>
  </si>
  <si>
    <t>Ned</t>
  </si>
  <si>
    <t>970 Main St</t>
  </si>
  <si>
    <t>Nehemiah</t>
  </si>
  <si>
    <t>971 Main St</t>
  </si>
  <si>
    <t>Neil</t>
  </si>
  <si>
    <t>972 Main St</t>
  </si>
  <si>
    <t>Nell</t>
  </si>
  <si>
    <t>973 Main St</t>
  </si>
  <si>
    <t>Nellie</t>
  </si>
  <si>
    <t>974 Main St</t>
  </si>
  <si>
    <t>Nelson</t>
  </si>
  <si>
    <t>975 Main St</t>
  </si>
  <si>
    <t>Nia</t>
  </si>
  <si>
    <t>976 Main St</t>
  </si>
  <si>
    <t>Nicholas</t>
  </si>
  <si>
    <t>977 Main St</t>
  </si>
  <si>
    <t>Nick</t>
  </si>
  <si>
    <t>978 Main St</t>
  </si>
  <si>
    <t>Nicki</t>
  </si>
  <si>
    <t>979 Main St</t>
  </si>
  <si>
    <t>Nicola</t>
  </si>
  <si>
    <t>980 Main St</t>
  </si>
  <si>
    <t>Nicole</t>
  </si>
  <si>
    <t>981 Main St</t>
  </si>
  <si>
    <t>Nicolette</t>
  </si>
  <si>
    <t>982 Main St</t>
  </si>
  <si>
    <t>Nigel</t>
  </si>
  <si>
    <t>983 Main St</t>
  </si>
  <si>
    <t>Nikki</t>
  </si>
  <si>
    <t>984 Main St</t>
  </si>
  <si>
    <t>Nina</t>
  </si>
  <si>
    <t>985 Main St</t>
  </si>
  <si>
    <t>Noah</t>
  </si>
  <si>
    <t>986 Main St</t>
  </si>
  <si>
    <t>Noel</t>
  </si>
  <si>
    <t>987 Main St</t>
  </si>
  <si>
    <t>Noelle</t>
  </si>
  <si>
    <t>988 Main St</t>
  </si>
  <si>
    <t>Nolan</t>
  </si>
  <si>
    <t>989 Main St</t>
  </si>
  <si>
    <t>Nola</t>
  </si>
  <si>
    <t>990 Main St</t>
  </si>
  <si>
    <t>Nora</t>
  </si>
  <si>
    <t>991 Main St</t>
  </si>
  <si>
    <t>Norah</t>
  </si>
  <si>
    <t>992 Main St</t>
  </si>
  <si>
    <t>Norbert</t>
  </si>
  <si>
    <t>993 Main St</t>
  </si>
  <si>
    <t>Norman</t>
  </si>
  <si>
    <t>994 Main St</t>
  </si>
  <si>
    <t>Norris</t>
  </si>
  <si>
    <t>995 Main St</t>
  </si>
  <si>
    <t>Nova</t>
  </si>
  <si>
    <t>996 Main St</t>
  </si>
  <si>
    <t>Nya</t>
  </si>
  <si>
    <t>997 Main St</t>
  </si>
  <si>
    <t>Nylah</t>
  </si>
  <si>
    <t>998 Main St</t>
  </si>
  <si>
    <t>Nyle</t>
  </si>
  <si>
    <t>999 Main St</t>
  </si>
  <si>
    <t>Nyla</t>
  </si>
  <si>
    <t>1000 Main St</t>
  </si>
  <si>
    <t>Row Labels</t>
  </si>
  <si>
    <t>Grand Total</t>
  </si>
  <si>
    <t>Count of Gender</t>
  </si>
  <si>
    <t>Sum of Salary</t>
  </si>
  <si>
    <t>Performance Category</t>
  </si>
  <si>
    <t>XLOOKUP</t>
  </si>
  <si>
    <t>Reverse Vlookup</t>
  </si>
  <si>
    <t>Index +  Match Function</t>
  </si>
  <si>
    <t>SUMIF</t>
  </si>
  <si>
    <t>Column1</t>
  </si>
  <si>
    <t>Column2</t>
  </si>
  <si>
    <t>COUNTIF</t>
  </si>
  <si>
    <t>SUM Salary</t>
  </si>
  <si>
    <t>AVERAGE Of Salary</t>
  </si>
  <si>
    <t>Highest Salary</t>
  </si>
  <si>
    <t>Lowest Salary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</si>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</sst>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CAEB"/>
        <bgColor rgb="FF83CAEB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2" borderId="7" xfId="0" applyFont="1" applyFill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11.618702893516" createdVersion="8" refreshedVersion="8" minRefreshableVersion="3" recordCount="1000" xr:uid="{6BB189F0-6671-4495-8B66-B156C218386B}">
  <cacheSource type="worksheet">
    <worksheetSource ref="A1:O1001" sheet="Main Data"/>
  </cacheSource>
  <cacheFields count="15">
    <cacheField name="FirstName" numFmtId="0">
      <sharedItems count="1000">
        <s v="Aaron"/>
        <s v="Abby"/>
        <s v="Abel"/>
        <s v="Abigail"/>
        <s v="Abraham"/>
        <s v="Adam"/>
        <s v="Addison"/>
        <s v="Adele"/>
        <s v="Adrian"/>
        <s v="Aidan"/>
        <s v="Ainsley"/>
        <s v="Aisha"/>
        <s v="Aiden"/>
        <s v="Alan"/>
        <s v="Alana"/>
        <s v="Albert"/>
        <s v="Alexa"/>
        <s v="Alexander"/>
        <s v="Alexis"/>
        <s v="Alice"/>
        <s v="Alicia"/>
        <s v="Alison"/>
        <s v="Alistair"/>
        <s v="Allie"/>
        <s v="Ally"/>
        <s v="Alma"/>
        <s v="Alondra"/>
        <s v="Alvin"/>
        <s v="Alyssa"/>
        <s v="Amara"/>
        <s v="Amber"/>
        <s v="Amelia"/>
        <s v="Amir"/>
        <s v="Amos"/>
        <s v="Amy"/>
        <s v="Ana"/>
        <s v="Anabelle"/>
        <s v="Andre"/>
        <s v="Andrea"/>
        <s v="Andrew"/>
        <s v="Angela"/>
        <s v="Angelica"/>
        <s v="Angelina"/>
        <s v="Angelo"/>
        <s v="Anika"/>
        <s v="Anissa"/>
        <s v="Ann"/>
        <s v="Anna"/>
        <s v="Annabel"/>
        <s v="Annabella"/>
        <s v="Annalise"/>
        <s v="Anne"/>
        <s v="Annette"/>
        <s v="Annie"/>
        <s v="Anthony"/>
        <s v="Antonio"/>
        <s v="April"/>
        <s v="Arabella"/>
        <s v="Archer"/>
        <s v="Arden"/>
        <s v="Ariel"/>
        <s v="Ariella"/>
        <s v="Arlo"/>
        <s v="Arnold"/>
        <s v="Arthur"/>
        <s v="Arya"/>
        <s v="Asher"/>
        <s v="Ashley"/>
        <s v="Ashton"/>
        <s v="Athena"/>
        <s v="Aubrey"/>
        <s v="Audrey"/>
        <s v="August"/>
        <s v="Aurora"/>
        <s v="Austin"/>
        <s v="Autumn"/>
        <s v="Ava"/>
        <s v="Avery"/>
        <s v="Axel"/>
        <s v="Bailey"/>
        <s v="Barbara"/>
        <s v="Barnaby"/>
        <s v="Barrett"/>
        <s v="Barry"/>
        <s v="Beatrice"/>
        <s v="Beau"/>
        <s v="Becca"/>
        <s v="Becky"/>
        <s v="Bella"/>
        <s v="Belle"/>
        <s v="Ben"/>
        <s v="Benjamin"/>
        <s v="Bennett"/>
        <s v="Benny"/>
        <s v="Bernard"/>
        <s v="Beth"/>
        <s v="Bethany"/>
        <s v="Betsy"/>
        <s v="Betty"/>
        <s v="Bianca"/>
        <s v="Bill"/>
        <s v="Billy"/>
        <s v="Blaine"/>
        <s v="Blake"/>
        <s v="Blair"/>
        <s v="Blanche"/>
        <s v="Blayne"/>
        <s v="Bo"/>
        <s v="Bob"/>
        <s v="Bobby"/>
        <s v="Bonnie"/>
        <s v="Brad"/>
        <s v="Bradley"/>
        <s v="Brady"/>
        <s v="Brandon"/>
        <s v="Brandy"/>
        <s v="Breanna"/>
        <s v="Brenda"/>
        <s v="Brent"/>
        <s v="Brett"/>
        <s v="Brian"/>
        <s v="Briana"/>
        <s v="Brianna"/>
        <s v="Bridget"/>
        <s v="Britt"/>
        <s v="Brittany"/>
        <s v="Brooke"/>
        <s v="Brooks"/>
        <s v="Bruce"/>
        <s v="Bryan"/>
        <s v="Bryce"/>
        <s v="Bryn"/>
        <s v="Brynn"/>
        <s v="Buddy"/>
        <s v="Burke"/>
        <s v="Byron"/>
        <s v="Cade"/>
        <s v="Caden"/>
        <s v="Caitlin"/>
        <s v="Caleb"/>
        <s v="Callie"/>
        <s v="Calvin"/>
        <s v="Cameron"/>
        <s v="Camilla"/>
        <s v="Camille"/>
        <s v="Candace"/>
        <s v="Candy"/>
        <s v="Cara"/>
        <s v="Carl"/>
        <s v="Carla"/>
        <s v="Carlee"/>
        <s v="Carley"/>
        <s v="Carlos"/>
        <s v="Carly"/>
        <s v="Carmen"/>
        <s v="Carol"/>
        <s v="Caroline"/>
        <s v="Carolyn"/>
        <s v="Carrie"/>
        <s v="Carson"/>
        <s v="Carter"/>
        <s v="Casey"/>
        <s v="Cassandra"/>
        <s v="Cassie"/>
        <s v="Catherine"/>
        <s v="Cathy"/>
        <s v="Cayden"/>
        <s v="Cecil"/>
        <s v="Cedric"/>
        <s v="Celeste"/>
        <s v="Celine"/>
        <s v="Chad"/>
        <s v="Chance"/>
        <s v="Chandler"/>
        <s v="Chanel"/>
        <s v="Channing"/>
        <s v="Charles"/>
        <s v="Charlie"/>
        <s v="Charlotte"/>
        <s v="Chase"/>
        <s v="Chelsea"/>
        <s v="Cheryl"/>
        <s v="Cheyenne"/>
        <s v="Chloe"/>
        <s v="Chris"/>
        <s v="Christian"/>
        <s v="Christina"/>
        <s v="Christine"/>
        <s v="Christopher"/>
        <s v="Cindy"/>
        <s v="Claire"/>
        <s v="Clara"/>
        <s v="Clarence"/>
        <s v="Clark"/>
        <s v="Claudia"/>
        <s v="Clay"/>
        <s v="Clayton"/>
        <s v="Clementine"/>
        <s v="Cliff"/>
        <s v="Clifford"/>
        <s v="Clinton"/>
        <s v="Clive"/>
        <s v="Clyde"/>
        <s v="Cody"/>
        <s v="Colby"/>
        <s v="Cole"/>
        <s v="Colette"/>
        <s v="Colin"/>
        <s v="Colleen"/>
        <s v="Collin"/>
        <s v="Colt"/>
        <s v="Colton"/>
        <s v="Conner"/>
        <s v="Connor"/>
        <s v="Conrad"/>
        <s v="Cooper"/>
        <s v="Coral"/>
        <s v="Corey"/>
        <s v="Corinne"/>
        <s v="Cornelius"/>
        <s v="Cory"/>
        <s v="Courtney"/>
        <s v="Craig"/>
        <s v="Crystal"/>
        <s v="Curtis"/>
        <s v="Cynthia"/>
        <s v="Cyrus"/>
        <s v="Daisy"/>
        <s v="Dakota"/>
        <s v="Dale"/>
        <s v="Dallas"/>
        <s v="Dalton"/>
        <s v="Damon"/>
        <s v="Dan"/>
        <s v="Dana"/>
        <s v="Dane"/>
        <s v="Dani"/>
        <s v="Daniel"/>
        <s v="Danielle"/>
        <s v="Danny"/>
        <s v="Daphne"/>
        <s v="Darby"/>
        <s v="Darcie"/>
        <s v="Darla"/>
        <s v="Darlene"/>
        <s v="Darnell"/>
        <s v="Daron"/>
        <s v="Darrell"/>
        <s v="Darren"/>
        <s v="Darrin"/>
        <s v="Daryl"/>
        <s v="Dave"/>
        <s v="David"/>
        <s v="Dawn"/>
        <s v="Dean"/>
        <s v="Deanna"/>
        <s v="Deanne"/>
        <s v="Debbie"/>
        <s v="Deborah"/>
        <s v="Debra"/>
        <s v="Dee"/>
        <s v="Deidre"/>
        <s v="Delaney"/>
        <s v="Delia"/>
        <s v="Delilah"/>
        <s v="Dell"/>
        <s v="Della"/>
        <s v="Denise"/>
        <s v="Dennis"/>
        <s v="Derek"/>
        <s v="Desmond"/>
        <s v="Devin"/>
        <s v="Devon"/>
        <s v="Dexter"/>
        <s v="Diana"/>
        <s v="Diane"/>
        <s v="Dianna"/>
        <s v="Diego"/>
        <s v="Dina"/>
        <s v="Dixie"/>
        <s v="Dolores"/>
        <s v="Dominic"/>
        <s v="Don"/>
        <s v="Donald"/>
        <s v="Donna"/>
        <s v="Donnie"/>
        <s v="Donovan"/>
        <s v="Dora"/>
        <s v="Doris"/>
        <s v="Dorothy"/>
        <s v="Doug"/>
        <s v="Douglas"/>
        <s v="Drake"/>
        <s v="Drew"/>
        <s v="Duane"/>
        <s v="Duke"/>
        <s v="Duncan"/>
        <s v="Dustin"/>
        <s v="Dusty"/>
        <s v="Dylan"/>
        <s v="Earl"/>
        <s v="Ebony"/>
        <s v="Ed"/>
        <s v="Eddie"/>
        <s v="Edgar"/>
        <s v="Edith"/>
        <s v="Edmund"/>
        <s v="Edna"/>
        <s v="Edward"/>
        <s v="Edwin"/>
        <s v="Eileen"/>
        <s v="Elaine"/>
        <s v="Eleanor"/>
        <s v="Elena"/>
        <s v="Eli"/>
        <s v="Eliana"/>
        <s v="Elias"/>
        <s v="Elijah"/>
        <s v="Elise"/>
        <s v="Eliza"/>
        <s v="Elizabeth"/>
        <s v="Ella"/>
        <s v="Ellen"/>
        <s v="Ellie"/>
        <s v="Elliott"/>
        <s v="Ellis"/>
        <s v="Elmer"/>
        <s v="Eloise"/>
        <s v="Elsa"/>
        <s v="Elsie"/>
        <s v="Elva"/>
        <s v="Elvin"/>
        <s v="Elvira"/>
        <s v="Emelia"/>
        <s v="Emilia"/>
        <s v="Emily"/>
        <s v="Emma"/>
        <s v="Emmett"/>
        <s v="Enid"/>
        <s v="Enzo"/>
        <s v="Eric"/>
        <s v="Erica"/>
        <s v="Erik"/>
        <s v="Erin"/>
        <s v="Ernest"/>
        <s v="Esme"/>
        <s v="Esteban"/>
        <s v="Esther"/>
        <s v="Ethan"/>
        <s v="Ethel"/>
        <s v="Eugene"/>
        <s v="Eva"/>
        <s v="Evan"/>
        <s v="Evelyn"/>
        <s v="Everett"/>
        <s v="Ezra"/>
        <s v="Fabian"/>
        <s v="Faith"/>
        <s v="Fallon"/>
        <s v="Fanny"/>
        <s v="Farrah"/>
        <s v="Fatima"/>
        <s v="Felicia"/>
        <s v="Felix"/>
        <s v="Ferdinand"/>
        <s v="Fern"/>
        <s v="Fernando"/>
        <s v="Fiona"/>
        <s v="Floyd"/>
        <s v="Flynn"/>
        <s v="Ford"/>
        <s v="Forest"/>
        <s v="Forrest"/>
        <s v="Frances"/>
        <s v="Francesca"/>
        <s v="Francis"/>
        <s v="Francisco"/>
        <s v="Frank"/>
        <s v="Frankie"/>
        <s v="Franklin"/>
        <s v="Fred"/>
        <s v="Freddie"/>
        <s v="Frederick"/>
        <s v="Fredrick"/>
        <s v="Frida"/>
        <s v="Gabriel"/>
        <s v="Gabriella"/>
        <s v="Gabrielle"/>
        <s v="Gail"/>
        <s v="Gale"/>
        <s v="Garrett"/>
        <s v="Gary"/>
        <s v="Gavin"/>
        <s v="Gemma"/>
        <s v="Gene"/>
        <s v="Genesis"/>
        <s v="Genevieve"/>
        <s v="George"/>
        <s v="Georgia"/>
        <s v="Georgina"/>
        <s v="Gerald"/>
        <s v="Geraldine"/>
        <s v="Gertrude"/>
        <s v="Gia"/>
        <s v="Gideon"/>
        <s v="Gilbert"/>
        <s v="Gillian"/>
        <s v="Gina"/>
        <s v="Ginger"/>
        <s v="Giovanna"/>
        <s v="Giovanni"/>
        <s v="Giselle"/>
        <s v="Gladys"/>
        <s v="Gloria"/>
        <s v="Gordon"/>
        <s v="Grace"/>
        <s v="Gracie"/>
        <s v="Graham"/>
        <s v="Grant"/>
        <s v="Grayson"/>
        <s v="Greg"/>
        <s v="Gregg"/>
        <s v="Gregory"/>
        <s v="Greta"/>
        <s v="Gretchen"/>
        <s v="Griffin"/>
        <s v="Guadalupe"/>
        <s v="Guido"/>
        <s v="Gwen"/>
        <s v="Gwendolyn"/>
        <s v="Hadley"/>
        <s v="Hailey"/>
        <s v="Hal"/>
        <s v="Haley"/>
        <s v="Hallie"/>
        <s v="Hank"/>
        <s v="Hannah"/>
        <s v="Hans"/>
        <s v="Harley"/>
        <s v="Harold"/>
        <s v="Harmony"/>
        <s v="Harper"/>
        <s v="Harrison"/>
        <s v="Harry"/>
        <s v="Harvey"/>
        <s v="Hattie"/>
        <s v="Hayden"/>
        <s v="Hazel"/>
        <s v="Heath"/>
        <s v="Heather"/>
        <s v="Hector"/>
        <s v="Heidi"/>
        <s v="Helen"/>
        <s v="Helena"/>
        <s v="Helene"/>
        <s v="Henry"/>
        <s v="Herbert"/>
        <s v="Herman"/>
        <s v="Hilary"/>
        <s v="Hillary"/>
        <s v="Holly"/>
        <s v="Hope"/>
        <s v="Howard"/>
        <s v="Hudson"/>
        <s v="Hugh"/>
        <s v="Hugo"/>
        <s v="Hunter"/>
        <s v="Ian"/>
        <s v="Ibrahim"/>
        <s v="Ida"/>
        <s v="Ignatius"/>
        <s v="Ike"/>
        <s v="Iliana"/>
        <s v="Imani"/>
        <s v="Imogen"/>
        <s v="India"/>
        <s v="Indigo"/>
        <s v="Inez"/>
        <s v="Ingrid"/>
        <s v="Ira"/>
        <s v="Irene"/>
        <s v="Iris"/>
        <s v="Irma"/>
        <s v="Isaac"/>
        <s v="Isabel"/>
        <s v="Isabella"/>
        <s v="Isabelle"/>
        <s v="Isadora"/>
        <s v="Isaiah"/>
        <s v="Isaias"/>
        <s v="Isla"/>
        <s v="Israel"/>
        <s v="Issac"/>
        <s v="Ivan"/>
        <s v="Ivy"/>
        <s v="Izabella"/>
        <s v="Jace"/>
        <s v="Jack"/>
        <s v="Jackie"/>
        <s v="Jackson"/>
        <s v="Jacob"/>
        <s v="Jacquelyn"/>
        <s v="Jade"/>
        <s v="Jaden"/>
        <s v="Jadyn"/>
        <s v="Jaelyn"/>
        <s v="Jagger"/>
        <s v="Jaime"/>
        <s v="Jake"/>
        <s v="Jakob"/>
        <s v="Jamal"/>
        <s v="James"/>
        <s v="Jameson"/>
        <s v="Jamie"/>
        <s v="Jamison"/>
        <s v="Jan"/>
        <s v="Jana"/>
        <s v="Janae"/>
        <s v="Jane"/>
        <s v="Janelle"/>
        <s v="Janet"/>
        <s v="Janice"/>
        <s v="Jared"/>
        <s v="Jarrett"/>
        <s v="Jarvis"/>
        <s v="Jasmin"/>
        <s v="Jasmine"/>
        <s v="Jason"/>
        <s v="Jasper"/>
        <s v="Javier"/>
        <s v="Jax"/>
        <s v="Jaxon"/>
        <s v="Jaxson"/>
        <s v="Jay"/>
        <s v="Jayden"/>
        <s v="Jayla"/>
        <s v="Jaylen"/>
        <s v="Jaylene"/>
        <s v="Jazlyn"/>
        <s v="Jazmin"/>
        <s v="Jazmine"/>
        <s v="Jean"/>
        <s v="Jeanette"/>
        <s v="Jeanne"/>
        <s v="Jeannette"/>
        <s v="Jeannie"/>
        <s v="Jeannine"/>
        <s v="Jed"/>
        <s v="Jeff"/>
        <s v="Jeffery"/>
        <s v="Jefferson"/>
        <s v="Jeffrey"/>
        <s v="Jenna"/>
        <s v="Jennifer"/>
        <s v="Jenny"/>
        <s v="Jeremiah"/>
        <s v="Jeremy"/>
        <s v="Jeri"/>
        <s v="Jericho"/>
        <s v="Jerome"/>
        <s v="Jerry"/>
        <s v="Jess"/>
        <s v="Jesse"/>
        <s v="Jessica"/>
        <s v="Jessie"/>
        <s v="Jesus"/>
        <s v="Jewel"/>
        <s v="Jewell"/>
        <s v="Jilian"/>
        <s v="Jill"/>
        <s v="Jillian"/>
        <s v="Jim"/>
        <s v="Jimmy"/>
        <s v="Joan"/>
        <s v="Joanna"/>
        <s v="Joanne"/>
        <s v="Jocelyn"/>
        <s v="Jodi"/>
        <s v="Jodie"/>
        <s v="Jody"/>
        <s v="Joe"/>
        <s v="Joel"/>
        <s v="Joelle"/>
        <s v="Joey"/>
        <s v="Johan"/>
        <s v="Johanna"/>
        <s v="John"/>
        <s v="Johnathan"/>
        <s v="Johnny"/>
        <s v="Jonas"/>
        <s v="Jonathan"/>
        <s v="Jonathon"/>
        <s v="Joni"/>
        <s v="Jordan"/>
        <s v="Jordyn"/>
        <s v="Jorge"/>
        <s v="Jose"/>
        <s v="Joseph"/>
        <s v="Josephine"/>
        <s v="Josh"/>
        <s v="Joshua"/>
        <s v="Josiah"/>
        <s v="Josie"/>
        <s v="Joy"/>
        <s v="Joyce"/>
        <s v="Juan"/>
        <s v="Juanita"/>
        <s v="Judah"/>
        <s v="Jude"/>
        <s v="Judith"/>
        <s v="Judy"/>
        <s v="Julia"/>
        <s v="Julian"/>
        <s v="Juliana"/>
        <s v="Julianna"/>
        <s v="Julianne"/>
        <s v="Julie"/>
        <s v="Juliet"/>
        <s v="Juliette"/>
        <s v="Julio"/>
        <s v="June"/>
        <s v="Junior"/>
        <s v="Justin"/>
        <s v="Justine"/>
        <s v="Kaden"/>
        <s v="Kai"/>
        <s v="Kaiden"/>
        <s v="Kaitlin"/>
        <s v="Kaitlyn"/>
        <s v="Kala"/>
        <s v="Kale"/>
        <s v="Kaleb"/>
        <s v="Kaleigh"/>
        <s v="Kali"/>
        <s v="Kallie"/>
        <s v="Kamryn"/>
        <s v="Kane"/>
        <s v="Kara"/>
        <s v="Karen"/>
        <s v="Kari"/>
        <s v="Karina"/>
        <s v="Karl"/>
        <s v="Karla"/>
        <s v="Karlee"/>
        <s v="Karlie"/>
        <s v="Karol"/>
        <s v="Karson"/>
        <s v="Kasey"/>
        <s v="Kash"/>
        <s v="Kate"/>
        <s v="Katelyn"/>
        <s v="Katherine"/>
        <s v="Kathleen"/>
        <s v="Kathryn"/>
        <s v="Kathy"/>
        <s v="Katie"/>
        <s v="Katlyn"/>
        <s v="Katrina"/>
        <s v="Kay"/>
        <s v="Kayden"/>
        <s v="Kayla"/>
        <s v="Kaylee"/>
        <s v="Kayleigh"/>
        <s v="Kaylen"/>
        <s v="Kayley"/>
        <s v="Keegan"/>
        <s v="Keely"/>
        <s v="Keira"/>
        <s v="Keith"/>
        <s v="Kellen"/>
        <s v="Kelly"/>
        <s v="Kelvin"/>
        <s v="Kelsey"/>
        <s v="Kendall"/>
        <s v="Kendra"/>
        <s v="Kenley"/>
        <s v="Kenna"/>
        <s v="Kenneth"/>
        <s v="Kenny"/>
        <s v="Kent"/>
        <s v="Kenya"/>
        <s v="Keri"/>
        <s v="Kerrigan"/>
        <s v="Kerry"/>
        <s v="Kevin"/>
        <s v="Khloe"/>
        <s v="Kia"/>
        <s v="Kian"/>
        <s v="Kiera"/>
        <s v="Kieran"/>
        <s v="Kiley"/>
        <s v="Killian"/>
        <s v="Kim"/>
        <s v="Kimberly"/>
        <s v="King"/>
        <s v="Kingston"/>
        <s v="Kinley"/>
        <s v="Kip"/>
        <s v="Kira"/>
        <s v="Kirk"/>
        <s v="Kit"/>
        <s v="Kiya"/>
        <s v="Knox"/>
        <s v="Kolby"/>
        <s v="Kora"/>
        <s v="Korbin"/>
        <s v="Korey"/>
        <s v="Kory"/>
        <s v="Kourtney"/>
        <s v="Krista"/>
        <s v="Kristan"/>
        <s v="Kristen"/>
        <s v="Kristi"/>
        <s v="Kristie"/>
        <s v="Kristin"/>
        <s v="Kristina"/>
        <s v="Kristine"/>
        <s v="Kristy"/>
        <s v="Krystal"/>
        <s v="Kya"/>
        <s v="Kyla"/>
        <s v="Kylie"/>
        <s v="Kyra"/>
        <s v="Lacey"/>
        <s v="Lachlan"/>
        <s v="Lacy"/>
        <s v="Laila"/>
        <s v="Lamar"/>
        <s v="Lana"/>
        <s v="Lance"/>
        <s v="Landon"/>
        <s v="Lane"/>
        <s v="Laney"/>
        <s v="Lara"/>
        <s v="Larry"/>
        <s v="Lars"/>
        <s v="Laurel"/>
        <s v="Lauren"/>
        <s v="Laurie"/>
        <s v="Lawson"/>
        <s v="Layla"/>
        <s v="Lea"/>
        <s v="Leah"/>
        <s v="Leann"/>
        <s v="Leanna"/>
        <s v="Leanne"/>
        <s v="Lee"/>
        <s v="Leif"/>
        <s v="Leigh"/>
        <s v="Leila"/>
        <s v="Lena"/>
        <s v="Lennox"/>
        <s v="Leo"/>
        <s v="Leon"/>
        <s v="Leonard"/>
        <s v="Leonel"/>
        <s v="Leonidas"/>
        <s v="Leroy"/>
        <s v="Lesley"/>
        <s v="Leslie"/>
        <s v="Lester"/>
        <s v="Levi"/>
        <s v="Lexi"/>
        <s v="Lexie"/>
        <s v="Lia"/>
        <s v="Liana"/>
        <s v="Lianne"/>
        <s v="Libby"/>
        <s v="Lila"/>
        <s v="Lili"/>
        <s v="Lilia"/>
        <s v="Lillian"/>
        <s v="Lilliana"/>
        <s v="Lillie"/>
        <s v="Lilly"/>
        <s v="Lily"/>
        <s v="Lina"/>
        <s v="Lincoln"/>
        <s v="Linda"/>
        <s v="Lindsay"/>
        <s v="Lindsey"/>
        <s v="Lisa"/>
        <s v="Lisette"/>
        <s v="Livia"/>
        <s v="Liz"/>
        <s v="Liza"/>
        <s v="Lizbeth"/>
        <s v="Lizette"/>
        <s v="Lizzie"/>
        <s v="Lloyd"/>
        <s v="Logan"/>
        <s v="Lois"/>
        <s v="Lola"/>
        <s v="London"/>
        <s v="Lonnie"/>
        <s v="Lorelai"/>
        <s v="Lorelei"/>
        <s v="Lorena"/>
        <s v="Lorenzo"/>
        <s v="Lori"/>
        <s v="Lorna"/>
        <s v="Lorraine"/>
        <s v="Lottie"/>
        <s v="Lou"/>
        <s v="Louisa"/>
        <s v="Louise"/>
        <s v="Lourdes"/>
        <s v="Lowell"/>
        <s v="Lucas"/>
        <s v="Luciana"/>
        <s v="Lucille"/>
        <s v="Lucinda"/>
        <s v="Lucia"/>
        <s v="Lucius"/>
        <s v="Lucky"/>
        <s v="Luisa"/>
        <s v="Luke"/>
        <s v="Luna"/>
        <s v="Luther"/>
        <s v="Lydia"/>
        <s v="Lynette"/>
        <s v="Lynn"/>
        <s v="Lynne"/>
        <s v="Lyric"/>
        <s v="Mabel"/>
        <s v="Mac"/>
        <s v="Mack"/>
        <s v="Mackenzie"/>
        <s v="Macy"/>
        <s v="Maddie"/>
        <s v="Maddox"/>
        <s v="Madeline"/>
        <s v="Madelyn"/>
        <s v="Madison"/>
        <s v="Mae"/>
        <s v="Maeve"/>
        <s v="Maggie"/>
        <s v="Magnolia"/>
        <s v="Mahmoud"/>
        <s v="Mai"/>
        <s v="Maisie"/>
        <s v="Major"/>
        <s v="Makayla"/>
        <s v="Malcolm"/>
        <s v="Mallory"/>
        <s v="Mandy"/>
        <s v="Manuel"/>
        <s v="Marc"/>
        <s v="Marcel"/>
        <s v="Marcia"/>
        <s v="Marco"/>
        <s v="Marcus"/>
        <s v="Marcy"/>
        <s v="Margaret"/>
        <s v="Margarita"/>
        <s v="Margo"/>
        <s v="Margot"/>
        <s v="Maria"/>
        <s v="Marian"/>
        <s v="Mariana"/>
        <s v="Maribel"/>
        <s v="Marie"/>
        <s v="Mariel"/>
        <s v="Marigold"/>
        <s v="Marilyn"/>
        <s v="Marina"/>
        <s v="Mario"/>
        <s v="Marisa"/>
        <s v="Marisol"/>
        <s v="Marissa"/>
        <s v="Marjorie"/>
        <s v="Mark"/>
        <s v="Marla"/>
        <s v="Marlene"/>
        <s v="Marlin"/>
        <s v="Marley"/>
        <s v="Marlo"/>
        <s v="Marlon"/>
        <s v="Marsha"/>
        <s v="Martha"/>
        <s v="Martin"/>
        <s v="Martina"/>
        <s v="Marty"/>
        <s v="Marvin"/>
        <s v="Mary"/>
        <s v="Maryann"/>
        <s v="Mat"/>
        <s v="Mateo"/>
        <s v="Mathew"/>
        <s v="Mathilda"/>
        <s v="Mathilde"/>
        <s v="Matilda"/>
        <s v="Matt"/>
        <s v="Matthew"/>
        <s v="Mattie"/>
        <s v="Maureen"/>
        <s v="Maverick"/>
        <s v="Max"/>
        <s v="Maximus"/>
        <s v="Maxwell"/>
        <s v="May"/>
        <s v="Maya"/>
        <s v="Mayson"/>
        <s v="Meagan"/>
        <s v="Meadow"/>
        <s v="Meg"/>
        <s v="Megan"/>
        <s v="Melanie"/>
        <s v="Melinda"/>
        <s v="Melissa"/>
        <s v="Melody"/>
        <s v="Melvin"/>
        <s v="Mercedes"/>
        <s v="Meredith"/>
        <s v="Merlin"/>
        <s v="Meryl"/>
        <s v="Micah"/>
        <s v="Michael"/>
        <s v="Michaela"/>
        <s v="Michele"/>
        <s v="Michelle"/>
        <s v="Mick"/>
        <s v="Mickey"/>
        <s v="Miguel"/>
        <s v="Mika"/>
        <s v="Mikel"/>
        <s v="Mikhail"/>
        <s v="Mila"/>
        <s v="Milan"/>
        <s v="Milena"/>
        <s v="Miles"/>
        <s v="Millie"/>
        <s v="Milo"/>
        <s v="Milton"/>
        <s v="Mimi"/>
        <s v="Mina"/>
        <s v="Mindy"/>
        <s v="Minnie"/>
        <s v="Mira"/>
        <s v="Miranda"/>
        <s v="Miriam"/>
        <s v="Missy"/>
        <s v="Misty"/>
        <s v="Mitch"/>
        <s v="Mitchell"/>
        <s v="Moira"/>
        <s v="Molly"/>
        <s v="Monroe"/>
        <s v="Monty"/>
        <s v="Morgan"/>
        <s v="Morris"/>
        <s v="Mortimer"/>
        <s v="Morton"/>
        <s v="Moses"/>
        <s v="Muhammad"/>
        <s v="Muriel"/>
        <s v="Myra"/>
        <s v="Myron"/>
        <s v="Nadia"/>
        <s v="Nadine"/>
        <s v="Nancy"/>
        <s v="Naomi"/>
        <s v="Natalia"/>
        <s v="Natalie"/>
        <s v="Natasha"/>
        <s v="Nate"/>
        <s v="Nathan"/>
        <s v="Nathaniel"/>
        <s v="Neal"/>
        <s v="Ned"/>
        <s v="Nehemiah"/>
        <s v="Neil"/>
        <s v="Nell"/>
        <s v="Nellie"/>
        <s v="Nelson"/>
        <s v="Nia"/>
        <s v="Nicholas"/>
        <s v="Nick"/>
        <s v="Nicki"/>
        <s v="Nicola"/>
        <s v="Nicole"/>
        <s v="Nicolette"/>
        <s v="Nigel"/>
        <s v="Nikki"/>
        <s v="Nina"/>
        <s v="Noah"/>
        <s v="Noel"/>
        <s v="Noelle"/>
        <s v="Nolan"/>
        <s v="Nola"/>
        <s v="Nora"/>
        <s v="Norah"/>
        <s v="Norbert"/>
        <s v="Norman"/>
        <s v="Norris"/>
        <s v="Nova"/>
        <s v="Nya"/>
        <s v="Nylah"/>
        <s v="Nyle"/>
        <s v="Nyla"/>
      </sharedItems>
    </cacheField>
    <cacheField name="Age" numFmtId="0">
      <sharedItems containsSemiMixedTypes="0" containsString="0" containsNumber="1" containsInteger="1" minValue="22" maxValue="64"/>
    </cacheField>
    <cacheField name="Gender" numFmtId="0">
      <sharedItems count="3">
        <s v="Female"/>
        <s v="Other"/>
        <s v="Male"/>
      </sharedItems>
    </cacheField>
    <cacheField name="Department" numFmtId="0">
      <sharedItems count="5">
        <s v="Finance"/>
        <s v="Development"/>
        <s v="Support"/>
        <s v="Marketing"/>
        <s v="HR"/>
      </sharedItems>
    </cacheField>
    <cacheField name="JobTitle" numFmtId="0">
      <sharedItems/>
    </cacheField>
    <cacheField name="Employee ID" numFmtId="0">
      <sharedItems containsSemiMixedTypes="0" containsString="0" containsNumber="1" containsInteger="1" minValue="1001" maxValue="2000" count="10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Salary" numFmtId="0">
      <sharedItems containsSemiMixedTypes="0" containsString="0" containsNumber="1" minValue="50308.51" maxValue="199972.19" count="1000">
        <n v="186978.16"/>
        <n v="180610.63"/>
        <n v="85152.37"/>
        <n v="68024.81"/>
        <n v="130122.92"/>
        <n v="128330.48"/>
        <n v="119762.64"/>
        <n v="126188.66"/>
        <n v="140463.31"/>
        <n v="192474.29"/>
        <n v="186296.33"/>
        <n v="155436.01999999999"/>
        <n v="185303.25"/>
        <n v="147402.04999999999"/>
        <n v="160358.07999999999"/>
        <n v="142161.03"/>
        <n v="106217.93"/>
        <n v="114500.4"/>
        <n v="135513.35"/>
        <n v="86687.91"/>
        <n v="61550.15"/>
        <n v="154481.57999999999"/>
        <n v="123181.38"/>
        <n v="85790"/>
        <n v="115900.12"/>
        <n v="54839.09"/>
        <n v="121415.73"/>
        <n v="145305.42000000001"/>
        <n v="147349.46"/>
        <n v="81651.429999999993"/>
        <n v="105524.85"/>
        <n v="122537.78"/>
        <n v="193496.4"/>
        <n v="105630.04"/>
        <n v="118351.06"/>
        <n v="199429.49"/>
        <n v="63495.8"/>
        <n v="50511.46"/>
        <n v="81183.16"/>
        <n v="62803.18"/>
        <n v="183849.86"/>
        <n v="125027.13"/>
        <n v="169114.03"/>
        <n v="187406.32"/>
        <n v="193266.69"/>
        <n v="96855.19"/>
        <n v="86845.98"/>
        <n v="139543.64000000001"/>
        <n v="133726.10999999999"/>
        <n v="184934.92"/>
        <n v="116625.29"/>
        <n v="198684.03"/>
        <n v="162065.97"/>
        <n v="180376.54"/>
        <n v="139521.15"/>
        <n v="160423.66"/>
        <n v="180510.58"/>
        <n v="168671.1"/>
        <n v="132003.32999999999"/>
        <n v="187832.01"/>
        <n v="80646.55"/>
        <n v="86216.16"/>
        <n v="146404.20000000001"/>
        <n v="179868.67"/>
        <n v="71229.509999999995"/>
        <n v="137742.38"/>
        <n v="178939.88"/>
        <n v="117411.9"/>
        <n v="101480.08"/>
        <n v="181861.73"/>
        <n v="190144.74"/>
        <n v="147474.16"/>
        <n v="182363.39"/>
        <n v="98636.45"/>
        <n v="136704"/>
        <n v="160288.32000000001"/>
        <n v="107907.36"/>
        <n v="126664.7"/>
        <n v="199972.19"/>
        <n v="90064.11"/>
        <n v="81638.899999999994"/>
        <n v="77048.899999999994"/>
        <n v="85240.26"/>
        <n v="89440.43"/>
        <n v="114399.86"/>
        <n v="163549.73000000001"/>
        <n v="130455.49"/>
        <n v="177627.47"/>
        <n v="50532.9"/>
        <n v="191020.43"/>
        <n v="75577.7"/>
        <n v="109813.63"/>
        <n v="175520.46"/>
        <n v="146799.99"/>
        <n v="67509.440000000002"/>
        <n v="187066.97"/>
        <n v="177682.97"/>
        <n v="112967.08"/>
        <n v="104824.8"/>
        <n v="159929.82999999999"/>
        <n v="135123.97"/>
        <n v="52630.1"/>
        <n v="55964.99"/>
        <n v="169848.08"/>
        <n v="111312.24"/>
        <n v="69669.53"/>
        <n v="183950.64"/>
        <n v="158746.28"/>
        <n v="106077.69"/>
        <n v="70223.91"/>
        <n v="57538.97"/>
        <n v="146054.62"/>
        <n v="143874.01"/>
        <n v="161261.99"/>
        <n v="147168.12"/>
        <n v="117431.74"/>
        <n v="67284.429999999993"/>
        <n v="105675.72"/>
        <n v="141270.35999999999"/>
        <n v="128756.24"/>
        <n v="93820.77"/>
        <n v="85363.67"/>
        <n v="95725.81"/>
        <n v="59834.07"/>
        <n v="152954.07"/>
        <n v="102781.5"/>
        <n v="95566.29"/>
        <n v="130536.23"/>
        <n v="142573.92000000001"/>
        <n v="51482.720000000001"/>
        <n v="154557.16"/>
        <n v="154261.34"/>
        <n v="116150.2"/>
        <n v="137115.62"/>
        <n v="125582.69"/>
        <n v="52229.94"/>
        <n v="67393.98"/>
        <n v="141807.04999999999"/>
        <n v="92140.25"/>
        <n v="53356.22"/>
        <n v="183419.13"/>
        <n v="187395.08"/>
        <n v="136605.31"/>
        <n v="119278.22"/>
        <n v="71070.22"/>
        <n v="189565.49"/>
        <n v="153919.70000000001"/>
        <n v="106734.88"/>
        <n v="88353.35"/>
        <n v="106234.64"/>
        <n v="188957.26"/>
        <n v="82479.19"/>
        <n v="83730.61"/>
        <n v="112813.36"/>
        <n v="106580.85"/>
        <n v="116570.12"/>
        <n v="140480.73000000001"/>
        <n v="184040.76"/>
        <n v="190807.87"/>
        <n v="191072.85"/>
        <n v="50831.66"/>
        <n v="178449.14"/>
        <n v="137283.79999999999"/>
        <n v="110179.37"/>
        <n v="146244.54999999999"/>
        <n v="135417.26"/>
        <n v="80727.91"/>
        <n v="62707.45"/>
        <n v="78835.399999999994"/>
        <n v="84119.27"/>
        <n v="138503.97"/>
        <n v="92393.52"/>
        <n v="128933.96"/>
        <n v="117712.36"/>
        <n v="130926.87"/>
        <n v="77898.44"/>
        <n v="178306.49"/>
        <n v="160380.57999999999"/>
        <n v="61575.01"/>
        <n v="183559.83"/>
        <n v="101829.91"/>
        <n v="195532.2"/>
        <n v="164843.44"/>
        <n v="132118.04"/>
        <n v="173839.41"/>
        <n v="185049.93"/>
        <n v="82501.289999999994"/>
        <n v="127951.58"/>
        <n v="123811.86"/>
        <n v="169519.69"/>
        <n v="193583.63"/>
        <n v="125357.1"/>
        <n v="134070.73000000001"/>
        <n v="113482.71"/>
        <n v="124727.5"/>
        <n v="130015.62"/>
        <n v="163719.73000000001"/>
        <n v="197654.17"/>
        <n v="173855.59"/>
        <n v="192673.27"/>
        <n v="71992.12"/>
        <n v="74990.37"/>
        <n v="109528.23"/>
        <n v="113534.96"/>
        <n v="193982.72"/>
        <n v="164553.85"/>
        <n v="192770.19"/>
        <n v="101364.32"/>
        <n v="138571.32999999999"/>
        <n v="182403.37"/>
        <n v="99791.67"/>
        <n v="76041.3"/>
        <n v="89391.84"/>
        <n v="89788.08"/>
        <n v="184949.46"/>
        <n v="167271.48000000001"/>
        <n v="132362.87"/>
        <n v="131962.38"/>
        <n v="74255.320000000007"/>
        <n v="99664.94"/>
        <n v="81216.87"/>
        <n v="112649.78"/>
        <n v="135377.04999999999"/>
        <n v="75203.62"/>
        <n v="172822.37"/>
        <n v="121301.24"/>
        <n v="81721.25"/>
        <n v="143421.70000000001"/>
        <n v="54925.41"/>
        <n v="118633.76"/>
        <n v="59600.23"/>
        <n v="155324.64000000001"/>
        <n v="130433.43"/>
        <n v="142181"/>
        <n v="62515.58"/>
        <n v="83871.509999999995"/>
        <n v="112677.21"/>
        <n v="175174.77"/>
        <n v="128635.02"/>
        <n v="113961.94"/>
        <n v="100375.51"/>
        <n v="84741.68"/>
        <n v="57050.02"/>
        <n v="85831.32"/>
        <n v="92977.95"/>
        <n v="168191.05"/>
        <n v="170068.4"/>
        <n v="106539.51"/>
        <n v="53768.17"/>
        <n v="120671.16"/>
        <n v="184784.51"/>
        <n v="159433.12"/>
        <n v="61498.81"/>
        <n v="151849.89000000001"/>
        <n v="138610.54"/>
        <n v="177443.98"/>
        <n v="120788.75"/>
        <n v="86559.05"/>
        <n v="178608.16"/>
        <n v="164742.84"/>
        <n v="148731.92000000001"/>
        <n v="54169.54"/>
        <n v="111304.76"/>
        <n v="70896.56"/>
        <n v="119251.38"/>
        <n v="185497.47"/>
        <n v="76888.94"/>
        <n v="111964.28"/>
        <n v="99758.57"/>
        <n v="54618.06"/>
        <n v="74378.06"/>
        <n v="115673.3"/>
        <n v="169588.36"/>
        <n v="88571.34"/>
        <n v="142590.68"/>
        <n v="109148.24"/>
        <n v="136160.51"/>
        <n v="116788.28"/>
        <n v="161981.01"/>
        <n v="103253.23"/>
        <n v="193535.9"/>
        <n v="126059.32"/>
        <n v="76570.59"/>
        <n v="149758.34"/>
        <n v="108352.06"/>
        <n v="57802.47"/>
        <n v="97920.11"/>
        <n v="177253.69"/>
        <n v="122504.48"/>
        <n v="111005.18"/>
        <n v="186870.01"/>
        <n v="144259.57"/>
        <n v="102472.05"/>
        <n v="133219.37"/>
        <n v="113566.08"/>
        <n v="98288.22"/>
        <n v="140831.62"/>
        <n v="197069.33"/>
        <n v="107681.22"/>
        <n v="57746.52"/>
        <n v="103918.72"/>
        <n v="83447.59"/>
        <n v="101062.39999999999"/>
        <n v="126103.43"/>
        <n v="60969.99"/>
        <n v="63775.95"/>
        <n v="134329.53"/>
        <n v="180356.76"/>
        <n v="119810.78"/>
        <n v="77884.77"/>
        <n v="189165.58"/>
        <n v="146767.25"/>
        <n v="144878.19"/>
        <n v="169606.33"/>
        <n v="127384"/>
        <n v="184634.15"/>
        <n v="95364.7"/>
        <n v="190415.22"/>
        <n v="81866.41"/>
        <n v="74136.89"/>
        <n v="92477.56"/>
        <n v="93684.54"/>
        <n v="120886.15"/>
        <n v="66559.820000000007"/>
        <n v="184012.3"/>
        <n v="193604.34"/>
        <n v="69282.97"/>
        <n v="145482.03"/>
        <n v="145083.01999999999"/>
        <n v="93335.37"/>
        <n v="184869.66"/>
        <n v="148210.6"/>
        <n v="88084.17"/>
        <n v="138753.64000000001"/>
        <n v="94405.37"/>
        <n v="73687.56"/>
        <n v="102137.01"/>
        <n v="130733.75999999999"/>
        <n v="147300"/>
        <n v="175109.59"/>
        <n v="150809.65"/>
        <n v="94836.61"/>
        <n v="99829.42"/>
        <n v="133304.69"/>
        <n v="176496.43"/>
        <n v="128477.99"/>
        <n v="164126.15"/>
        <n v="135564.09"/>
        <n v="146714.74"/>
        <n v="178454.62"/>
        <n v="115852.17"/>
        <n v="154631.42000000001"/>
        <n v="175091.99"/>
        <n v="147273.34"/>
        <n v="59352.45"/>
        <n v="122891.69"/>
        <n v="139326.73000000001"/>
        <n v="93443.82"/>
        <n v="141212.79"/>
        <n v="185599.66"/>
        <n v="140652.57999999999"/>
        <n v="52839.72"/>
        <n v="127516.1"/>
        <n v="92964.75"/>
        <n v="130541.47"/>
        <n v="159085.45000000001"/>
        <n v="68096.73"/>
        <n v="55179.66"/>
        <n v="199478.17"/>
        <n v="76369.25"/>
        <n v="180074.03"/>
        <n v="90747.19"/>
        <n v="136176.37"/>
        <n v="100792.17"/>
        <n v="78449.41"/>
        <n v="120435.9"/>
        <n v="168409.03"/>
        <n v="165542.69"/>
        <n v="158346.10999999999"/>
        <n v="183095.37"/>
        <n v="86625.51"/>
        <n v="107360.69"/>
        <n v="79133.89"/>
        <n v="98849.600000000006"/>
        <n v="83955.17"/>
        <n v="55945.15"/>
        <n v="189257.88"/>
        <n v="166063.21"/>
        <n v="96180.12"/>
        <n v="146965.15"/>
        <n v="50377.71"/>
        <n v="164374.14000000001"/>
        <n v="129558.01"/>
        <n v="69389.240000000005"/>
        <n v="108015.22"/>
        <n v="66325.66"/>
        <n v="131376"/>
        <n v="92174.65"/>
        <n v="152633.64000000001"/>
        <n v="189097.28"/>
        <n v="56287.66"/>
        <n v="100083.47"/>
        <n v="120298.18"/>
        <n v="158702.24"/>
        <n v="77263.34"/>
        <n v="81558.710000000006"/>
        <n v="72396.899999999994"/>
        <n v="78211.460000000006"/>
        <n v="91186.13"/>
        <n v="198921.42"/>
        <n v="56218.77"/>
        <n v="90202.02"/>
        <n v="113204.39"/>
        <n v="190124.27"/>
        <n v="90825.03"/>
        <n v="102098.94"/>
        <n v="126445.75"/>
        <n v="59994.86"/>
        <n v="63513.69"/>
        <n v="77863.98"/>
        <n v="89280.19"/>
        <n v="127788.99"/>
        <n v="130275.07"/>
        <n v="164451.89000000001"/>
        <n v="117560.82"/>
        <n v="155677.67000000001"/>
        <n v="156137.44"/>
        <n v="194305.68"/>
        <n v="99504.05"/>
        <n v="103949.47"/>
        <n v="154358.57999999999"/>
        <n v="105989.57"/>
        <n v="174286.48"/>
        <n v="63463.66"/>
        <n v="154150.01999999999"/>
        <n v="73321.13"/>
        <n v="132586.35999999999"/>
        <n v="125927.47"/>
        <n v="151680.64000000001"/>
        <n v="134217.37"/>
        <n v="131330.39000000001"/>
        <n v="126730.18"/>
        <n v="166801.68"/>
        <n v="90293.06"/>
        <n v="74141.320000000007"/>
        <n v="51891.32"/>
        <n v="69781.47"/>
        <n v="146761.14000000001"/>
        <n v="158157.91"/>
        <n v="144438.03"/>
        <n v="60293.13"/>
        <n v="165890.32999999999"/>
        <n v="127434.94"/>
        <n v="86011.97"/>
        <n v="137986.93"/>
        <n v="112388.59"/>
        <n v="154603.26"/>
        <n v="124353.39"/>
        <n v="55397.05"/>
        <n v="146694"/>
        <n v="156708.01"/>
        <n v="147059.89000000001"/>
        <n v="187200.93"/>
        <n v="99966.81"/>
        <n v="84205.47"/>
        <n v="126542.11"/>
        <n v="171027.43"/>
        <n v="153019.21"/>
        <n v="113713.19"/>
        <n v="75135.62"/>
        <n v="75361.929999999993"/>
        <n v="115512.88"/>
        <n v="184602.8"/>
        <n v="113763.54"/>
        <n v="190227.15"/>
        <n v="120272.36"/>
        <n v="55507.31"/>
        <n v="89186.42"/>
        <n v="51788.23"/>
        <n v="79831.399999999994"/>
        <n v="119117.35"/>
        <n v="121215.02"/>
        <n v="198606.98"/>
        <n v="70899.87"/>
        <n v="138019.17000000001"/>
        <n v="66822.259999999995"/>
        <n v="102914.86"/>
        <n v="148622.15"/>
        <n v="135477.45000000001"/>
        <n v="99591.17"/>
        <n v="150677.26"/>
        <n v="152633.1"/>
        <n v="82335"/>
        <n v="109142.71"/>
        <n v="110719.86"/>
        <n v="182157.79"/>
        <n v="147571.76"/>
        <n v="154991.28"/>
        <n v="76122.87"/>
        <n v="198098.61"/>
        <n v="96385.88"/>
        <n v="126163.48"/>
        <n v="66406.78"/>
        <n v="87081.07"/>
        <n v="75125.34"/>
        <n v="167094.56"/>
        <n v="189006.14"/>
        <n v="151604.91"/>
        <n v="168991.2"/>
        <n v="74633.440000000002"/>
        <n v="115998.24"/>
        <n v="65451.54"/>
        <n v="188640.81"/>
        <n v="152927.76"/>
        <n v="65150.71"/>
        <n v="160695.57"/>
        <n v="95513.48"/>
        <n v="188053.94"/>
        <n v="59547.38"/>
        <n v="96702.42"/>
        <n v="177881.94"/>
        <n v="65496.39"/>
        <n v="91073.46"/>
        <n v="76208.539999999994"/>
        <n v="183878.99"/>
        <n v="121979.56"/>
        <n v="178407.2"/>
        <n v="98966.52"/>
        <n v="150357.47"/>
        <n v="65094.53"/>
        <n v="114556.85"/>
        <n v="88674.65"/>
        <n v="90758.03"/>
        <n v="67876.03"/>
        <n v="108246.99"/>
        <n v="75886.649999999994"/>
        <n v="152481.53"/>
        <n v="127607.52"/>
        <n v="118750.39999999999"/>
        <n v="181100.9"/>
        <n v="77795.33"/>
        <n v="154880.85"/>
        <n v="77774.16"/>
        <n v="144280.99"/>
        <n v="55860.97"/>
        <n v="55158.9"/>
        <n v="112106.12"/>
        <n v="198979.47"/>
        <n v="72123.34"/>
        <n v="162984.54"/>
        <n v="136079.5"/>
        <n v="92116.47"/>
        <n v="165222.51"/>
        <n v="94306.51"/>
        <n v="75310.399999999994"/>
        <n v="79117.16"/>
        <n v="78253.77"/>
        <n v="163784.25"/>
        <n v="129267.95"/>
        <n v="148034.73000000001"/>
        <n v="184148.21"/>
        <n v="75235.11"/>
        <n v="113352.93"/>
        <n v="152013.65"/>
        <n v="102467.66"/>
        <n v="149240.94"/>
        <n v="103959.8"/>
        <n v="76806.81"/>
        <n v="130105.82"/>
        <n v="52307.44"/>
        <n v="107761.93"/>
        <n v="152804.75"/>
        <n v="89658.78"/>
        <n v="158924.78"/>
        <n v="123959.3"/>
        <n v="93166.6"/>
        <n v="114703.67"/>
        <n v="59843.18"/>
        <n v="122224.49"/>
        <n v="111441.57"/>
        <n v="119168.51"/>
        <n v="65315.76"/>
        <n v="54137.82"/>
        <n v="69720.009999999995"/>
        <n v="96543.07"/>
        <n v="66204.36"/>
        <n v="165098.76"/>
        <n v="179512.19"/>
        <n v="137398.88"/>
        <n v="144189.63"/>
        <n v="194005.54"/>
        <n v="132712.63"/>
        <n v="180303.16"/>
        <n v="159094.14000000001"/>
        <n v="133133.51999999999"/>
        <n v="126717.08"/>
        <n v="54476.87"/>
        <n v="94627.61"/>
        <n v="85578.67"/>
        <n v="93873.05"/>
        <n v="149907.38"/>
        <n v="127407.79"/>
        <n v="110672.6"/>
        <n v="147956.4"/>
        <n v="76904.960000000006"/>
        <n v="85472.35"/>
        <n v="122192.26"/>
        <n v="155865.62"/>
        <n v="66372.600000000006"/>
        <n v="176904.31"/>
        <n v="163598.23000000001"/>
        <n v="146340.24"/>
        <n v="116439.74"/>
        <n v="172137.66"/>
        <n v="107062.89"/>
        <n v="79768.45"/>
        <n v="79643.06"/>
        <n v="186910.81"/>
        <n v="139021.10999999999"/>
        <n v="86153.05"/>
        <n v="84826.23"/>
        <n v="121962.51"/>
        <n v="133995.53"/>
        <n v="184492.29"/>
        <n v="88349.22"/>
        <n v="149020.12"/>
        <n v="158918.78"/>
        <n v="182301.05"/>
        <n v="181295.7"/>
        <n v="135718.99"/>
        <n v="98972.26"/>
        <n v="93392.17"/>
        <n v="153205.43"/>
        <n v="169668.18"/>
        <n v="111696.18"/>
        <n v="158624.41"/>
        <n v="64248.01"/>
        <n v="68255.63"/>
        <n v="112412.55"/>
        <n v="158607.1"/>
        <n v="187233.17"/>
        <n v="150847.21"/>
        <n v="76919.47"/>
        <n v="113011.89"/>
        <n v="90982.91"/>
        <n v="60115.79"/>
        <n v="173867.8"/>
        <n v="101529.57"/>
        <n v="127649.35"/>
        <n v="136504.01999999999"/>
        <n v="188112.37"/>
        <n v="65045.99"/>
        <n v="195862.91"/>
        <n v="116902.96"/>
        <n v="127929.26"/>
        <n v="198719.92"/>
        <n v="76363.62"/>
        <n v="160291.63"/>
        <n v="152458.94"/>
        <n v="83624.28"/>
        <n v="194938.78"/>
        <n v="55487.42"/>
        <n v="149090.34"/>
        <n v="181032.33"/>
        <n v="110052.66"/>
        <n v="116486.61"/>
        <n v="59861.93"/>
        <n v="89493.53"/>
        <n v="157490.16"/>
        <n v="197344.94"/>
        <n v="101753.24"/>
        <n v="72219.520000000004"/>
        <n v="63934.27"/>
        <n v="77055.44"/>
        <n v="66656.039999999994"/>
        <n v="174476.17"/>
        <n v="107513.21"/>
        <n v="109690.63"/>
        <n v="176548.6"/>
        <n v="161305.68"/>
        <n v="129041.36"/>
        <n v="124998.43"/>
        <n v="154489.60000000001"/>
        <n v="138104.04"/>
        <n v="78273.56"/>
        <n v="68865.39"/>
        <n v="110876"/>
        <n v="124112.18"/>
        <n v="62330.74"/>
        <n v="130349.48"/>
        <n v="195156.9"/>
        <n v="154730.23999999999"/>
        <n v="71385.53"/>
        <n v="135436.76"/>
        <n v="170663.21"/>
        <n v="101549.09"/>
        <n v="114340.01"/>
        <n v="50338.54"/>
        <n v="180432.47"/>
        <n v="120527.47"/>
        <n v="88031.99"/>
        <n v="79641.08"/>
        <n v="114077.64"/>
        <n v="83517.2"/>
        <n v="184516.81"/>
        <n v="84011.05"/>
        <n v="110365.18"/>
        <n v="71117.55"/>
        <n v="67829.279999999999"/>
        <n v="85659.69"/>
        <n v="50445.84"/>
        <n v="139795.07999999999"/>
        <n v="83342.28"/>
        <n v="114722.11"/>
        <n v="171294.34"/>
        <n v="112367.3"/>
        <n v="164765.1"/>
        <n v="156816.26"/>
        <n v="179244.66"/>
        <n v="109485.27"/>
        <n v="161410.70000000001"/>
        <n v="134470.70000000001"/>
        <n v="128127.83"/>
        <n v="90363.78"/>
        <n v="126276.9"/>
        <n v="58197.04"/>
        <n v="67318.33"/>
        <n v="121627.77"/>
        <n v="94799.09"/>
        <n v="185500.2"/>
        <n v="193072.67"/>
        <n v="181811.28"/>
        <n v="56193.36"/>
        <n v="172901.1"/>
        <n v="119029.05"/>
        <n v="57038.63"/>
        <n v="67698.48"/>
        <n v="169170.6"/>
        <n v="122593.74"/>
        <n v="138495.35999999999"/>
        <n v="53051.51"/>
        <n v="55561.86"/>
        <n v="114242.76"/>
        <n v="125727.01"/>
        <n v="73836.81"/>
        <n v="105737.07"/>
        <n v="50541.82"/>
        <n v="70002.009999999995"/>
        <n v="53749.14"/>
        <n v="182042.48"/>
        <n v="59206.9"/>
        <n v="134085.07"/>
        <n v="137779.9"/>
        <n v="50661.46"/>
        <n v="141839.85"/>
        <n v="177191.45"/>
        <n v="136567.35999999999"/>
        <n v="77844.929999999993"/>
        <n v="132596.01999999999"/>
        <n v="154667.48000000001"/>
        <n v="152616.01999999999"/>
        <n v="141817.72"/>
        <n v="107386.44"/>
        <n v="68212.17"/>
        <n v="60709.21"/>
        <n v="141725.93"/>
        <n v="104378.84"/>
        <n v="50308.51"/>
        <n v="72412.759999999995"/>
        <n v="154695.92000000001"/>
        <n v="163717.85999999999"/>
        <n v="137422.34"/>
        <n v="140755.16"/>
        <n v="91063.4"/>
        <n v="123283.18"/>
        <n v="190698.06"/>
        <n v="107718.1"/>
        <n v="141496.26"/>
        <n v="104793.29"/>
        <n v="117477.05"/>
        <n v="167427.6"/>
        <n v="108804.63"/>
        <n v="115623.33"/>
        <n v="93067.7"/>
        <n v="173338.15"/>
        <n v="95463.15"/>
        <n v="159641.56"/>
        <n v="189137.4"/>
        <n v="165298.79999999999"/>
        <n v="180449.3"/>
        <n v="71260.58"/>
        <n v="110385.22"/>
        <n v="53845.26"/>
        <n v="128392.58"/>
        <n v="199808.81"/>
        <n v="130773.99"/>
        <n v="179251.24"/>
        <n v="198472.68"/>
        <n v="99713.69"/>
        <n v="114221.6"/>
        <n v="132015.03"/>
        <n v="159541.03"/>
        <n v="126465.81"/>
        <n v="77713.69"/>
        <n v="125341.25"/>
        <n v="158181.76000000001"/>
        <n v="162964.46"/>
        <n v="112839.82"/>
        <n v="141230.51999999999"/>
        <n v="198982.61"/>
        <n v="100783.52"/>
        <n v="66625.66"/>
        <n v="71166.95"/>
        <n v="171161.69"/>
        <n v="145790.29999999999"/>
        <n v="104991.42"/>
        <n v="57932.82"/>
        <n v="64660.35"/>
        <n v="136928.73000000001"/>
        <n v="135534.20000000001"/>
        <n v="133844.43"/>
        <n v="152259.98000000001"/>
        <n v="178040.22"/>
        <n v="131249.35"/>
        <n v="120444.94"/>
        <n v="183281.73"/>
        <n v="168358.21"/>
        <n v="126325.16"/>
        <n v="61769.96"/>
        <n v="93874.52"/>
        <n v="178825.68"/>
        <n v="142726.57999999999"/>
        <n v="57824.72"/>
        <n v="162477.54"/>
        <n v="120237.87"/>
        <n v="52055.09"/>
        <n v="148144.89000000001"/>
        <n v="77894.19"/>
        <n v="63343.78"/>
        <n v="89498.75"/>
        <n v="84517.759999999995"/>
        <n v="159450.92000000001"/>
        <n v="177201.14"/>
        <n v="130090.45"/>
        <n v="100934.97"/>
        <n v="163114.59"/>
        <n v="164303.79999999999"/>
        <n v="91866.87"/>
        <n v="55525.42"/>
        <n v="178265.86"/>
        <n v="62914.79"/>
        <n v="116353.74"/>
        <n v="114631.21"/>
        <n v="106970.71"/>
        <n v="105845.15"/>
        <n v="171312.66"/>
        <n v="58341.03"/>
        <n v="176387.28"/>
        <n v="181097.3"/>
        <n v="163590.92000000001"/>
        <n v="145321.82999999999"/>
        <n v="156035.82"/>
        <n v="150672.26999999999"/>
        <n v="154618.39000000001"/>
        <n v="134842.67000000001"/>
        <n v="99548.75"/>
        <n v="196144.01"/>
        <n v="138349.20000000001"/>
        <n v="92001.43"/>
        <n v="144647.49"/>
        <n v="159695.98000000001"/>
        <n v="187138.26"/>
        <n v="171734.08"/>
        <n v="142592.78"/>
        <n v="182155.17"/>
        <n v="148784.79"/>
        <n v="71435.12"/>
        <n v="95157.73"/>
        <n v="72172.27"/>
        <n v="65759.850000000006"/>
        <n v="140162.28"/>
        <n v="78631.05"/>
        <n v="188938.2"/>
        <n v="137858.46"/>
        <n v="88089.32"/>
        <n v="133587.35999999999"/>
        <n v="156218.07999999999"/>
        <n v="120260.5"/>
        <n v="185773.04"/>
        <n v="135617.43"/>
        <n v="134543.37"/>
        <n v="81548.740000000005"/>
        <n v="63105.98"/>
        <n v="165066.71"/>
        <n v="128947.09"/>
        <n v="113975.28"/>
        <n v="167239.96"/>
        <n v="110217.22"/>
        <n v="138160.42000000001"/>
        <n v="67064.23"/>
        <n v="197991.14"/>
        <n v="74654.539999999994"/>
        <n v="75358.789999999994"/>
        <n v="116063.57"/>
        <n v="88789.759999999995"/>
        <n v="144437.32"/>
        <n v="51943.85"/>
        <n v="129375.61"/>
        <n v="172244.81"/>
        <n v="192453.8"/>
        <n v="160984.26999999999"/>
        <n v="78085.679999999993"/>
        <n v="150329.75"/>
        <n v="151829.70000000001"/>
        <n v="123716.51"/>
        <n v="164482.20000000001"/>
        <n v="166000.63"/>
        <n v="155768.04999999999"/>
        <n v="88581.45"/>
        <n v="188972.29"/>
        <n v="56917.11"/>
        <n v="195655.31"/>
        <n v="129769.32"/>
        <n v="147907.04"/>
        <n v="174755.69"/>
        <n v="74382.259999999995"/>
        <n v="184481.52"/>
        <n v="51421.52"/>
        <n v="189466.05"/>
        <n v="111711.1"/>
        <n v="199315.04"/>
        <n v="84616.37"/>
        <n v="149897.43"/>
        <n v="177377.03"/>
        <n v="53354.68"/>
        <n v="53603.86"/>
        <n v="54969.1"/>
        <n v="50894.73"/>
        <n v="82031.460000000006"/>
        <n v="170644.28"/>
        <n v="83062.09"/>
        <n v="103291.95"/>
        <n v="56986.21"/>
        <n v="95924.43"/>
        <n v="61971.86"/>
        <n v="92700.92"/>
        <n v="136291.26"/>
        <n v="89416.53"/>
        <n v="143808.74"/>
        <n v="147998.56"/>
        <n v="136616.25"/>
        <n v="117086.02"/>
        <n v="89340.12"/>
        <n v="72062.789999999994"/>
        <n v="119140.06"/>
        <n v="142279.82999999999"/>
        <n v="67202.83"/>
        <n v="82251.240000000005"/>
        <n v="76865.22"/>
        <n v="84546.02"/>
        <n v="67489.210000000006"/>
        <n v="113136.51"/>
        <n v="98106.89"/>
        <n v="141348.25"/>
        <n v="185568.84"/>
        <n v="139735.85"/>
        <n v="77152.42"/>
        <n v="66707.75"/>
        <n v="148180.19"/>
        <n v="172973.51"/>
        <n v="98320.76"/>
        <n v="126566.31"/>
        <n v="167987.33"/>
        <n v="52533.65"/>
        <n v="154489.51999999999"/>
        <n v="126339.6"/>
        <n v="158961.89000000001"/>
        <n v="180855.63"/>
        <n v="124186.42"/>
        <n v="178381.65"/>
        <n v="51904.54"/>
        <n v="144512.17000000001"/>
        <n v="198036.38"/>
        <n v="94047.25"/>
        <n v="158473.84"/>
        <n v="83666.149999999994"/>
        <n v="195959.86"/>
        <n v="116615.3"/>
        <n v="151533.74"/>
        <n v="126087.4"/>
        <n v="62115.94"/>
        <n v="169548.08"/>
        <n v="86371.92"/>
        <n v="91872.59"/>
        <n v="54564.9"/>
        <n v="133267.21"/>
        <n v="130638.55"/>
        <n v="77610.61"/>
        <n v="158592.57"/>
        <n v="56975.31"/>
      </sharedItems>
    </cacheField>
    <cacheField name="Date Of Hire" numFmtId="164">
      <sharedItems containsSemiMixedTypes="0" containsNonDate="0" containsDate="1" containsString="0" minDate="2000-01-01T00:00:00" maxDate="2023-01-02T00:00:00"/>
    </cacheField>
    <cacheField name="Phone" numFmtId="0">
      <sharedItems/>
    </cacheField>
    <cacheField name="Address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 count="6">
        <s v="USA"/>
        <s v="France"/>
        <s v="UK"/>
        <s v="UAE"/>
        <s v="Japan"/>
        <s v="Australia"/>
      </sharedItems>
    </cacheField>
    <cacheField name="Performance Rating" numFmtId="0">
      <sharedItems containsSemiMixedTypes="0" containsString="0" containsNumber="1" minValue="1" maxValue="6.01"/>
    </cacheField>
    <cacheField name="Manager ID" numFmtId="0">
      <sharedItems containsSemiMixedTypes="0" containsString="0" containsNumber="1" containsInteger="1" minValue="1" maxValue="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22"/>
    <x v="0"/>
    <x v="0"/>
    <s v="Project Manager"/>
    <x v="0"/>
    <x v="0"/>
    <d v="2019-05-10T00:00:00"/>
    <s v="555-01001"/>
    <s v="1 Main St"/>
    <s v="New York"/>
    <s v="NK"/>
    <x v="0"/>
    <n v="2.94"/>
    <n v="182"/>
  </r>
  <r>
    <x v="1"/>
    <n v="25"/>
    <x v="1"/>
    <x v="1"/>
    <s v="Sales Executive"/>
    <x v="1"/>
    <x v="1"/>
    <d v="2023-01-01T00:00:00"/>
    <s v="555-01002"/>
    <s v="2 Main St"/>
    <s v="Paris"/>
    <s v="PA"/>
    <x v="1"/>
    <n v="3.75"/>
    <n v="86"/>
  </r>
  <r>
    <x v="2"/>
    <n v="25"/>
    <x v="1"/>
    <x v="0"/>
    <s v="Analyst"/>
    <x v="2"/>
    <x v="2"/>
    <d v="2020-06-30T00:00:00"/>
    <s v="555-01003"/>
    <s v="3 Main St"/>
    <s v="London"/>
    <s v="LN"/>
    <x v="2"/>
    <n v="3.93"/>
    <n v="49"/>
  </r>
  <r>
    <x v="3"/>
    <n v="61"/>
    <x v="1"/>
    <x v="0"/>
    <s v="Project Manager"/>
    <x v="3"/>
    <x v="3"/>
    <d v="2012-01-16T00:00:00"/>
    <s v="555-01004"/>
    <s v="4 Main St"/>
    <s v="Dubai"/>
    <s v="DB"/>
    <x v="3"/>
    <n v="4.38"/>
    <n v="165"/>
  </r>
  <r>
    <x v="4"/>
    <n v="31"/>
    <x v="1"/>
    <x v="2"/>
    <s v="Software Engineer"/>
    <x v="4"/>
    <x v="4"/>
    <d v="2018-08-26T00:00:00"/>
    <s v="555-01005"/>
    <s v="5 Main St"/>
    <s v="Tokyo"/>
    <s v="TK"/>
    <x v="4"/>
    <n v="2.77"/>
    <n v="130"/>
  </r>
  <r>
    <x v="5"/>
    <n v="41"/>
    <x v="0"/>
    <x v="3"/>
    <s v="Software Engineer"/>
    <x v="5"/>
    <x v="5"/>
    <d v="2021-04-28T00:00:00"/>
    <s v="555-01006"/>
    <s v="6 Main St"/>
    <s v="Sydney"/>
    <s v="SD"/>
    <x v="5"/>
    <n v="1.34"/>
    <n v="56"/>
  </r>
  <r>
    <x v="6"/>
    <n v="43"/>
    <x v="2"/>
    <x v="1"/>
    <s v="Software Engineer"/>
    <x v="6"/>
    <x v="6"/>
    <d v="2008-06-12T00:00:00"/>
    <s v="555-01007"/>
    <s v="7 Main St"/>
    <s v="New York"/>
    <s v="NK"/>
    <x v="0"/>
    <n v="4.3600000000000003"/>
    <n v="87"/>
  </r>
  <r>
    <x v="7"/>
    <n v="58"/>
    <x v="1"/>
    <x v="0"/>
    <s v="Sales Executive"/>
    <x v="7"/>
    <x v="7"/>
    <d v="2012-08-01T00:00:00"/>
    <s v="555-01008"/>
    <s v="8 Main St"/>
    <s v="Paris"/>
    <s v="PA"/>
    <x v="1"/>
    <n v="4.99"/>
    <n v="190"/>
  </r>
  <r>
    <x v="8"/>
    <n v="45"/>
    <x v="2"/>
    <x v="4"/>
    <s v="Analyst"/>
    <x v="8"/>
    <x v="8"/>
    <d v="2020-12-10T00:00:00"/>
    <s v="555-01009"/>
    <s v="9 Main St"/>
    <s v="London"/>
    <s v="LN"/>
    <x v="2"/>
    <n v="2.91"/>
    <n v="175"/>
  </r>
  <r>
    <x v="9"/>
    <n v="28"/>
    <x v="1"/>
    <x v="3"/>
    <s v="Software Engineer"/>
    <x v="9"/>
    <x v="9"/>
    <d v="2014-12-21T00:00:00"/>
    <s v="555-01000"/>
    <s v="10 Main St"/>
    <s v="Dubai"/>
    <s v="DB"/>
    <x v="3"/>
    <n v="3.14"/>
    <n v="74"/>
  </r>
  <r>
    <x v="10"/>
    <n v="46"/>
    <x v="1"/>
    <x v="1"/>
    <s v="Analyst"/>
    <x v="10"/>
    <x v="10"/>
    <d v="2005-02-26T00:00:00"/>
    <s v="555-01001"/>
    <s v="11 Main St"/>
    <s v="Tokyo"/>
    <s v="TK"/>
    <x v="4"/>
    <n v="4.5199999999999996"/>
    <n v="13"/>
  </r>
  <r>
    <x v="11"/>
    <n v="46"/>
    <x v="1"/>
    <x v="0"/>
    <s v="Software Engineer"/>
    <x v="11"/>
    <x v="11"/>
    <d v="2022-07-05T00:00:00"/>
    <s v="555-01002"/>
    <s v="12 Main St"/>
    <s v="Sydney"/>
    <s v="SD"/>
    <x v="5"/>
    <n v="4.82"/>
    <n v="189"/>
  </r>
  <r>
    <x v="12"/>
    <n v="34"/>
    <x v="2"/>
    <x v="0"/>
    <s v="HR Specialist"/>
    <x v="12"/>
    <x v="12"/>
    <d v="2011-03-27T00:00:00"/>
    <s v="555-01003"/>
    <s v="13 Main St"/>
    <s v="New York"/>
    <s v="NK"/>
    <x v="0"/>
    <n v="2.02"/>
    <n v="92"/>
  </r>
  <r>
    <x v="13"/>
    <n v="23"/>
    <x v="2"/>
    <x v="3"/>
    <s v="Project Manager"/>
    <x v="13"/>
    <x v="13"/>
    <d v="2018-02-13T00:00:00"/>
    <s v="555-01004"/>
    <s v="14 Main St"/>
    <s v="Paris"/>
    <s v="PA"/>
    <x v="1"/>
    <n v="1.51"/>
    <n v="4"/>
  </r>
  <r>
    <x v="14"/>
    <n v="60"/>
    <x v="2"/>
    <x v="4"/>
    <s v="Sales Executive"/>
    <x v="14"/>
    <x v="14"/>
    <d v="2000-01-03T00:00:00"/>
    <s v="555-01005"/>
    <s v="15 Main St"/>
    <s v="London"/>
    <s v="LN"/>
    <x v="2"/>
    <n v="1.78"/>
    <n v="150"/>
  </r>
  <r>
    <x v="15"/>
    <n v="61"/>
    <x v="0"/>
    <x v="0"/>
    <s v="Project Manager"/>
    <x v="15"/>
    <x v="15"/>
    <d v="2015-04-10T00:00:00"/>
    <s v="555-01006"/>
    <s v="16 Main St"/>
    <s v="Dubai"/>
    <s v="DB"/>
    <x v="3"/>
    <n v="2.2200000000000002"/>
    <n v="78"/>
  </r>
  <r>
    <x v="16"/>
    <n v="45"/>
    <x v="2"/>
    <x v="2"/>
    <s v="Project Manager"/>
    <x v="16"/>
    <x v="16"/>
    <d v="2012-04-11T00:00:00"/>
    <s v="555-01007"/>
    <s v="17 Main St"/>
    <s v="Tokyo"/>
    <s v="TK"/>
    <x v="4"/>
    <n v="4.45"/>
    <n v="182"/>
  </r>
  <r>
    <x v="17"/>
    <n v="46"/>
    <x v="0"/>
    <x v="2"/>
    <s v="HR Specialist"/>
    <x v="17"/>
    <x v="17"/>
    <d v="2001-01-12T00:00:00"/>
    <s v="555-01008"/>
    <s v="18 Main St"/>
    <s v="Sydney"/>
    <s v="SD"/>
    <x v="5"/>
    <n v="3.96"/>
    <n v="167"/>
  </r>
  <r>
    <x v="18"/>
    <n v="39"/>
    <x v="0"/>
    <x v="3"/>
    <s v="Analyst"/>
    <x v="18"/>
    <x v="18"/>
    <d v="2013-03-19T00:00:00"/>
    <s v="555-01009"/>
    <s v="19 Main St"/>
    <s v="New York"/>
    <s v="NK"/>
    <x v="0"/>
    <n v="3.36"/>
    <n v="59"/>
  </r>
  <r>
    <x v="19"/>
    <n v="59"/>
    <x v="2"/>
    <x v="1"/>
    <s v="Project Manager"/>
    <x v="19"/>
    <x v="19"/>
    <d v="2012-05-28T00:00:00"/>
    <s v="555-01000"/>
    <s v="20 Main St"/>
    <s v="Paris"/>
    <s v="PA"/>
    <x v="1"/>
    <n v="3.9"/>
    <n v="181"/>
  </r>
  <r>
    <x v="20"/>
    <n v="47"/>
    <x v="1"/>
    <x v="3"/>
    <s v="HR Specialist"/>
    <x v="20"/>
    <x v="20"/>
    <d v="2004-04-13T00:00:00"/>
    <s v="555-01001"/>
    <s v="21 Main St"/>
    <s v="London"/>
    <s v="LN"/>
    <x v="2"/>
    <n v="4.2300000000000004"/>
    <n v="66"/>
  </r>
  <r>
    <x v="21"/>
    <n v="35"/>
    <x v="1"/>
    <x v="3"/>
    <s v="Analyst"/>
    <x v="21"/>
    <x v="21"/>
    <d v="2004-10-04T00:00:00"/>
    <s v="555-01002"/>
    <s v="22 Main St"/>
    <s v="Dubai"/>
    <s v="DB"/>
    <x v="3"/>
    <n v="3.04"/>
    <n v="108"/>
  </r>
  <r>
    <x v="22"/>
    <n v="30"/>
    <x v="0"/>
    <x v="1"/>
    <s v="HR Specialist"/>
    <x v="22"/>
    <x v="22"/>
    <d v="2014-07-10T00:00:00"/>
    <s v="555-01003"/>
    <s v="23 Main St"/>
    <s v="Tokyo"/>
    <s v="TK"/>
    <x v="4"/>
    <n v="1.27"/>
    <n v="181"/>
  </r>
  <r>
    <x v="23"/>
    <n v="31"/>
    <x v="1"/>
    <x v="1"/>
    <s v="Analyst"/>
    <x v="23"/>
    <x v="23"/>
    <d v="2018-03-17T00:00:00"/>
    <s v="555-01004"/>
    <s v="24 Main St"/>
    <s v="Sydney"/>
    <s v="SD"/>
    <x v="5"/>
    <n v="4.3899999999999997"/>
    <n v="81"/>
  </r>
  <r>
    <x v="24"/>
    <n v="42"/>
    <x v="1"/>
    <x v="1"/>
    <s v="HR Specialist"/>
    <x v="24"/>
    <x v="24"/>
    <d v="2017-01-22T00:00:00"/>
    <s v="555-01005"/>
    <s v="25 Main St"/>
    <s v="New York"/>
    <s v="NK"/>
    <x v="0"/>
    <n v="2.78"/>
    <n v="14"/>
  </r>
  <r>
    <x v="25"/>
    <n v="38"/>
    <x v="0"/>
    <x v="4"/>
    <s v="Project Manager"/>
    <x v="25"/>
    <x v="25"/>
    <d v="2017-01-01T00:00:00"/>
    <s v="555-01006"/>
    <s v="26 Main St"/>
    <s v="Paris"/>
    <s v="PA"/>
    <x v="1"/>
    <n v="3.4"/>
    <n v="9"/>
  </r>
  <r>
    <x v="26"/>
    <n v="27"/>
    <x v="2"/>
    <x v="0"/>
    <s v="Project Manager"/>
    <x v="26"/>
    <x v="26"/>
    <d v="2020-02-15T00:00:00"/>
    <s v="555-01007"/>
    <s v="27 Main St"/>
    <s v="London"/>
    <s v="LN"/>
    <x v="2"/>
    <n v="1.95"/>
    <n v="115"/>
  </r>
  <r>
    <x v="27"/>
    <n v="37"/>
    <x v="0"/>
    <x v="3"/>
    <s v="HR Specialist"/>
    <x v="27"/>
    <x v="27"/>
    <d v="2011-09-18T00:00:00"/>
    <s v="555-01008"/>
    <s v="28 Main St"/>
    <s v="Dubai"/>
    <s v="DB"/>
    <x v="3"/>
    <n v="3.96"/>
    <n v="70"/>
  </r>
  <r>
    <x v="28"/>
    <n v="22"/>
    <x v="2"/>
    <x v="2"/>
    <s v="Project Manager"/>
    <x v="28"/>
    <x v="28"/>
    <d v="2019-05-07T00:00:00"/>
    <s v="555-01009"/>
    <s v="29 Main St"/>
    <s v="Tokyo"/>
    <s v="TK"/>
    <x v="4"/>
    <n v="4.3899999999999997"/>
    <n v="55"/>
  </r>
  <r>
    <x v="29"/>
    <n v="40"/>
    <x v="2"/>
    <x v="1"/>
    <s v="HR Specialist"/>
    <x v="29"/>
    <x v="29"/>
    <d v="2014-09-12T00:00:00"/>
    <s v="555-01000"/>
    <s v="30 Main St"/>
    <s v="Sydney"/>
    <s v="SD"/>
    <x v="5"/>
    <n v="1.0900000000000001"/>
    <n v="124"/>
  </r>
  <r>
    <x v="30"/>
    <n v="57"/>
    <x v="0"/>
    <x v="1"/>
    <s v="HR Specialist"/>
    <x v="30"/>
    <x v="30"/>
    <d v="2007-07-20T00:00:00"/>
    <s v="555-01001"/>
    <s v="31 Main St"/>
    <s v="New York"/>
    <s v="NK"/>
    <x v="0"/>
    <n v="4.34"/>
    <n v="179"/>
  </r>
  <r>
    <x v="31"/>
    <n v="46"/>
    <x v="1"/>
    <x v="1"/>
    <s v="Sales Executive"/>
    <x v="31"/>
    <x v="31"/>
    <d v="2007-05-25T00:00:00"/>
    <s v="555-01002"/>
    <s v="32 Main St"/>
    <s v="Paris"/>
    <s v="PA"/>
    <x v="1"/>
    <n v="3.71"/>
    <n v="163"/>
  </r>
  <r>
    <x v="32"/>
    <n v="51"/>
    <x v="2"/>
    <x v="0"/>
    <s v="Software Engineer"/>
    <x v="32"/>
    <x v="32"/>
    <d v="2022-12-16T00:00:00"/>
    <s v="555-01003"/>
    <s v="33 Main St"/>
    <s v="London"/>
    <s v="LN"/>
    <x v="2"/>
    <n v="3.55"/>
    <n v="39"/>
  </r>
  <r>
    <x v="33"/>
    <n v="41"/>
    <x v="0"/>
    <x v="2"/>
    <s v="Project Manager"/>
    <x v="33"/>
    <x v="33"/>
    <d v="2011-11-24T00:00:00"/>
    <s v="555-01004"/>
    <s v="34 Main St"/>
    <s v="Dubai"/>
    <s v="DB"/>
    <x v="3"/>
    <n v="3.46"/>
    <n v="83"/>
  </r>
  <r>
    <x v="34"/>
    <n v="41"/>
    <x v="0"/>
    <x v="3"/>
    <s v="HR Specialist"/>
    <x v="34"/>
    <x v="34"/>
    <d v="2016-12-24T00:00:00"/>
    <s v="555-01005"/>
    <s v="35 Main St"/>
    <s v="Tokyo"/>
    <s v="TK"/>
    <x v="4"/>
    <n v="2.38"/>
    <n v="199"/>
  </r>
  <r>
    <x v="35"/>
    <n v="36"/>
    <x v="0"/>
    <x v="0"/>
    <s v="Software Engineer"/>
    <x v="35"/>
    <x v="35"/>
    <d v="2012-07-16T00:00:00"/>
    <s v="555-01006"/>
    <s v="36 Main St"/>
    <s v="New York"/>
    <s v="NK"/>
    <x v="0"/>
    <n v="2.82"/>
    <n v="108"/>
  </r>
  <r>
    <x v="36"/>
    <n v="61"/>
    <x v="2"/>
    <x v="4"/>
    <s v="HR Specialist"/>
    <x v="36"/>
    <x v="36"/>
    <d v="2000-05-31T00:00:00"/>
    <s v="555-01007"/>
    <s v="37 Main St"/>
    <s v="Paris"/>
    <s v="PA"/>
    <x v="1"/>
    <n v="4.33"/>
    <n v="143"/>
  </r>
  <r>
    <x v="37"/>
    <n v="54"/>
    <x v="1"/>
    <x v="2"/>
    <s v="Project Manager"/>
    <x v="37"/>
    <x v="37"/>
    <d v="2001-08-03T00:00:00"/>
    <s v="555-01008"/>
    <s v="38 Main St"/>
    <s v="London"/>
    <s v="LN"/>
    <x v="2"/>
    <n v="2.08"/>
    <n v="160"/>
  </r>
  <r>
    <x v="38"/>
    <n v="23"/>
    <x v="1"/>
    <x v="2"/>
    <s v="HR Specialist"/>
    <x v="38"/>
    <x v="38"/>
    <d v="2013-02-06T00:00:00"/>
    <s v="555-01009"/>
    <s v="39 Main St"/>
    <s v="Dubai"/>
    <s v="DB"/>
    <x v="3"/>
    <n v="3.76"/>
    <n v="113"/>
  </r>
  <r>
    <x v="39"/>
    <n v="31"/>
    <x v="0"/>
    <x v="4"/>
    <s v="Analyst"/>
    <x v="39"/>
    <x v="39"/>
    <d v="2007-03-11T00:00:00"/>
    <s v="555-01000"/>
    <s v="40 Main St"/>
    <s v="Tokyo"/>
    <s v="TK"/>
    <x v="4"/>
    <n v="2.4900000000000002"/>
    <n v="173"/>
  </r>
  <r>
    <x v="40"/>
    <n v="54"/>
    <x v="2"/>
    <x v="3"/>
    <s v="Analyst"/>
    <x v="40"/>
    <x v="40"/>
    <d v="2010-05-28T00:00:00"/>
    <s v="555-01001"/>
    <s v="41 Main St"/>
    <s v="New York"/>
    <s v="NK"/>
    <x v="0"/>
    <n v="4.5999999999999996"/>
    <n v="161"/>
  </r>
  <r>
    <x v="41"/>
    <n v="53"/>
    <x v="1"/>
    <x v="2"/>
    <s v="Sales Executive"/>
    <x v="41"/>
    <x v="41"/>
    <d v="2005-07-06T00:00:00"/>
    <s v="555-01002"/>
    <s v="42 Main St"/>
    <s v="Paris"/>
    <s v="PA"/>
    <x v="1"/>
    <n v="1.53"/>
    <n v="32"/>
  </r>
  <r>
    <x v="42"/>
    <n v="32"/>
    <x v="0"/>
    <x v="1"/>
    <s v="Project Manager"/>
    <x v="42"/>
    <x v="42"/>
    <d v="2019-02-17T00:00:00"/>
    <s v="555-01003"/>
    <s v="43 Main St"/>
    <s v="London"/>
    <s v="LN"/>
    <x v="2"/>
    <n v="1.04"/>
    <n v="82"/>
  </r>
  <r>
    <x v="43"/>
    <n v="45"/>
    <x v="1"/>
    <x v="3"/>
    <s v="Project Manager"/>
    <x v="43"/>
    <x v="43"/>
    <d v="2011-04-14T00:00:00"/>
    <s v="555-01004"/>
    <s v="44 Main St"/>
    <s v="Dubai"/>
    <s v="DB"/>
    <x v="3"/>
    <n v="1.8"/>
    <n v="65"/>
  </r>
  <r>
    <x v="44"/>
    <n v="57"/>
    <x v="1"/>
    <x v="0"/>
    <s v="Software Engineer"/>
    <x v="44"/>
    <x v="44"/>
    <d v="2012-07-03T00:00:00"/>
    <s v="555-01005"/>
    <s v="45 Main St"/>
    <s v="Tokyo"/>
    <s v="TK"/>
    <x v="4"/>
    <n v="4.79"/>
    <n v="124"/>
  </r>
  <r>
    <x v="45"/>
    <n v="33"/>
    <x v="2"/>
    <x v="4"/>
    <s v="HR Specialist"/>
    <x v="45"/>
    <x v="45"/>
    <d v="2017-12-28T00:00:00"/>
    <s v="555-01006"/>
    <s v="46 Main St"/>
    <s v="New York"/>
    <s v="NK"/>
    <x v="0"/>
    <n v="3.12"/>
    <n v="149"/>
  </r>
  <r>
    <x v="46"/>
    <n v="50"/>
    <x v="0"/>
    <x v="1"/>
    <s v="Project Manager"/>
    <x v="46"/>
    <x v="46"/>
    <d v="2009-04-22T00:00:00"/>
    <s v="555-01007"/>
    <s v="47 Main St"/>
    <s v="Paris"/>
    <s v="PA"/>
    <x v="1"/>
    <n v="3.72"/>
    <n v="11"/>
  </r>
  <r>
    <x v="47"/>
    <n v="56"/>
    <x v="1"/>
    <x v="1"/>
    <s v="Project Manager"/>
    <x v="47"/>
    <x v="47"/>
    <d v="2017-02-28T00:00:00"/>
    <s v="555-01008"/>
    <s v="48 Main St"/>
    <s v="London"/>
    <s v="LN"/>
    <x v="2"/>
    <n v="1.02"/>
    <n v="83"/>
  </r>
  <r>
    <x v="48"/>
    <n v="22"/>
    <x v="1"/>
    <x v="1"/>
    <s v="Software Engineer"/>
    <x v="48"/>
    <x v="48"/>
    <d v="2002-09-17T00:00:00"/>
    <s v="555-01009"/>
    <s v="49 Main St"/>
    <s v="Dubai"/>
    <s v="DB"/>
    <x v="3"/>
    <n v="3.72"/>
    <n v="164"/>
  </r>
  <r>
    <x v="49"/>
    <n v="22"/>
    <x v="2"/>
    <x v="0"/>
    <s v="Analyst"/>
    <x v="49"/>
    <x v="49"/>
    <d v="2020-05-09T00:00:00"/>
    <s v="555-01000"/>
    <s v="50 Main St"/>
    <s v="Tokyo"/>
    <s v="TK"/>
    <x v="4"/>
    <n v="3.68"/>
    <n v="183"/>
  </r>
  <r>
    <x v="50"/>
    <n v="58"/>
    <x v="2"/>
    <x v="1"/>
    <s v="Project Manager"/>
    <x v="50"/>
    <x v="50"/>
    <d v="2021-06-03T00:00:00"/>
    <s v="555-01001"/>
    <s v="51 Main St"/>
    <s v="New York"/>
    <s v="NK"/>
    <x v="0"/>
    <n v="1.74"/>
    <n v="117"/>
  </r>
  <r>
    <x v="51"/>
    <n v="27"/>
    <x v="1"/>
    <x v="2"/>
    <s v="Software Engineer"/>
    <x v="51"/>
    <x v="51"/>
    <d v="2014-07-20T00:00:00"/>
    <s v="555-01002"/>
    <s v="52 Main St"/>
    <s v="Paris"/>
    <s v="PA"/>
    <x v="1"/>
    <n v="1.76"/>
    <n v="30"/>
  </r>
  <r>
    <x v="52"/>
    <n v="60"/>
    <x v="2"/>
    <x v="1"/>
    <s v="Analyst"/>
    <x v="52"/>
    <x v="52"/>
    <d v="2019-07-13T00:00:00"/>
    <s v="555-01003"/>
    <s v="53 Main St"/>
    <s v="London"/>
    <s v="LN"/>
    <x v="2"/>
    <n v="3.97"/>
    <n v="173"/>
  </r>
  <r>
    <x v="53"/>
    <n v="62"/>
    <x v="2"/>
    <x v="3"/>
    <s v="Project Manager"/>
    <x v="53"/>
    <x v="53"/>
    <d v="2007-11-17T00:00:00"/>
    <s v="555-01004"/>
    <s v="54 Main St"/>
    <s v="Dubai"/>
    <s v="DB"/>
    <x v="3"/>
    <n v="2.11"/>
    <n v="143"/>
  </r>
  <r>
    <x v="54"/>
    <n v="39"/>
    <x v="0"/>
    <x v="2"/>
    <s v="Analyst"/>
    <x v="54"/>
    <x v="54"/>
    <d v="2013-06-06T00:00:00"/>
    <s v="555-01005"/>
    <s v="55 Main St"/>
    <s v="Tokyo"/>
    <s v="TK"/>
    <x v="4"/>
    <n v="2.06"/>
    <n v="161"/>
  </r>
  <r>
    <x v="55"/>
    <n v="37"/>
    <x v="0"/>
    <x v="1"/>
    <s v="Project Manager"/>
    <x v="55"/>
    <x v="55"/>
    <d v="2020-05-10T00:00:00"/>
    <s v="555-01006"/>
    <s v="56 Main St"/>
    <s v="New York"/>
    <s v="NK"/>
    <x v="0"/>
    <n v="1.32"/>
    <n v="183"/>
  </r>
  <r>
    <x v="56"/>
    <n v="26"/>
    <x v="1"/>
    <x v="0"/>
    <s v="Sales Executive"/>
    <x v="56"/>
    <x v="56"/>
    <d v="2000-06-29T00:00:00"/>
    <s v="555-01007"/>
    <s v="57 Main St"/>
    <s v="Paris"/>
    <s v="PA"/>
    <x v="1"/>
    <n v="4.3099999999999996"/>
    <n v="168"/>
  </r>
  <r>
    <x v="57"/>
    <n v="63"/>
    <x v="1"/>
    <x v="1"/>
    <s v="HR Specialist"/>
    <x v="57"/>
    <x v="57"/>
    <d v="2011-05-27T00:00:00"/>
    <s v="555-01008"/>
    <s v="58 Main St"/>
    <s v="London"/>
    <s v="LN"/>
    <x v="2"/>
    <n v="3.53"/>
    <n v="180"/>
  </r>
  <r>
    <x v="58"/>
    <n v="64"/>
    <x v="1"/>
    <x v="0"/>
    <s v="Software Engineer"/>
    <x v="58"/>
    <x v="58"/>
    <d v="2013-05-27T00:00:00"/>
    <s v="555-01009"/>
    <s v="59 Main St"/>
    <s v="Dubai"/>
    <s v="DB"/>
    <x v="3"/>
    <n v="1.08"/>
    <n v="58"/>
  </r>
  <r>
    <x v="59"/>
    <n v="53"/>
    <x v="2"/>
    <x v="2"/>
    <s v="Project Manager"/>
    <x v="59"/>
    <x v="59"/>
    <d v="2008-05-29T00:00:00"/>
    <s v="555-01000"/>
    <s v="60 Main St"/>
    <s v="Tokyo"/>
    <s v="TK"/>
    <x v="4"/>
    <n v="1.24"/>
    <n v="153"/>
  </r>
  <r>
    <x v="60"/>
    <n v="23"/>
    <x v="0"/>
    <x v="2"/>
    <s v="HR Specialist"/>
    <x v="60"/>
    <x v="60"/>
    <d v="2009-07-10T00:00:00"/>
    <s v="555-01001"/>
    <s v="61 Main St"/>
    <s v="New York"/>
    <s v="NK"/>
    <x v="0"/>
    <n v="2.35"/>
    <n v="112"/>
  </r>
  <r>
    <x v="61"/>
    <n v="23"/>
    <x v="1"/>
    <x v="2"/>
    <s v="Sales Executive"/>
    <x v="61"/>
    <x v="61"/>
    <d v="2018-09-20T00:00:00"/>
    <s v="555-01002"/>
    <s v="62 Main St"/>
    <s v="Paris"/>
    <s v="PA"/>
    <x v="1"/>
    <n v="2.2200000000000002"/>
    <n v="145"/>
  </r>
  <r>
    <x v="62"/>
    <n v="61"/>
    <x v="0"/>
    <x v="2"/>
    <s v="Analyst"/>
    <x v="62"/>
    <x v="62"/>
    <d v="2016-03-16T00:00:00"/>
    <s v="555-01003"/>
    <s v="63 Main St"/>
    <s v="London"/>
    <s v="LN"/>
    <x v="2"/>
    <n v="4.5"/>
    <n v="107"/>
  </r>
  <r>
    <x v="63"/>
    <n v="63"/>
    <x v="2"/>
    <x v="0"/>
    <s v="Sales Executive"/>
    <x v="63"/>
    <x v="63"/>
    <d v="2007-10-11T00:00:00"/>
    <s v="555-01004"/>
    <s v="64 Main St"/>
    <s v="Dubai"/>
    <s v="DB"/>
    <x v="3"/>
    <n v="3.28"/>
    <n v="150"/>
  </r>
  <r>
    <x v="64"/>
    <n v="57"/>
    <x v="0"/>
    <x v="3"/>
    <s v="HR Specialist"/>
    <x v="64"/>
    <x v="64"/>
    <d v="2009-05-16T00:00:00"/>
    <s v="555-01005"/>
    <s v="65 Main St"/>
    <s v="Tokyo"/>
    <s v="TK"/>
    <x v="4"/>
    <n v="1.37"/>
    <n v="12"/>
  </r>
  <r>
    <x v="65"/>
    <n v="60"/>
    <x v="2"/>
    <x v="0"/>
    <s v="Software Engineer"/>
    <x v="65"/>
    <x v="65"/>
    <d v="2016-11-02T00:00:00"/>
    <s v="555-01006"/>
    <s v="66 Main St"/>
    <s v="New York"/>
    <s v="NK"/>
    <x v="0"/>
    <n v="1.38"/>
    <n v="38"/>
  </r>
  <r>
    <x v="66"/>
    <n v="33"/>
    <x v="1"/>
    <x v="0"/>
    <s v="HR Specialist"/>
    <x v="66"/>
    <x v="66"/>
    <d v="2004-11-12T00:00:00"/>
    <s v="555-01007"/>
    <s v="67 Main St"/>
    <s v="Paris"/>
    <s v="PA"/>
    <x v="1"/>
    <n v="3.57"/>
    <n v="163"/>
  </r>
  <r>
    <x v="67"/>
    <n v="40"/>
    <x v="2"/>
    <x v="1"/>
    <s v="Analyst"/>
    <x v="67"/>
    <x v="67"/>
    <d v="2010-04-21T00:00:00"/>
    <s v="555-01008"/>
    <s v="68 Main St"/>
    <s v="London"/>
    <s v="LN"/>
    <x v="2"/>
    <n v="2.5"/>
    <n v="34"/>
  </r>
  <r>
    <x v="68"/>
    <n v="49"/>
    <x v="2"/>
    <x v="1"/>
    <s v="HR Specialist"/>
    <x v="68"/>
    <x v="68"/>
    <d v="2000-09-04T00:00:00"/>
    <s v="555-01009"/>
    <s v="69 Main St"/>
    <s v="Dubai"/>
    <s v="DB"/>
    <x v="3"/>
    <n v="4.76"/>
    <n v="23"/>
  </r>
  <r>
    <x v="69"/>
    <n v="22"/>
    <x v="2"/>
    <x v="0"/>
    <s v="Sales Executive"/>
    <x v="69"/>
    <x v="69"/>
    <d v="2002-01-08T00:00:00"/>
    <s v="555-01000"/>
    <s v="70 Main St"/>
    <s v="Tokyo"/>
    <s v="TK"/>
    <x v="4"/>
    <n v="1.64"/>
    <n v="103"/>
  </r>
  <r>
    <x v="70"/>
    <n v="36"/>
    <x v="2"/>
    <x v="4"/>
    <s v="HR Specialist"/>
    <x v="70"/>
    <x v="70"/>
    <d v="2010-09-21T00:00:00"/>
    <s v="555-01001"/>
    <s v="71 Main St"/>
    <s v="New York"/>
    <s v="NK"/>
    <x v="0"/>
    <n v="4.4000000000000004"/>
    <n v="17"/>
  </r>
  <r>
    <x v="71"/>
    <n v="57"/>
    <x v="1"/>
    <x v="3"/>
    <s v="HR Specialist"/>
    <x v="71"/>
    <x v="71"/>
    <d v="2006-03-13T00:00:00"/>
    <s v="555-01002"/>
    <s v="72 Main St"/>
    <s v="Paris"/>
    <s v="PA"/>
    <x v="1"/>
    <n v="1.73"/>
    <n v="118"/>
  </r>
  <r>
    <x v="72"/>
    <n v="34"/>
    <x v="0"/>
    <x v="2"/>
    <s v="HR Specialist"/>
    <x v="72"/>
    <x v="72"/>
    <d v="2019-02-21T00:00:00"/>
    <s v="555-01003"/>
    <s v="73 Main St"/>
    <s v="London"/>
    <s v="LN"/>
    <x v="2"/>
    <n v="2.2400000000000002"/>
    <n v="37"/>
  </r>
  <r>
    <x v="73"/>
    <n v="64"/>
    <x v="1"/>
    <x v="2"/>
    <s v="HR Specialist"/>
    <x v="73"/>
    <x v="73"/>
    <d v="2006-02-11T00:00:00"/>
    <s v="555-01004"/>
    <s v="74 Main St"/>
    <s v="Dubai"/>
    <s v="DB"/>
    <x v="3"/>
    <n v="3.84"/>
    <n v="193"/>
  </r>
  <r>
    <x v="74"/>
    <n v="42"/>
    <x v="1"/>
    <x v="2"/>
    <s v="Analyst"/>
    <x v="74"/>
    <x v="74"/>
    <d v="2003-09-01T00:00:00"/>
    <s v="555-01005"/>
    <s v="75 Main St"/>
    <s v="Tokyo"/>
    <s v="TK"/>
    <x v="4"/>
    <n v="1.04"/>
    <n v="155"/>
  </r>
  <r>
    <x v="75"/>
    <n v="33"/>
    <x v="2"/>
    <x v="1"/>
    <s v="HR Specialist"/>
    <x v="75"/>
    <x v="75"/>
    <d v="2015-05-20T00:00:00"/>
    <s v="555-01006"/>
    <s v="76 Main St"/>
    <s v="New York"/>
    <s v="NK"/>
    <x v="0"/>
    <n v="3.3"/>
    <n v="78"/>
  </r>
  <r>
    <x v="76"/>
    <n v="26"/>
    <x v="1"/>
    <x v="1"/>
    <s v="Software Engineer"/>
    <x v="76"/>
    <x v="76"/>
    <d v="2002-08-25T00:00:00"/>
    <s v="555-01007"/>
    <s v="77 Main St"/>
    <s v="Paris"/>
    <s v="PA"/>
    <x v="1"/>
    <n v="1.72"/>
    <n v="90"/>
  </r>
  <r>
    <x v="77"/>
    <n v="28"/>
    <x v="2"/>
    <x v="3"/>
    <s v="Analyst"/>
    <x v="77"/>
    <x v="77"/>
    <d v="2004-09-02T00:00:00"/>
    <s v="555-01008"/>
    <s v="78 Main St"/>
    <s v="London"/>
    <s v="LN"/>
    <x v="2"/>
    <n v="4.3600000000000003"/>
    <n v="79"/>
  </r>
  <r>
    <x v="78"/>
    <n v="26"/>
    <x v="0"/>
    <x v="3"/>
    <s v="Analyst"/>
    <x v="78"/>
    <x v="78"/>
    <d v="2012-12-26T00:00:00"/>
    <s v="555-01009"/>
    <s v="79 Main St"/>
    <s v="Dubai"/>
    <s v="DB"/>
    <x v="3"/>
    <n v="3.51"/>
    <n v="160"/>
  </r>
  <r>
    <x v="79"/>
    <n v="25"/>
    <x v="2"/>
    <x v="0"/>
    <s v="HR Specialist"/>
    <x v="79"/>
    <x v="79"/>
    <d v="2018-06-30T00:00:00"/>
    <s v="555-01000"/>
    <s v="80 Main St"/>
    <s v="Tokyo"/>
    <s v="TK"/>
    <x v="4"/>
    <n v="3.54"/>
    <n v="33"/>
  </r>
  <r>
    <x v="80"/>
    <n v="34"/>
    <x v="0"/>
    <x v="1"/>
    <s v="Sales Executive"/>
    <x v="80"/>
    <x v="80"/>
    <d v="2006-04-24T00:00:00"/>
    <s v="555-01001"/>
    <s v="81 Main St"/>
    <s v="New York"/>
    <s v="NK"/>
    <x v="0"/>
    <n v="2.8"/>
    <n v="26"/>
  </r>
  <r>
    <x v="81"/>
    <n v="58"/>
    <x v="1"/>
    <x v="2"/>
    <s v="HR Specialist"/>
    <x v="81"/>
    <x v="81"/>
    <d v="2014-10-08T00:00:00"/>
    <s v="555-01002"/>
    <s v="82 Main St"/>
    <s v="Paris"/>
    <s v="PA"/>
    <x v="1"/>
    <n v="3.01"/>
    <n v="136"/>
  </r>
  <r>
    <x v="82"/>
    <n v="62"/>
    <x v="2"/>
    <x v="0"/>
    <s v="Analyst"/>
    <x v="82"/>
    <x v="82"/>
    <d v="2001-11-18T00:00:00"/>
    <s v="555-01003"/>
    <s v="83 Main St"/>
    <s v="London"/>
    <s v="LN"/>
    <x v="2"/>
    <n v="4.88"/>
    <n v="64"/>
  </r>
  <r>
    <x v="83"/>
    <n v="36"/>
    <x v="0"/>
    <x v="4"/>
    <s v="Project Manager"/>
    <x v="83"/>
    <x v="83"/>
    <d v="2011-03-18T00:00:00"/>
    <s v="555-01004"/>
    <s v="84 Main St"/>
    <s v="Dubai"/>
    <s v="DB"/>
    <x v="3"/>
    <n v="3.85"/>
    <n v="145"/>
  </r>
  <r>
    <x v="84"/>
    <n v="37"/>
    <x v="1"/>
    <x v="4"/>
    <s v="Software Engineer"/>
    <x v="84"/>
    <x v="84"/>
    <d v="2007-12-24T00:00:00"/>
    <s v="555-01005"/>
    <s v="85 Main St"/>
    <s v="Tokyo"/>
    <s v="TK"/>
    <x v="4"/>
    <n v="3.41"/>
    <n v="41"/>
  </r>
  <r>
    <x v="85"/>
    <n v="42"/>
    <x v="0"/>
    <x v="3"/>
    <s v="Sales Executive"/>
    <x v="85"/>
    <x v="85"/>
    <d v="2004-05-09T00:00:00"/>
    <s v="555-01006"/>
    <s v="86 Main St"/>
    <s v="New York"/>
    <s v="NK"/>
    <x v="0"/>
    <n v="4.25"/>
    <n v="6"/>
  </r>
  <r>
    <x v="86"/>
    <n v="57"/>
    <x v="2"/>
    <x v="1"/>
    <s v="Sales Executive"/>
    <x v="86"/>
    <x v="86"/>
    <d v="2009-03-09T00:00:00"/>
    <s v="555-01007"/>
    <s v="87 Main St"/>
    <s v="Paris"/>
    <s v="PA"/>
    <x v="1"/>
    <n v="3.92"/>
    <n v="116"/>
  </r>
  <r>
    <x v="87"/>
    <n v="45"/>
    <x v="0"/>
    <x v="1"/>
    <s v="Sales Executive"/>
    <x v="87"/>
    <x v="87"/>
    <d v="2010-04-12T00:00:00"/>
    <s v="555-01008"/>
    <s v="88 Main St"/>
    <s v="London"/>
    <s v="LN"/>
    <x v="2"/>
    <n v="1.45"/>
    <n v="170"/>
  </r>
  <r>
    <x v="88"/>
    <n v="37"/>
    <x v="0"/>
    <x v="4"/>
    <s v="Analyst"/>
    <x v="88"/>
    <x v="88"/>
    <d v="2016-09-28T00:00:00"/>
    <s v="555-01009"/>
    <s v="89 Main St"/>
    <s v="Dubai"/>
    <s v="DB"/>
    <x v="3"/>
    <n v="4.95"/>
    <n v="174"/>
  </r>
  <r>
    <x v="89"/>
    <n v="35"/>
    <x v="0"/>
    <x v="3"/>
    <s v="Sales Executive"/>
    <x v="89"/>
    <x v="89"/>
    <d v="2005-06-23T00:00:00"/>
    <s v="555-01000"/>
    <s v="90 Main St"/>
    <s v="Tokyo"/>
    <s v="TK"/>
    <x v="4"/>
    <n v="1.47"/>
    <n v="27"/>
  </r>
  <r>
    <x v="90"/>
    <n v="43"/>
    <x v="1"/>
    <x v="3"/>
    <s v="Sales Executive"/>
    <x v="90"/>
    <x v="90"/>
    <d v="2018-01-01T00:00:00"/>
    <s v="555-01001"/>
    <s v="91 Main St"/>
    <s v="New York"/>
    <s v="NK"/>
    <x v="0"/>
    <n v="4.0599999999999996"/>
    <n v="74"/>
  </r>
  <r>
    <x v="91"/>
    <n v="27"/>
    <x v="0"/>
    <x v="1"/>
    <s v="Project Manager"/>
    <x v="91"/>
    <x v="91"/>
    <d v="2006-05-24T00:00:00"/>
    <s v="555-01002"/>
    <s v="92 Main St"/>
    <s v="Paris"/>
    <s v="PA"/>
    <x v="1"/>
    <n v="4.43"/>
    <n v="183"/>
  </r>
  <r>
    <x v="92"/>
    <n v="63"/>
    <x v="0"/>
    <x v="1"/>
    <s v="Project Manager"/>
    <x v="92"/>
    <x v="92"/>
    <d v="2017-10-23T00:00:00"/>
    <s v="555-01003"/>
    <s v="93 Main St"/>
    <s v="London"/>
    <s v="LN"/>
    <x v="2"/>
    <n v="3.08"/>
    <n v="73"/>
  </r>
  <r>
    <x v="93"/>
    <n v="57"/>
    <x v="0"/>
    <x v="4"/>
    <s v="Project Manager"/>
    <x v="93"/>
    <x v="93"/>
    <d v="2017-08-27T00:00:00"/>
    <s v="555-01004"/>
    <s v="94 Main St"/>
    <s v="Dubai"/>
    <s v="DB"/>
    <x v="3"/>
    <n v="1.17"/>
    <n v="70"/>
  </r>
  <r>
    <x v="94"/>
    <n v="22"/>
    <x v="0"/>
    <x v="2"/>
    <s v="Sales Executive"/>
    <x v="94"/>
    <x v="94"/>
    <d v="2001-05-29T00:00:00"/>
    <s v="555-01005"/>
    <s v="95 Main St"/>
    <s v="Tokyo"/>
    <s v="TK"/>
    <x v="4"/>
    <n v="3.95"/>
    <n v="19"/>
  </r>
  <r>
    <x v="95"/>
    <n v="53"/>
    <x v="2"/>
    <x v="3"/>
    <s v="Sales Executive"/>
    <x v="95"/>
    <x v="95"/>
    <d v="2016-09-17T00:00:00"/>
    <s v="555-01006"/>
    <s v="96 Main St"/>
    <s v="New York"/>
    <s v="NK"/>
    <x v="0"/>
    <n v="1.82"/>
    <n v="157"/>
  </r>
  <r>
    <x v="96"/>
    <n v="27"/>
    <x v="2"/>
    <x v="1"/>
    <s v="HR Specialist"/>
    <x v="96"/>
    <x v="96"/>
    <d v="2009-06-28T00:00:00"/>
    <s v="555-01007"/>
    <s v="97 Main St"/>
    <s v="Paris"/>
    <s v="PA"/>
    <x v="1"/>
    <n v="1.42"/>
    <n v="37"/>
  </r>
  <r>
    <x v="97"/>
    <n v="52"/>
    <x v="1"/>
    <x v="3"/>
    <s v="Analyst"/>
    <x v="97"/>
    <x v="97"/>
    <d v="2015-05-30T00:00:00"/>
    <s v="555-01008"/>
    <s v="98 Main St"/>
    <s v="London"/>
    <s v="LN"/>
    <x v="2"/>
    <n v="2.44"/>
    <n v="44"/>
  </r>
  <r>
    <x v="98"/>
    <n v="22"/>
    <x v="0"/>
    <x v="2"/>
    <s v="HR Specialist"/>
    <x v="98"/>
    <x v="98"/>
    <d v="2022-04-12T00:00:00"/>
    <s v="555-01009"/>
    <s v="99 Main St"/>
    <s v="Dubai"/>
    <s v="DB"/>
    <x v="3"/>
    <n v="4.24"/>
    <n v="91"/>
  </r>
  <r>
    <x v="99"/>
    <n v="58"/>
    <x v="1"/>
    <x v="4"/>
    <s v="Analyst"/>
    <x v="99"/>
    <x v="99"/>
    <d v="2011-05-16T00:00:00"/>
    <s v="555-01000"/>
    <s v="100 Main St"/>
    <s v="Tokyo"/>
    <s v="TK"/>
    <x v="4"/>
    <n v="3.94"/>
    <n v="5"/>
  </r>
  <r>
    <x v="100"/>
    <n v="56"/>
    <x v="0"/>
    <x v="2"/>
    <s v="HR Specialist"/>
    <x v="100"/>
    <x v="100"/>
    <d v="2012-08-05T00:00:00"/>
    <s v="555-01001"/>
    <s v="101 Main St"/>
    <s v="New York"/>
    <s v="NK"/>
    <x v="0"/>
    <n v="4.8099999999999996"/>
    <n v="102"/>
  </r>
  <r>
    <x v="101"/>
    <n v="51"/>
    <x v="2"/>
    <x v="4"/>
    <s v="Project Manager"/>
    <x v="101"/>
    <x v="101"/>
    <d v="2006-11-25T00:00:00"/>
    <s v="555-01002"/>
    <s v="102 Main St"/>
    <s v="Paris"/>
    <s v="PA"/>
    <x v="1"/>
    <n v="2.21"/>
    <n v="69"/>
  </r>
  <r>
    <x v="102"/>
    <n v="25"/>
    <x v="0"/>
    <x v="3"/>
    <s v="Sales Executive"/>
    <x v="102"/>
    <x v="102"/>
    <d v="2019-04-15T00:00:00"/>
    <s v="555-01003"/>
    <s v="103 Main St"/>
    <s v="London"/>
    <s v="LN"/>
    <x v="2"/>
    <n v="4.59"/>
    <n v="57"/>
  </r>
  <r>
    <x v="103"/>
    <n v="56"/>
    <x v="1"/>
    <x v="0"/>
    <s v="Project Manager"/>
    <x v="103"/>
    <x v="103"/>
    <d v="2015-05-02T00:00:00"/>
    <s v="555-01004"/>
    <s v="104 Main St"/>
    <s v="Dubai"/>
    <s v="DB"/>
    <x v="3"/>
    <n v="3.11"/>
    <n v="195"/>
  </r>
  <r>
    <x v="104"/>
    <n v="64"/>
    <x v="0"/>
    <x v="3"/>
    <s v="HR Specialist"/>
    <x v="104"/>
    <x v="104"/>
    <d v="2008-06-10T00:00:00"/>
    <s v="555-01005"/>
    <s v="105 Main St"/>
    <s v="Tokyo"/>
    <s v="TK"/>
    <x v="4"/>
    <n v="2.21"/>
    <n v="139"/>
  </r>
  <r>
    <x v="105"/>
    <n v="35"/>
    <x v="2"/>
    <x v="0"/>
    <s v="Analyst"/>
    <x v="105"/>
    <x v="105"/>
    <d v="2000-08-14T00:00:00"/>
    <s v="555-01006"/>
    <s v="106 Main St"/>
    <s v="New York"/>
    <s v="NK"/>
    <x v="0"/>
    <n v="4.83"/>
    <n v="106"/>
  </r>
  <r>
    <x v="106"/>
    <n v="61"/>
    <x v="1"/>
    <x v="3"/>
    <s v="Software Engineer"/>
    <x v="106"/>
    <x v="106"/>
    <d v="2013-02-20T00:00:00"/>
    <s v="555-01007"/>
    <s v="107 Main St"/>
    <s v="Paris"/>
    <s v="PA"/>
    <x v="1"/>
    <n v="1.37"/>
    <n v="94"/>
  </r>
  <r>
    <x v="107"/>
    <n v="43"/>
    <x v="0"/>
    <x v="2"/>
    <s v="Software Engineer"/>
    <x v="107"/>
    <x v="107"/>
    <d v="2019-10-04T00:00:00"/>
    <s v="555-01008"/>
    <s v="108 Main St"/>
    <s v="London"/>
    <s v="LN"/>
    <x v="2"/>
    <n v="3.51"/>
    <n v="187"/>
  </r>
  <r>
    <x v="108"/>
    <n v="31"/>
    <x v="2"/>
    <x v="4"/>
    <s v="Sales Executive"/>
    <x v="108"/>
    <x v="108"/>
    <d v="2010-01-31T00:00:00"/>
    <s v="555-01009"/>
    <s v="109 Main St"/>
    <s v="Dubai"/>
    <s v="DB"/>
    <x v="3"/>
    <n v="1.06"/>
    <n v="137"/>
  </r>
  <r>
    <x v="109"/>
    <n v="22"/>
    <x v="0"/>
    <x v="3"/>
    <s v="Sales Executive"/>
    <x v="109"/>
    <x v="109"/>
    <d v="2007-02-06T00:00:00"/>
    <s v="555-01000"/>
    <s v="110 Main St"/>
    <s v="Tokyo"/>
    <s v="TK"/>
    <x v="4"/>
    <n v="3.46"/>
    <n v="26"/>
  </r>
  <r>
    <x v="110"/>
    <n v="32"/>
    <x v="2"/>
    <x v="1"/>
    <s v="HR Specialist"/>
    <x v="110"/>
    <x v="110"/>
    <d v="2015-05-30T00:00:00"/>
    <s v="555-01001"/>
    <s v="111 Main St"/>
    <s v="New York"/>
    <s v="NK"/>
    <x v="0"/>
    <n v="3.93"/>
    <n v="167"/>
  </r>
  <r>
    <x v="111"/>
    <n v="45"/>
    <x v="1"/>
    <x v="4"/>
    <s v="Analyst"/>
    <x v="111"/>
    <x v="111"/>
    <d v="2007-01-31T00:00:00"/>
    <s v="555-01002"/>
    <s v="112 Main St"/>
    <s v="Paris"/>
    <s v="PA"/>
    <x v="1"/>
    <n v="4.5199999999999996"/>
    <n v="145"/>
  </r>
  <r>
    <x v="112"/>
    <n v="24"/>
    <x v="1"/>
    <x v="2"/>
    <s v="Analyst"/>
    <x v="112"/>
    <x v="112"/>
    <d v="2022-02-10T00:00:00"/>
    <s v="555-01003"/>
    <s v="113 Main St"/>
    <s v="London"/>
    <s v="LN"/>
    <x v="2"/>
    <n v="1.33"/>
    <n v="16"/>
  </r>
  <r>
    <x v="113"/>
    <n v="56"/>
    <x v="0"/>
    <x v="3"/>
    <s v="Project Manager"/>
    <x v="113"/>
    <x v="113"/>
    <d v="2012-08-25T00:00:00"/>
    <s v="555-01004"/>
    <s v="114 Main St"/>
    <s v="Dubai"/>
    <s v="DB"/>
    <x v="3"/>
    <n v="1.34"/>
    <n v="43"/>
  </r>
  <r>
    <x v="114"/>
    <n v="57"/>
    <x v="2"/>
    <x v="4"/>
    <s v="HR Specialist"/>
    <x v="114"/>
    <x v="114"/>
    <d v="2021-09-26T00:00:00"/>
    <s v="555-01005"/>
    <s v="115 Main St"/>
    <s v="Tokyo"/>
    <s v="TK"/>
    <x v="4"/>
    <n v="1.96"/>
    <n v="132"/>
  </r>
  <r>
    <x v="115"/>
    <n v="52"/>
    <x v="1"/>
    <x v="1"/>
    <s v="Project Manager"/>
    <x v="115"/>
    <x v="115"/>
    <d v="2008-05-01T00:00:00"/>
    <s v="555-01006"/>
    <s v="116 Main St"/>
    <s v="New York"/>
    <s v="NK"/>
    <x v="0"/>
    <n v="1.21"/>
    <n v="183"/>
  </r>
  <r>
    <x v="116"/>
    <n v="25"/>
    <x v="0"/>
    <x v="4"/>
    <s v="HR Specialist"/>
    <x v="116"/>
    <x v="116"/>
    <d v="2000-04-28T00:00:00"/>
    <s v="555-01007"/>
    <s v="117 Main St"/>
    <s v="Paris"/>
    <s v="PA"/>
    <x v="1"/>
    <n v="3.58"/>
    <n v="21"/>
  </r>
  <r>
    <x v="117"/>
    <n v="40"/>
    <x v="0"/>
    <x v="3"/>
    <s v="HR Specialist"/>
    <x v="117"/>
    <x v="117"/>
    <d v="2003-06-06T00:00:00"/>
    <s v="555-01008"/>
    <s v="118 Main St"/>
    <s v="London"/>
    <s v="LN"/>
    <x v="2"/>
    <n v="4.46"/>
    <n v="31"/>
  </r>
  <r>
    <x v="118"/>
    <n v="57"/>
    <x v="0"/>
    <x v="1"/>
    <s v="Sales Executive"/>
    <x v="118"/>
    <x v="118"/>
    <d v="2007-03-31T00:00:00"/>
    <s v="555-01009"/>
    <s v="119 Main St"/>
    <s v="Dubai"/>
    <s v="DB"/>
    <x v="3"/>
    <n v="1.48"/>
    <n v="91"/>
  </r>
  <r>
    <x v="119"/>
    <n v="42"/>
    <x v="2"/>
    <x v="3"/>
    <s v="Sales Executive"/>
    <x v="119"/>
    <x v="119"/>
    <d v="2013-11-22T00:00:00"/>
    <s v="555-01000"/>
    <s v="120 Main St"/>
    <s v="Tokyo"/>
    <s v="TK"/>
    <x v="4"/>
    <n v="1.78"/>
    <n v="107"/>
  </r>
  <r>
    <x v="120"/>
    <n v="39"/>
    <x v="0"/>
    <x v="0"/>
    <s v="Analyst"/>
    <x v="120"/>
    <x v="120"/>
    <d v="2003-01-20T00:00:00"/>
    <s v="555-01001"/>
    <s v="121 Main St"/>
    <s v="New York"/>
    <s v="NK"/>
    <x v="0"/>
    <n v="4.5999999999999996"/>
    <n v="180"/>
  </r>
  <r>
    <x v="121"/>
    <n v="49"/>
    <x v="2"/>
    <x v="4"/>
    <s v="Analyst"/>
    <x v="121"/>
    <x v="121"/>
    <d v="2013-03-06T00:00:00"/>
    <s v="555-01002"/>
    <s v="122 Main St"/>
    <s v="Paris"/>
    <s v="PA"/>
    <x v="1"/>
    <n v="4.1500000000000004"/>
    <n v="147"/>
  </r>
  <r>
    <x v="122"/>
    <n v="36"/>
    <x v="0"/>
    <x v="1"/>
    <s v="Sales Executive"/>
    <x v="122"/>
    <x v="122"/>
    <d v="2001-08-05T00:00:00"/>
    <s v="555-01003"/>
    <s v="123 Main St"/>
    <s v="London"/>
    <s v="LN"/>
    <x v="2"/>
    <n v="4.6900000000000004"/>
    <n v="157"/>
  </r>
  <r>
    <x v="123"/>
    <n v="63"/>
    <x v="2"/>
    <x v="3"/>
    <s v="Software Engineer"/>
    <x v="123"/>
    <x v="123"/>
    <d v="2016-07-17T00:00:00"/>
    <s v="555-01004"/>
    <s v="124 Main St"/>
    <s v="sum("/>
    <s v="DB"/>
    <x v="3"/>
    <n v="1.55"/>
    <n v="104"/>
  </r>
  <r>
    <x v="124"/>
    <n v="23"/>
    <x v="0"/>
    <x v="0"/>
    <s v="Analyst"/>
    <x v="124"/>
    <x v="124"/>
    <d v="2014-08-16T00:00:00"/>
    <s v="555-01005"/>
    <s v="125 Main St"/>
    <s v="Tokyo"/>
    <s v="TK"/>
    <x v="4"/>
    <n v="3.67"/>
    <n v="84"/>
  </r>
  <r>
    <x v="125"/>
    <n v="58"/>
    <x v="0"/>
    <x v="3"/>
    <s v="Project Manager"/>
    <x v="125"/>
    <x v="125"/>
    <d v="2003-01-28T00:00:00"/>
    <s v="555-01006"/>
    <s v="126 Main St"/>
    <s v="New York"/>
    <s v="NK"/>
    <x v="0"/>
    <n v="2.34"/>
    <n v="119"/>
  </r>
  <r>
    <x v="126"/>
    <n v="32"/>
    <x v="2"/>
    <x v="3"/>
    <s v="Software Engineer"/>
    <x v="126"/>
    <x v="126"/>
    <d v="2011-12-30T00:00:00"/>
    <s v="555-01007"/>
    <s v="127 Main St"/>
    <s v="Paris"/>
    <s v="PA"/>
    <x v="1"/>
    <n v="3.75"/>
    <n v="31"/>
  </r>
  <r>
    <x v="127"/>
    <n v="44"/>
    <x v="1"/>
    <x v="4"/>
    <s v="Project Manager"/>
    <x v="127"/>
    <x v="127"/>
    <d v="2006-04-20T00:00:00"/>
    <s v="555-01008"/>
    <s v="128 Main St"/>
    <s v="London"/>
    <s v="LN"/>
    <x v="2"/>
    <n v="1.6"/>
    <n v="116"/>
  </r>
  <r>
    <x v="128"/>
    <n v="62"/>
    <x v="1"/>
    <x v="4"/>
    <s v="HR Specialist"/>
    <x v="128"/>
    <x v="128"/>
    <d v="2017-08-01T00:00:00"/>
    <s v="555-01009"/>
    <s v="129 Main St"/>
    <s v="Dubai"/>
    <s v="DB"/>
    <x v="3"/>
    <n v="1.79"/>
    <n v="66"/>
  </r>
  <r>
    <x v="129"/>
    <n v="33"/>
    <x v="1"/>
    <x v="0"/>
    <s v="HR Specialist"/>
    <x v="129"/>
    <x v="129"/>
    <d v="2004-10-28T00:00:00"/>
    <s v="555-01000"/>
    <s v="130 Main St"/>
    <s v="Tokyo"/>
    <s v="TK"/>
    <x v="4"/>
    <n v="1.82"/>
    <n v="99"/>
  </r>
  <r>
    <x v="130"/>
    <n v="24"/>
    <x v="2"/>
    <x v="4"/>
    <s v="HR Specialist"/>
    <x v="130"/>
    <x v="130"/>
    <d v="2006-11-27T00:00:00"/>
    <s v="555-01001"/>
    <s v="131 Main St"/>
    <s v="New York"/>
    <s v="NK"/>
    <x v="0"/>
    <n v="3.11"/>
    <n v="198"/>
  </r>
  <r>
    <x v="131"/>
    <n v="38"/>
    <x v="1"/>
    <x v="1"/>
    <s v="Analyst"/>
    <x v="131"/>
    <x v="131"/>
    <d v="2012-12-10T00:00:00"/>
    <s v="555-01002"/>
    <s v="132 Main St"/>
    <s v="Paris"/>
    <s v="PA"/>
    <x v="1"/>
    <n v="2.52"/>
    <n v="197"/>
  </r>
  <r>
    <x v="132"/>
    <n v="54"/>
    <x v="0"/>
    <x v="0"/>
    <s v="Analyst"/>
    <x v="132"/>
    <x v="132"/>
    <d v="2003-02-13T00:00:00"/>
    <s v="555-01003"/>
    <s v="133 Main St"/>
    <s v="London"/>
    <s v="LN"/>
    <x v="2"/>
    <n v="3.68"/>
    <n v="35"/>
  </r>
  <r>
    <x v="133"/>
    <n v="22"/>
    <x v="2"/>
    <x v="4"/>
    <s v="HR Specialist"/>
    <x v="133"/>
    <x v="133"/>
    <d v="2019-09-26T00:00:00"/>
    <s v="555-01004"/>
    <s v="134 Main St"/>
    <s v="Dubai"/>
    <s v="DB"/>
    <x v="3"/>
    <n v="3.38"/>
    <n v="55"/>
  </r>
  <r>
    <x v="134"/>
    <n v="60"/>
    <x v="1"/>
    <x v="2"/>
    <s v="Analyst"/>
    <x v="134"/>
    <x v="134"/>
    <d v="2000-10-10T00:00:00"/>
    <s v="555-01005"/>
    <s v="135 Main St"/>
    <s v="Tokyo"/>
    <s v="TK"/>
    <x v="4"/>
    <n v="1.17"/>
    <n v="91"/>
  </r>
  <r>
    <x v="135"/>
    <n v="41"/>
    <x v="0"/>
    <x v="1"/>
    <s v="Analyst"/>
    <x v="135"/>
    <x v="135"/>
    <d v="2012-12-05T00:00:00"/>
    <s v="555-01006"/>
    <s v="136 Main St"/>
    <s v="New York"/>
    <s v="NK"/>
    <x v="0"/>
    <n v="4.41"/>
    <n v="178"/>
  </r>
  <r>
    <x v="136"/>
    <n v="64"/>
    <x v="0"/>
    <x v="3"/>
    <s v="Project Manager"/>
    <x v="136"/>
    <x v="136"/>
    <d v="2014-03-22T00:00:00"/>
    <s v="555-01007"/>
    <s v="137 Main St"/>
    <s v="Paris"/>
    <s v="PA"/>
    <x v="1"/>
    <n v="4.4400000000000004"/>
    <n v="24"/>
  </r>
  <r>
    <x v="137"/>
    <n v="62"/>
    <x v="2"/>
    <x v="1"/>
    <s v="Sales Executive"/>
    <x v="137"/>
    <x v="137"/>
    <d v="2015-02-28T00:00:00"/>
    <s v="555-01008"/>
    <s v="138 Main St"/>
    <s v="London"/>
    <s v="LN"/>
    <x v="2"/>
    <n v="4.25"/>
    <n v="104"/>
  </r>
  <r>
    <x v="138"/>
    <n v="35"/>
    <x v="1"/>
    <x v="1"/>
    <s v="HR Specialist"/>
    <x v="138"/>
    <x v="138"/>
    <d v="2015-08-27T00:00:00"/>
    <s v="555-01009"/>
    <s v="139 Main St"/>
    <s v="Dubai"/>
    <s v="DB"/>
    <x v="3"/>
    <n v="4.3600000000000003"/>
    <n v="134"/>
  </r>
  <r>
    <x v="139"/>
    <n v="52"/>
    <x v="0"/>
    <x v="1"/>
    <s v="Software Engineer"/>
    <x v="139"/>
    <x v="139"/>
    <d v="2007-11-12T00:00:00"/>
    <s v="555-01000"/>
    <s v="140 Main St"/>
    <s v="Tokyo"/>
    <s v="TK"/>
    <x v="4"/>
    <n v="1.1200000000000001"/>
    <n v="31"/>
  </r>
  <r>
    <x v="140"/>
    <n v="46"/>
    <x v="1"/>
    <x v="2"/>
    <s v="Sales Executive"/>
    <x v="140"/>
    <x v="140"/>
    <d v="2015-01-04T00:00:00"/>
    <s v="555-01001"/>
    <s v="141 Main St"/>
    <s v="New York"/>
    <s v="NK"/>
    <x v="0"/>
    <n v="4.09"/>
    <n v="153"/>
  </r>
  <r>
    <x v="141"/>
    <n v="24"/>
    <x v="0"/>
    <x v="1"/>
    <s v="Sales Executive"/>
    <x v="141"/>
    <x v="141"/>
    <d v="2018-11-25T00:00:00"/>
    <s v="555-01002"/>
    <s v="142 Main St"/>
    <s v="Paris"/>
    <s v="PA"/>
    <x v="1"/>
    <n v="2.54"/>
    <n v="34"/>
  </r>
  <r>
    <x v="142"/>
    <n v="25"/>
    <x v="0"/>
    <x v="2"/>
    <s v="Project Manager"/>
    <x v="142"/>
    <x v="142"/>
    <d v="2005-01-16T00:00:00"/>
    <s v="555-01003"/>
    <s v="143 Main St"/>
    <s v="London"/>
    <s v="LN"/>
    <x v="2"/>
    <n v="1.44"/>
    <n v="157"/>
  </r>
  <r>
    <x v="143"/>
    <n v="52"/>
    <x v="2"/>
    <x v="2"/>
    <s v="HR Specialist"/>
    <x v="143"/>
    <x v="143"/>
    <d v="2011-11-01T00:00:00"/>
    <s v="555-01004"/>
    <s v="144 Main St"/>
    <s v="Dubai"/>
    <s v="DB"/>
    <x v="3"/>
    <n v="5"/>
    <n v="9"/>
  </r>
  <r>
    <x v="144"/>
    <n v="56"/>
    <x v="1"/>
    <x v="4"/>
    <s v="Software Engineer"/>
    <x v="144"/>
    <x v="144"/>
    <d v="2016-11-19T00:00:00"/>
    <s v="555-01005"/>
    <s v="145 Main St"/>
    <s v="Tokyo"/>
    <s v="TK"/>
    <x v="4"/>
    <n v="3.63"/>
    <n v="116"/>
  </r>
  <r>
    <x v="145"/>
    <n v="35"/>
    <x v="0"/>
    <x v="2"/>
    <s v="Software Engineer"/>
    <x v="145"/>
    <x v="145"/>
    <d v="2004-10-21T00:00:00"/>
    <s v="555-01006"/>
    <s v="146 Main St"/>
    <s v="New York"/>
    <s v="NK"/>
    <x v="0"/>
    <n v="4.26"/>
    <n v="188"/>
  </r>
  <r>
    <x v="146"/>
    <n v="62"/>
    <x v="1"/>
    <x v="2"/>
    <s v="Project Manager"/>
    <x v="146"/>
    <x v="146"/>
    <d v="2018-07-04T00:00:00"/>
    <s v="555-01007"/>
    <s v="147 Main St"/>
    <s v="Paris"/>
    <s v="PA"/>
    <x v="1"/>
    <n v="1.67"/>
    <n v="97"/>
  </r>
  <r>
    <x v="147"/>
    <n v="30"/>
    <x v="1"/>
    <x v="0"/>
    <s v="Sales Executive"/>
    <x v="147"/>
    <x v="147"/>
    <d v="2005-01-29T00:00:00"/>
    <s v="555-01008"/>
    <s v="148 Main St"/>
    <s v="London"/>
    <s v="LN"/>
    <x v="2"/>
    <n v="2"/>
    <n v="111"/>
  </r>
  <r>
    <x v="148"/>
    <n v="41"/>
    <x v="1"/>
    <x v="2"/>
    <s v="Project Manager"/>
    <x v="148"/>
    <x v="148"/>
    <d v="2021-09-28T00:00:00"/>
    <s v="555-01009"/>
    <s v="149 Main St"/>
    <s v="Dubai"/>
    <s v="DB"/>
    <x v="3"/>
    <n v="2.63"/>
    <n v="90"/>
  </r>
  <r>
    <x v="149"/>
    <n v="53"/>
    <x v="2"/>
    <x v="1"/>
    <s v="Software Engineer"/>
    <x v="149"/>
    <x v="149"/>
    <d v="2004-01-03T00:00:00"/>
    <s v="555-01000"/>
    <s v="150 Main St"/>
    <s v="Tokyo"/>
    <s v="TK"/>
    <x v="4"/>
    <n v="3.01"/>
    <n v="137"/>
  </r>
  <r>
    <x v="150"/>
    <n v="30"/>
    <x v="0"/>
    <x v="3"/>
    <s v="Sales Executive"/>
    <x v="150"/>
    <x v="150"/>
    <d v="2004-08-20T00:00:00"/>
    <s v="555-01001"/>
    <s v="151 Main St"/>
    <s v="New York"/>
    <s v="NK"/>
    <x v="0"/>
    <n v="2.76"/>
    <n v="10"/>
  </r>
  <r>
    <x v="151"/>
    <n v="48"/>
    <x v="1"/>
    <x v="2"/>
    <s v="Sales Executive"/>
    <x v="151"/>
    <x v="151"/>
    <d v="2008-01-19T00:00:00"/>
    <s v="555-01002"/>
    <s v="152 Main St"/>
    <s v="Paris"/>
    <s v="PA"/>
    <x v="1"/>
    <n v="2.0499999999999998"/>
    <n v="27"/>
  </r>
  <r>
    <x v="152"/>
    <n v="24"/>
    <x v="2"/>
    <x v="2"/>
    <s v="Project Manager"/>
    <x v="152"/>
    <x v="152"/>
    <d v="2017-06-09T00:00:00"/>
    <s v="555-01003"/>
    <s v="153 Main St"/>
    <s v="London"/>
    <s v="LN"/>
    <x v="2"/>
    <n v="1.04"/>
    <n v="199"/>
  </r>
  <r>
    <x v="153"/>
    <n v="25"/>
    <x v="1"/>
    <x v="4"/>
    <s v="HR Specialist"/>
    <x v="153"/>
    <x v="153"/>
    <d v="2015-06-18T00:00:00"/>
    <s v="555-01004"/>
    <s v="154 Main St"/>
    <s v="Dubai"/>
    <s v="DB"/>
    <x v="3"/>
    <n v="1.1599999999999999"/>
    <n v="109"/>
  </r>
  <r>
    <x v="154"/>
    <n v="36"/>
    <x v="2"/>
    <x v="4"/>
    <s v="Analyst"/>
    <x v="154"/>
    <x v="154"/>
    <d v="2005-11-19T00:00:00"/>
    <s v="555-01005"/>
    <s v="155 Main St"/>
    <s v="Tokyo"/>
    <s v="TK"/>
    <x v="4"/>
    <n v="3.65"/>
    <n v="119"/>
  </r>
  <r>
    <x v="155"/>
    <n v="54"/>
    <x v="1"/>
    <x v="1"/>
    <s v="Sales Executive"/>
    <x v="155"/>
    <x v="155"/>
    <d v="2008-06-18T00:00:00"/>
    <s v="555-01006"/>
    <s v="156 Main St"/>
    <s v="New York"/>
    <s v="NK"/>
    <x v="0"/>
    <n v="3.72"/>
    <n v="88"/>
  </r>
  <r>
    <x v="156"/>
    <n v="26"/>
    <x v="1"/>
    <x v="0"/>
    <s v="Sales Executive"/>
    <x v="156"/>
    <x v="156"/>
    <d v="2000-03-08T00:00:00"/>
    <s v="555-01007"/>
    <s v="157 Main St"/>
    <s v="Paris"/>
    <s v="PA"/>
    <x v="1"/>
    <n v="3.12"/>
    <n v="171"/>
  </r>
  <r>
    <x v="157"/>
    <n v="25"/>
    <x v="1"/>
    <x v="2"/>
    <s v="Analyst"/>
    <x v="157"/>
    <x v="157"/>
    <d v="2020-08-20T00:00:00"/>
    <s v="555-01008"/>
    <s v="158 Main St"/>
    <s v="London"/>
    <s v="LN"/>
    <x v="2"/>
    <n v="1.63"/>
    <n v="160"/>
  </r>
  <r>
    <x v="158"/>
    <n v="33"/>
    <x v="2"/>
    <x v="3"/>
    <s v="Software Engineer"/>
    <x v="158"/>
    <x v="158"/>
    <d v="2020-03-08T00:00:00"/>
    <s v="555-01009"/>
    <s v="159 Main St"/>
    <s v="Dubai"/>
    <s v="DB"/>
    <x v="3"/>
    <n v="2.59"/>
    <n v="157"/>
  </r>
  <r>
    <x v="159"/>
    <n v="44"/>
    <x v="2"/>
    <x v="2"/>
    <s v="Analyst"/>
    <x v="159"/>
    <x v="159"/>
    <d v="2019-11-04T00:00:00"/>
    <s v="555-01000"/>
    <s v="160 Main St"/>
    <s v="Tokyo"/>
    <s v="TK"/>
    <x v="4"/>
    <n v="4.6500000000000004"/>
    <n v="69"/>
  </r>
  <r>
    <x v="160"/>
    <n v="35"/>
    <x v="0"/>
    <x v="0"/>
    <s v="Project Manager"/>
    <x v="160"/>
    <x v="160"/>
    <d v="2008-12-14T00:00:00"/>
    <s v="555-01001"/>
    <s v="161 Main St"/>
    <s v="New York"/>
    <s v="NK"/>
    <x v="0"/>
    <n v="3.04"/>
    <n v="96"/>
  </r>
  <r>
    <x v="161"/>
    <n v="33"/>
    <x v="0"/>
    <x v="0"/>
    <s v="Sales Executive"/>
    <x v="161"/>
    <x v="161"/>
    <d v="2013-03-07T00:00:00"/>
    <s v="555-01002"/>
    <s v="162 Main St"/>
    <s v="Paris"/>
    <s v="PA"/>
    <x v="1"/>
    <n v="3.19"/>
    <n v="78"/>
  </r>
  <r>
    <x v="162"/>
    <n v="38"/>
    <x v="2"/>
    <x v="3"/>
    <s v="Sales Executive"/>
    <x v="162"/>
    <x v="162"/>
    <d v="2016-07-12T00:00:00"/>
    <s v="555-01003"/>
    <s v="163 Main St"/>
    <s v="London"/>
    <s v="LN"/>
    <x v="2"/>
    <n v="4.71"/>
    <n v="153"/>
  </r>
  <r>
    <x v="163"/>
    <n v="46"/>
    <x v="0"/>
    <x v="1"/>
    <s v="HR Specialist"/>
    <x v="163"/>
    <x v="163"/>
    <d v="2011-10-01T00:00:00"/>
    <s v="555-01004"/>
    <s v="164 Main St"/>
    <s v="Dubai"/>
    <s v="DB"/>
    <x v="3"/>
    <n v="4.88"/>
    <n v="191"/>
  </r>
  <r>
    <x v="164"/>
    <n v="51"/>
    <x v="2"/>
    <x v="2"/>
    <s v="Software Engineer"/>
    <x v="164"/>
    <x v="164"/>
    <d v="2008-03-14T00:00:00"/>
    <s v="555-01005"/>
    <s v="165 Main St"/>
    <s v="Tokyo"/>
    <s v="TK"/>
    <x v="4"/>
    <n v="3.74"/>
    <n v="61"/>
  </r>
  <r>
    <x v="165"/>
    <n v="43"/>
    <x v="2"/>
    <x v="2"/>
    <s v="Project Manager"/>
    <x v="165"/>
    <x v="165"/>
    <d v="2016-11-27T00:00:00"/>
    <s v="555-01006"/>
    <s v="166 Main St"/>
    <s v="New York"/>
    <s v="NK"/>
    <x v="0"/>
    <n v="2.85"/>
    <n v="97"/>
  </r>
  <r>
    <x v="166"/>
    <n v="47"/>
    <x v="2"/>
    <x v="4"/>
    <s v="Analyst"/>
    <x v="166"/>
    <x v="166"/>
    <d v="2012-12-06T00:00:00"/>
    <s v="555-01007"/>
    <s v="167 Main St"/>
    <s v="Paris"/>
    <s v="PA"/>
    <x v="1"/>
    <n v="2.15"/>
    <n v="197"/>
  </r>
  <r>
    <x v="167"/>
    <n v="38"/>
    <x v="0"/>
    <x v="1"/>
    <s v="Software Engineer"/>
    <x v="167"/>
    <x v="167"/>
    <d v="2009-06-09T00:00:00"/>
    <s v="555-01008"/>
    <s v="168 Main St"/>
    <s v="London"/>
    <s v="LN"/>
    <x v="2"/>
    <n v="2.4500000000000002"/>
    <n v="155"/>
  </r>
  <r>
    <x v="168"/>
    <n v="41"/>
    <x v="1"/>
    <x v="3"/>
    <s v="Software Engineer"/>
    <x v="168"/>
    <x v="168"/>
    <d v="2010-04-02T00:00:00"/>
    <s v="555-01009"/>
    <s v="169 Main St"/>
    <s v="Dubai"/>
    <s v="DB"/>
    <x v="3"/>
    <n v="2.5099999999999998"/>
    <n v="101"/>
  </r>
  <r>
    <x v="169"/>
    <n v="55"/>
    <x v="0"/>
    <x v="2"/>
    <s v="Project Manager"/>
    <x v="169"/>
    <x v="169"/>
    <d v="2022-03-23T00:00:00"/>
    <s v="555-01000"/>
    <s v="170 Main St"/>
    <s v="Tokyo"/>
    <s v="TK"/>
    <x v="4"/>
    <n v="2.42"/>
    <n v="54"/>
  </r>
  <r>
    <x v="170"/>
    <n v="62"/>
    <x v="1"/>
    <x v="0"/>
    <s v="HR Specialist"/>
    <x v="170"/>
    <x v="170"/>
    <d v="2016-05-13T00:00:00"/>
    <s v="555-01001"/>
    <s v="171 Main St"/>
    <s v="New York"/>
    <s v="NK"/>
    <x v="0"/>
    <n v="3.47"/>
    <n v="148"/>
  </r>
  <r>
    <x v="171"/>
    <n v="54"/>
    <x v="0"/>
    <x v="1"/>
    <s v="Project Manager"/>
    <x v="171"/>
    <x v="171"/>
    <d v="2019-03-28T00:00:00"/>
    <s v="555-01002"/>
    <s v="172 Main St"/>
    <s v="Paris"/>
    <s v="PA"/>
    <x v="1"/>
    <n v="2"/>
    <n v="67"/>
  </r>
  <r>
    <x v="172"/>
    <n v="58"/>
    <x v="1"/>
    <x v="0"/>
    <s v="Project Manager"/>
    <x v="172"/>
    <x v="172"/>
    <d v="2013-08-25T00:00:00"/>
    <s v="555-01003"/>
    <s v="173 Main St"/>
    <s v="London"/>
    <s v="LN"/>
    <x v="2"/>
    <n v="2.0499999999999998"/>
    <n v="86"/>
  </r>
  <r>
    <x v="173"/>
    <n v="28"/>
    <x v="1"/>
    <x v="0"/>
    <s v="HR Specialist"/>
    <x v="173"/>
    <x v="173"/>
    <d v="2005-04-12T00:00:00"/>
    <s v="555-01004"/>
    <s v="174 Main St"/>
    <s v="Dubai"/>
    <s v="DB"/>
    <x v="3"/>
    <n v="2.56"/>
    <n v="198"/>
  </r>
  <r>
    <x v="174"/>
    <n v="43"/>
    <x v="2"/>
    <x v="2"/>
    <s v="Software Engineer"/>
    <x v="174"/>
    <x v="174"/>
    <d v="2020-01-31T00:00:00"/>
    <s v="555-01005"/>
    <s v="175 Main St"/>
    <s v="Tokyo"/>
    <s v="TK"/>
    <x v="4"/>
    <n v="2.06"/>
    <n v="159"/>
  </r>
  <r>
    <x v="175"/>
    <n v="53"/>
    <x v="0"/>
    <x v="3"/>
    <s v="Software Engineer"/>
    <x v="175"/>
    <x v="175"/>
    <d v="2014-03-30T00:00:00"/>
    <s v="555-01006"/>
    <s v="176 Main St"/>
    <s v="New York"/>
    <s v="NK"/>
    <x v="0"/>
    <n v="4.59"/>
    <n v="133"/>
  </r>
  <r>
    <x v="176"/>
    <n v="35"/>
    <x v="1"/>
    <x v="3"/>
    <s v="Analyst"/>
    <x v="176"/>
    <x v="176"/>
    <d v="2001-06-06T00:00:00"/>
    <s v="555-01007"/>
    <s v="177 Main St"/>
    <s v="Paris"/>
    <s v="PA"/>
    <x v="1"/>
    <n v="1.1200000000000001"/>
    <n v="27"/>
  </r>
  <r>
    <x v="177"/>
    <n v="29"/>
    <x v="0"/>
    <x v="3"/>
    <s v="HR Specialist"/>
    <x v="177"/>
    <x v="177"/>
    <d v="2008-02-05T00:00:00"/>
    <s v="555-01008"/>
    <s v="178 Main St"/>
    <s v="London"/>
    <s v="LN"/>
    <x v="2"/>
    <n v="3.61"/>
    <n v="144"/>
  </r>
  <r>
    <x v="178"/>
    <n v="46"/>
    <x v="2"/>
    <x v="2"/>
    <s v="Software Engineer"/>
    <x v="178"/>
    <x v="178"/>
    <d v="2018-05-06T00:00:00"/>
    <s v="555-01009"/>
    <s v="179 Main St"/>
    <s v="Dubai"/>
    <s v="DB"/>
    <x v="3"/>
    <n v="4.28"/>
    <n v="12"/>
  </r>
  <r>
    <x v="179"/>
    <n v="37"/>
    <x v="2"/>
    <x v="4"/>
    <s v="Software Engineer"/>
    <x v="179"/>
    <x v="179"/>
    <d v="2000-12-18T00:00:00"/>
    <s v="555-01000"/>
    <s v="180 Main St"/>
    <s v="Tokyo"/>
    <s v="TK"/>
    <x v="4"/>
    <n v="2.61"/>
    <n v="167"/>
  </r>
  <r>
    <x v="180"/>
    <n v="63"/>
    <x v="1"/>
    <x v="3"/>
    <s v="HR Specialist"/>
    <x v="180"/>
    <x v="180"/>
    <d v="2012-11-16T00:00:00"/>
    <s v="555-01001"/>
    <s v="181 Main St"/>
    <s v="New York"/>
    <s v="NK"/>
    <x v="0"/>
    <n v="1.68"/>
    <n v="182"/>
  </r>
  <r>
    <x v="181"/>
    <n v="40"/>
    <x v="2"/>
    <x v="0"/>
    <s v="Sales Executive"/>
    <x v="181"/>
    <x v="181"/>
    <d v="2018-09-07T00:00:00"/>
    <s v="555-01002"/>
    <s v="182 Main St"/>
    <s v="Paris"/>
    <s v="PA"/>
    <x v="1"/>
    <n v="1.85"/>
    <n v="107"/>
  </r>
  <r>
    <x v="182"/>
    <n v="62"/>
    <x v="0"/>
    <x v="0"/>
    <s v="Software Engineer"/>
    <x v="182"/>
    <x v="182"/>
    <d v="2015-03-28T00:00:00"/>
    <s v="555-01003"/>
    <s v="183 Main St"/>
    <s v="London"/>
    <s v="LN"/>
    <x v="2"/>
    <n v="4.09"/>
    <n v="123"/>
  </r>
  <r>
    <x v="183"/>
    <n v="37"/>
    <x v="2"/>
    <x v="4"/>
    <s v="HR Specialist"/>
    <x v="183"/>
    <x v="183"/>
    <d v="2013-12-30T00:00:00"/>
    <s v="555-01004"/>
    <s v="184 Main St"/>
    <s v="Dubai"/>
    <s v="DB"/>
    <x v="3"/>
    <n v="2.46"/>
    <n v="74"/>
  </r>
  <r>
    <x v="184"/>
    <n v="33"/>
    <x v="2"/>
    <x v="1"/>
    <s v="Sales Executive"/>
    <x v="184"/>
    <x v="184"/>
    <d v="2000-08-26T00:00:00"/>
    <s v="555-01005"/>
    <s v="185 Main St"/>
    <s v="Tokyo"/>
    <s v="TK"/>
    <x v="4"/>
    <n v="3.89"/>
    <n v="25"/>
  </r>
  <r>
    <x v="185"/>
    <n v="60"/>
    <x v="2"/>
    <x v="2"/>
    <s v="Sales Executive"/>
    <x v="185"/>
    <x v="185"/>
    <d v="2010-05-31T00:00:00"/>
    <s v="555-01006"/>
    <s v="186 Main St"/>
    <s v="New York"/>
    <s v="NK"/>
    <x v="0"/>
    <n v="4.75"/>
    <n v="90"/>
  </r>
  <r>
    <x v="186"/>
    <n v="51"/>
    <x v="2"/>
    <x v="2"/>
    <s v="Software Engineer"/>
    <x v="186"/>
    <x v="186"/>
    <d v="2009-09-11T00:00:00"/>
    <s v="555-01007"/>
    <s v="187 Main St"/>
    <s v="Paris"/>
    <s v="PA"/>
    <x v="1"/>
    <n v="3.1"/>
    <n v="55"/>
  </r>
  <r>
    <x v="187"/>
    <n v="23"/>
    <x v="0"/>
    <x v="0"/>
    <s v="Analyst"/>
    <x v="187"/>
    <x v="187"/>
    <d v="2005-05-18T00:00:00"/>
    <s v="555-01008"/>
    <s v="188 Main St"/>
    <s v="London"/>
    <s v="LN"/>
    <x v="2"/>
    <n v="1.01"/>
    <n v="196"/>
  </r>
  <r>
    <x v="188"/>
    <n v="53"/>
    <x v="0"/>
    <x v="3"/>
    <s v="Project Manager"/>
    <x v="188"/>
    <x v="188"/>
    <d v="2012-11-12T00:00:00"/>
    <s v="555-01009"/>
    <s v="189 Main St"/>
    <s v="Dubai"/>
    <s v="DB"/>
    <x v="3"/>
    <n v="2.3199999999999998"/>
    <n v="183"/>
  </r>
  <r>
    <x v="189"/>
    <n v="46"/>
    <x v="1"/>
    <x v="3"/>
    <s v="Analyst"/>
    <x v="189"/>
    <x v="189"/>
    <d v="2016-09-25T00:00:00"/>
    <s v="555-01000"/>
    <s v="190 Main St"/>
    <s v="Tokyo"/>
    <s v="TK"/>
    <x v="4"/>
    <n v="3.58"/>
    <n v="91"/>
  </r>
  <r>
    <x v="190"/>
    <n v="46"/>
    <x v="2"/>
    <x v="4"/>
    <s v="Analyst"/>
    <x v="190"/>
    <x v="190"/>
    <d v="2001-07-06T00:00:00"/>
    <s v="555-01001"/>
    <s v="191 Main St"/>
    <s v="New York"/>
    <s v="NK"/>
    <x v="0"/>
    <n v="1.1000000000000001"/>
    <n v="163"/>
  </r>
  <r>
    <x v="191"/>
    <n v="25"/>
    <x v="1"/>
    <x v="1"/>
    <s v="Software Engineer"/>
    <x v="191"/>
    <x v="191"/>
    <d v="2020-01-02T00:00:00"/>
    <s v="555-01002"/>
    <s v="192 Main St"/>
    <s v="Paris"/>
    <s v="PA"/>
    <x v="1"/>
    <n v="4.99"/>
    <n v="24"/>
  </r>
  <r>
    <x v="192"/>
    <n v="40"/>
    <x v="1"/>
    <x v="3"/>
    <s v="HR Specialist"/>
    <x v="192"/>
    <x v="192"/>
    <d v="2020-02-13T00:00:00"/>
    <s v="555-01003"/>
    <s v="193 Main St"/>
    <s v="London"/>
    <s v="LN"/>
    <x v="2"/>
    <n v="3.69"/>
    <n v="96"/>
  </r>
  <r>
    <x v="193"/>
    <n v="25"/>
    <x v="0"/>
    <x v="3"/>
    <s v="HR Specialist"/>
    <x v="193"/>
    <x v="193"/>
    <d v="2013-09-22T00:00:00"/>
    <s v="555-01004"/>
    <s v="194 Main St"/>
    <s v="Dubai"/>
    <s v="DB"/>
    <x v="3"/>
    <n v="2.5299999999999998"/>
    <n v="195"/>
  </r>
  <r>
    <x v="194"/>
    <n v="64"/>
    <x v="2"/>
    <x v="0"/>
    <s v="Sales Executive"/>
    <x v="194"/>
    <x v="194"/>
    <d v="2021-06-23T00:00:00"/>
    <s v="555-01005"/>
    <s v="195 Main St"/>
    <s v="Tokyo"/>
    <s v="TK"/>
    <x v="4"/>
    <n v="3.09"/>
    <n v="76"/>
  </r>
  <r>
    <x v="195"/>
    <n v="34"/>
    <x v="2"/>
    <x v="3"/>
    <s v="Analyst"/>
    <x v="195"/>
    <x v="195"/>
    <d v="2021-07-07T00:00:00"/>
    <s v="555-01006"/>
    <s v="196 Main St"/>
    <s v="New York"/>
    <s v="NK"/>
    <x v="0"/>
    <n v="4.88"/>
    <n v="74"/>
  </r>
  <r>
    <x v="196"/>
    <n v="60"/>
    <x v="0"/>
    <x v="2"/>
    <s v="Project Manager"/>
    <x v="196"/>
    <x v="196"/>
    <d v="2015-03-24T00:00:00"/>
    <s v="555-01007"/>
    <s v="197 Main St"/>
    <s v="Paris"/>
    <s v="PA"/>
    <x v="1"/>
    <n v="6.01"/>
    <n v="58"/>
  </r>
  <r>
    <x v="197"/>
    <n v="57"/>
    <x v="0"/>
    <x v="3"/>
    <s v="Sales Executive"/>
    <x v="197"/>
    <x v="197"/>
    <d v="2010-03-19T00:00:00"/>
    <s v="555-01008"/>
    <s v="198 Main St"/>
    <s v="London"/>
    <s v="LN"/>
    <x v="2"/>
    <n v="4.17"/>
    <n v="187"/>
  </r>
  <r>
    <x v="198"/>
    <n v="44"/>
    <x v="0"/>
    <x v="3"/>
    <s v="Project Manager"/>
    <x v="198"/>
    <x v="198"/>
    <d v="2009-11-21T00:00:00"/>
    <s v="555-01009"/>
    <s v="199 Main St"/>
    <s v="Dubai"/>
    <s v="DB"/>
    <x v="3"/>
    <n v="2.41"/>
    <n v="42"/>
  </r>
  <r>
    <x v="199"/>
    <n v="27"/>
    <x v="2"/>
    <x v="1"/>
    <s v="Sales Executive"/>
    <x v="199"/>
    <x v="199"/>
    <d v="2002-06-17T00:00:00"/>
    <s v="555-01000"/>
    <s v="200 Main St"/>
    <s v="Tokyo"/>
    <s v="TK"/>
    <x v="4"/>
    <n v="2.0299999999999998"/>
    <n v="192"/>
  </r>
  <r>
    <x v="200"/>
    <n v="45"/>
    <x v="1"/>
    <x v="2"/>
    <s v="HR Specialist"/>
    <x v="200"/>
    <x v="200"/>
    <d v="2015-07-22T00:00:00"/>
    <s v="555-01001"/>
    <s v="201 Main St"/>
    <s v="New York"/>
    <s v="NK"/>
    <x v="0"/>
    <n v="3.75"/>
    <n v="143"/>
  </r>
  <r>
    <x v="201"/>
    <n v="54"/>
    <x v="1"/>
    <x v="4"/>
    <s v="Software Engineer"/>
    <x v="201"/>
    <x v="201"/>
    <d v="2003-04-18T00:00:00"/>
    <s v="555-01002"/>
    <s v="202 Main St"/>
    <s v="Paris"/>
    <s v="PA"/>
    <x v="1"/>
    <n v="3.17"/>
    <n v="136"/>
  </r>
  <r>
    <x v="202"/>
    <n v="33"/>
    <x v="2"/>
    <x v="2"/>
    <s v="Project Manager"/>
    <x v="202"/>
    <x v="202"/>
    <d v="2004-11-17T00:00:00"/>
    <s v="555-01003"/>
    <s v="203 Main St"/>
    <s v="London"/>
    <s v="LN"/>
    <x v="2"/>
    <n v="4.13"/>
    <n v="164"/>
  </r>
  <r>
    <x v="203"/>
    <n v="62"/>
    <x v="1"/>
    <x v="4"/>
    <s v="Software Engineer"/>
    <x v="203"/>
    <x v="203"/>
    <d v="2007-07-31T00:00:00"/>
    <s v="555-01004"/>
    <s v="204 Main St"/>
    <s v="Dubai"/>
    <s v="DB"/>
    <x v="3"/>
    <n v="3.77"/>
    <n v="55"/>
  </r>
  <r>
    <x v="204"/>
    <n v="42"/>
    <x v="2"/>
    <x v="1"/>
    <s v="Sales Executive"/>
    <x v="204"/>
    <x v="204"/>
    <d v="2011-07-11T00:00:00"/>
    <s v="555-01005"/>
    <s v="205 Main St"/>
    <s v="Tokyo"/>
    <s v="TK"/>
    <x v="4"/>
    <n v="1.79"/>
    <n v="158"/>
  </r>
  <r>
    <x v="205"/>
    <n v="32"/>
    <x v="2"/>
    <x v="1"/>
    <s v="Sales Executive"/>
    <x v="205"/>
    <x v="205"/>
    <d v="2016-02-19T00:00:00"/>
    <s v="555-01006"/>
    <s v="206 Main St"/>
    <s v="New York"/>
    <s v="NK"/>
    <x v="0"/>
    <n v="3.59"/>
    <n v="124"/>
  </r>
  <r>
    <x v="206"/>
    <n v="59"/>
    <x v="0"/>
    <x v="0"/>
    <s v="Software Engineer"/>
    <x v="206"/>
    <x v="206"/>
    <d v="2006-10-05T00:00:00"/>
    <s v="555-01007"/>
    <s v="207 Main St"/>
    <s v="Paris"/>
    <s v="PA"/>
    <x v="1"/>
    <n v="3.97"/>
    <n v="46"/>
  </r>
  <r>
    <x v="207"/>
    <n v="50"/>
    <x v="2"/>
    <x v="1"/>
    <s v="HR Specialist"/>
    <x v="207"/>
    <x v="207"/>
    <d v="2006-11-06T00:00:00"/>
    <s v="555-01008"/>
    <s v="208 Main St"/>
    <s v="London"/>
    <s v="LN"/>
    <x v="2"/>
    <n v="2.82"/>
    <n v="67"/>
  </r>
  <r>
    <x v="208"/>
    <n v="62"/>
    <x v="0"/>
    <x v="3"/>
    <s v="Project Manager"/>
    <x v="208"/>
    <x v="208"/>
    <d v="2019-01-19T00:00:00"/>
    <s v="555-01009"/>
    <s v="209 Main St"/>
    <s v="Dubai"/>
    <s v="DB"/>
    <x v="3"/>
    <n v="4.29"/>
    <n v="57"/>
  </r>
  <r>
    <x v="209"/>
    <n v="24"/>
    <x v="0"/>
    <x v="2"/>
    <s v="Software Engineer"/>
    <x v="209"/>
    <x v="209"/>
    <d v="2012-08-29T00:00:00"/>
    <s v="555-01000"/>
    <s v="210 Main St"/>
    <s v="Tokyo"/>
    <s v="TK"/>
    <x v="4"/>
    <n v="3.19"/>
    <n v="19"/>
  </r>
  <r>
    <x v="210"/>
    <n v="49"/>
    <x v="1"/>
    <x v="4"/>
    <s v="Sales Executive"/>
    <x v="210"/>
    <x v="210"/>
    <d v="2014-07-07T00:00:00"/>
    <s v="555-01001"/>
    <s v="211 Main St"/>
    <s v="New York"/>
    <s v="NK"/>
    <x v="0"/>
    <n v="4.7300000000000004"/>
    <n v="161"/>
  </r>
  <r>
    <x v="211"/>
    <n v="41"/>
    <x v="0"/>
    <x v="2"/>
    <s v="Project Manager"/>
    <x v="211"/>
    <x v="211"/>
    <d v="2002-12-17T00:00:00"/>
    <s v="555-01002"/>
    <s v="212 Main St"/>
    <s v="Paris"/>
    <s v="PA"/>
    <x v="1"/>
    <n v="4.38"/>
    <n v="62"/>
  </r>
  <r>
    <x v="212"/>
    <n v="47"/>
    <x v="1"/>
    <x v="2"/>
    <s v="Project Manager"/>
    <x v="212"/>
    <x v="212"/>
    <d v="2015-07-21T00:00:00"/>
    <s v="555-01003"/>
    <s v="213 Main St"/>
    <s v="London"/>
    <s v="LN"/>
    <x v="2"/>
    <n v="3.52"/>
    <n v="53"/>
  </r>
  <r>
    <x v="213"/>
    <n v="45"/>
    <x v="2"/>
    <x v="2"/>
    <s v="Analyst"/>
    <x v="213"/>
    <x v="213"/>
    <d v="2017-01-19T00:00:00"/>
    <s v="555-01004"/>
    <s v="214 Main St"/>
    <s v="Dubai"/>
    <s v="DB"/>
    <x v="3"/>
    <n v="2.77"/>
    <n v="7"/>
  </r>
  <r>
    <x v="214"/>
    <n v="42"/>
    <x v="1"/>
    <x v="2"/>
    <s v="Project Manager"/>
    <x v="214"/>
    <x v="214"/>
    <d v="2000-01-01T00:00:00"/>
    <s v="555-01005"/>
    <s v="215 Main St"/>
    <s v="Tokyo"/>
    <s v="TK"/>
    <x v="4"/>
    <n v="4.08"/>
    <n v="115"/>
  </r>
  <r>
    <x v="215"/>
    <n v="51"/>
    <x v="1"/>
    <x v="2"/>
    <s v="HR Specialist"/>
    <x v="215"/>
    <x v="215"/>
    <d v="2000-07-24T00:00:00"/>
    <s v="555-01006"/>
    <s v="216 Main St"/>
    <s v="New York"/>
    <s v="NK"/>
    <x v="0"/>
    <n v="2.2999999999999998"/>
    <n v="138"/>
  </r>
  <r>
    <x v="216"/>
    <n v="25"/>
    <x v="1"/>
    <x v="1"/>
    <s v="Software Engineer"/>
    <x v="216"/>
    <x v="216"/>
    <d v="2022-06-16T00:00:00"/>
    <s v="555-01007"/>
    <s v="217 Main St"/>
    <s v="Paris"/>
    <s v="PA"/>
    <x v="1"/>
    <n v="2.0299999999999998"/>
    <n v="173"/>
  </r>
  <r>
    <x v="217"/>
    <n v="57"/>
    <x v="2"/>
    <x v="2"/>
    <s v="HR Specialist"/>
    <x v="217"/>
    <x v="217"/>
    <d v="2019-07-29T00:00:00"/>
    <s v="555-01008"/>
    <s v="218 Main St"/>
    <s v="London"/>
    <s v="LN"/>
    <x v="2"/>
    <n v="1.5"/>
    <n v="12"/>
  </r>
  <r>
    <x v="218"/>
    <n v="61"/>
    <x v="2"/>
    <x v="2"/>
    <s v="Analyst"/>
    <x v="218"/>
    <x v="218"/>
    <d v="2007-07-31T00:00:00"/>
    <s v="555-01009"/>
    <s v="219 Main St"/>
    <s v="Dubai"/>
    <s v="DB"/>
    <x v="3"/>
    <n v="1.89"/>
    <n v="111"/>
  </r>
  <r>
    <x v="219"/>
    <n v="31"/>
    <x v="0"/>
    <x v="4"/>
    <s v="HR Specialist"/>
    <x v="219"/>
    <x v="219"/>
    <d v="2005-03-02T00:00:00"/>
    <s v="555-01000"/>
    <s v="220 Main St"/>
    <s v="Tokyo"/>
    <s v="TK"/>
    <x v="4"/>
    <n v="2.86"/>
    <n v="170"/>
  </r>
  <r>
    <x v="220"/>
    <n v="31"/>
    <x v="2"/>
    <x v="2"/>
    <s v="Project Manager"/>
    <x v="220"/>
    <x v="220"/>
    <d v="2006-01-13T00:00:00"/>
    <s v="555-01001"/>
    <s v="221 Main St"/>
    <s v="New York"/>
    <s v="NK"/>
    <x v="0"/>
    <n v="4.5599999999999996"/>
    <n v="84"/>
  </r>
  <r>
    <x v="221"/>
    <n v="63"/>
    <x v="0"/>
    <x v="2"/>
    <s v="Project Manager"/>
    <x v="221"/>
    <x v="221"/>
    <d v="2001-05-16T00:00:00"/>
    <s v="555-01002"/>
    <s v="222 Main St"/>
    <s v="Paris"/>
    <s v="PA"/>
    <x v="1"/>
    <n v="2.9"/>
    <n v="27"/>
  </r>
  <r>
    <x v="222"/>
    <n v="45"/>
    <x v="2"/>
    <x v="2"/>
    <s v="Project Manager"/>
    <x v="222"/>
    <x v="222"/>
    <d v="2022-12-07T00:00:00"/>
    <s v="555-01003"/>
    <s v="223 Main St"/>
    <s v="London"/>
    <s v="LN"/>
    <x v="2"/>
    <n v="1.82"/>
    <n v="109"/>
  </r>
  <r>
    <x v="223"/>
    <n v="25"/>
    <x v="1"/>
    <x v="3"/>
    <s v="Software Engineer"/>
    <x v="223"/>
    <x v="223"/>
    <d v="2016-05-08T00:00:00"/>
    <s v="555-01004"/>
    <s v="224 Main St"/>
    <s v="Dubai"/>
    <s v="DB"/>
    <x v="3"/>
    <n v="2.17"/>
    <n v="105"/>
  </r>
  <r>
    <x v="224"/>
    <n v="48"/>
    <x v="0"/>
    <x v="3"/>
    <s v="Sales Executive"/>
    <x v="224"/>
    <x v="224"/>
    <d v="2022-06-23T00:00:00"/>
    <s v="555-01005"/>
    <s v="225 Main St"/>
    <s v="Tokyo"/>
    <s v="TK"/>
    <x v="4"/>
    <n v="4.18"/>
    <n v="64"/>
  </r>
  <r>
    <x v="225"/>
    <n v="25"/>
    <x v="2"/>
    <x v="3"/>
    <s v="Sales Executive"/>
    <x v="225"/>
    <x v="225"/>
    <d v="2014-01-02T00:00:00"/>
    <s v="555-01006"/>
    <s v="226 Main St"/>
    <s v="New York"/>
    <s v="NK"/>
    <x v="0"/>
    <n v="3.99"/>
    <n v="40"/>
  </r>
  <r>
    <x v="226"/>
    <n v="53"/>
    <x v="2"/>
    <x v="2"/>
    <s v="Analyst"/>
    <x v="226"/>
    <x v="226"/>
    <d v="2016-08-11T00:00:00"/>
    <s v="555-01007"/>
    <s v="227 Main St"/>
    <s v="Paris"/>
    <s v="PA"/>
    <x v="1"/>
    <n v="4.8"/>
    <n v="170"/>
  </r>
  <r>
    <x v="227"/>
    <n v="31"/>
    <x v="2"/>
    <x v="1"/>
    <s v="HR Specialist"/>
    <x v="227"/>
    <x v="227"/>
    <d v="2002-02-27T00:00:00"/>
    <s v="555-01008"/>
    <s v="228 Main St"/>
    <s v="London"/>
    <s v="LN"/>
    <x v="2"/>
    <n v="1.03"/>
    <n v="63"/>
  </r>
  <r>
    <x v="228"/>
    <n v="32"/>
    <x v="1"/>
    <x v="3"/>
    <s v="Sales Executive"/>
    <x v="228"/>
    <x v="228"/>
    <d v="2007-05-30T00:00:00"/>
    <s v="555-01009"/>
    <s v="229 Main St"/>
    <s v="Dubai"/>
    <s v="DB"/>
    <x v="3"/>
    <n v="1.78"/>
    <n v="33"/>
  </r>
  <r>
    <x v="229"/>
    <n v="49"/>
    <x v="0"/>
    <x v="0"/>
    <s v="Software Engineer"/>
    <x v="229"/>
    <x v="229"/>
    <d v="2015-05-20T00:00:00"/>
    <s v="555-01000"/>
    <s v="230 Main St"/>
    <s v="Tokyo"/>
    <s v="TK"/>
    <x v="4"/>
    <n v="4.45"/>
    <n v="58"/>
  </r>
  <r>
    <x v="230"/>
    <n v="29"/>
    <x v="0"/>
    <x v="3"/>
    <s v="Project Manager"/>
    <x v="230"/>
    <x v="230"/>
    <d v="2022-12-20T00:00:00"/>
    <s v="555-01001"/>
    <s v="231 Main St"/>
    <s v="New York"/>
    <s v="NK"/>
    <x v="0"/>
    <n v="4.2699999999999996"/>
    <n v="6"/>
  </r>
  <r>
    <x v="231"/>
    <n v="61"/>
    <x v="0"/>
    <x v="4"/>
    <s v="Analyst"/>
    <x v="231"/>
    <x v="231"/>
    <d v="2021-08-09T00:00:00"/>
    <s v="555-01002"/>
    <s v="232 Main St"/>
    <s v="Paris"/>
    <s v="PA"/>
    <x v="1"/>
    <n v="1.71"/>
    <n v="91"/>
  </r>
  <r>
    <x v="232"/>
    <n v="43"/>
    <x v="2"/>
    <x v="1"/>
    <s v="Project Manager"/>
    <x v="232"/>
    <x v="232"/>
    <d v="2007-02-22T00:00:00"/>
    <s v="555-01003"/>
    <s v="233 Main St"/>
    <s v="London"/>
    <s v="LN"/>
    <x v="2"/>
    <n v="4.53"/>
    <n v="26"/>
  </r>
  <r>
    <x v="233"/>
    <n v="55"/>
    <x v="0"/>
    <x v="4"/>
    <s v="Software Engineer"/>
    <x v="233"/>
    <x v="233"/>
    <d v="2004-03-17T00:00:00"/>
    <s v="555-01004"/>
    <s v="234 Main St"/>
    <s v="Dubai"/>
    <s v="DB"/>
    <x v="3"/>
    <n v="1.93"/>
    <n v="161"/>
  </r>
  <r>
    <x v="234"/>
    <n v="56"/>
    <x v="0"/>
    <x v="4"/>
    <s v="Project Manager"/>
    <x v="234"/>
    <x v="234"/>
    <d v="2014-05-30T00:00:00"/>
    <s v="555-01005"/>
    <s v="235 Main St"/>
    <s v="Tokyo"/>
    <s v="TK"/>
    <x v="4"/>
    <n v="1.31"/>
    <n v="5"/>
  </r>
  <r>
    <x v="235"/>
    <n v="56"/>
    <x v="2"/>
    <x v="3"/>
    <s v="Software Engineer"/>
    <x v="235"/>
    <x v="235"/>
    <d v="2012-02-19T00:00:00"/>
    <s v="555-01006"/>
    <s v="236 Main St"/>
    <s v="New York"/>
    <s v="NK"/>
    <x v="0"/>
    <n v="3.89"/>
    <n v="70"/>
  </r>
  <r>
    <x v="236"/>
    <n v="46"/>
    <x v="2"/>
    <x v="4"/>
    <s v="HR Specialist"/>
    <x v="236"/>
    <x v="236"/>
    <d v="2013-06-07T00:00:00"/>
    <s v="555-01007"/>
    <s v="237 Main St"/>
    <s v="Paris"/>
    <s v="PA"/>
    <x v="1"/>
    <n v="1.21"/>
    <n v="101"/>
  </r>
  <r>
    <x v="237"/>
    <n v="55"/>
    <x v="2"/>
    <x v="4"/>
    <s v="Software Engineer"/>
    <x v="237"/>
    <x v="237"/>
    <d v="2012-11-22T00:00:00"/>
    <s v="555-01008"/>
    <s v="238 Main St"/>
    <s v="London"/>
    <s v="LN"/>
    <x v="2"/>
    <n v="4.43"/>
    <n v="180"/>
  </r>
  <r>
    <x v="238"/>
    <n v="27"/>
    <x v="2"/>
    <x v="1"/>
    <s v="HR Specialist"/>
    <x v="238"/>
    <x v="238"/>
    <d v="2021-09-10T00:00:00"/>
    <s v="555-01009"/>
    <s v="239 Main St"/>
    <s v="Dubai"/>
    <s v="DB"/>
    <x v="3"/>
    <n v="4.13"/>
    <n v="18"/>
  </r>
  <r>
    <x v="239"/>
    <n v="62"/>
    <x v="1"/>
    <x v="3"/>
    <s v="HR Specialist"/>
    <x v="239"/>
    <x v="239"/>
    <d v="2006-04-27T00:00:00"/>
    <s v="555-01000"/>
    <s v="240 Main St"/>
    <s v="Tokyo"/>
    <s v="TK"/>
    <x v="4"/>
    <n v="1.1399999999999999"/>
    <n v="51"/>
  </r>
  <r>
    <x v="240"/>
    <n v="58"/>
    <x v="1"/>
    <x v="1"/>
    <s v="HR Specialist"/>
    <x v="240"/>
    <x v="240"/>
    <d v="2002-07-23T00:00:00"/>
    <s v="555-01001"/>
    <s v="241 Main St"/>
    <s v="New York"/>
    <s v="NK"/>
    <x v="0"/>
    <n v="4.95"/>
    <n v="13"/>
  </r>
  <r>
    <x v="241"/>
    <n v="22"/>
    <x v="0"/>
    <x v="2"/>
    <s v="Project Manager"/>
    <x v="241"/>
    <x v="241"/>
    <d v="2002-08-24T00:00:00"/>
    <s v="555-01002"/>
    <s v="242 Main St"/>
    <s v="Paris"/>
    <s v="PA"/>
    <x v="1"/>
    <n v="3.25"/>
    <n v="13"/>
  </r>
  <r>
    <x v="242"/>
    <n v="33"/>
    <x v="1"/>
    <x v="3"/>
    <s v="Project Manager"/>
    <x v="242"/>
    <x v="242"/>
    <d v="2010-10-30T00:00:00"/>
    <s v="555-01003"/>
    <s v="243 Main St"/>
    <s v="London"/>
    <s v="LN"/>
    <x v="2"/>
    <n v="1.29"/>
    <n v="130"/>
  </r>
  <r>
    <x v="243"/>
    <n v="56"/>
    <x v="2"/>
    <x v="4"/>
    <s v="Project Manager"/>
    <x v="243"/>
    <x v="243"/>
    <d v="2001-03-03T00:00:00"/>
    <s v="555-01004"/>
    <s v="244 Main St"/>
    <s v="Dubai"/>
    <s v="DB"/>
    <x v="3"/>
    <n v="4.91"/>
    <n v="51"/>
  </r>
  <r>
    <x v="244"/>
    <n v="27"/>
    <x v="1"/>
    <x v="3"/>
    <s v="Analyst"/>
    <x v="244"/>
    <x v="244"/>
    <d v="2010-10-04T00:00:00"/>
    <s v="555-01005"/>
    <s v="245 Main St"/>
    <s v="Tokyo"/>
    <s v="TK"/>
    <x v="4"/>
    <n v="4.5199999999999996"/>
    <n v="57"/>
  </r>
  <r>
    <x v="245"/>
    <n v="38"/>
    <x v="2"/>
    <x v="3"/>
    <s v="Analyst"/>
    <x v="245"/>
    <x v="245"/>
    <d v="2010-12-14T00:00:00"/>
    <s v="555-01006"/>
    <s v="246 Main St"/>
    <s v="New York"/>
    <s v="NK"/>
    <x v="0"/>
    <n v="4.92"/>
    <n v="115"/>
  </r>
  <r>
    <x v="246"/>
    <n v="30"/>
    <x v="1"/>
    <x v="2"/>
    <s v="Sales Executive"/>
    <x v="246"/>
    <x v="246"/>
    <d v="2009-01-08T00:00:00"/>
    <s v="555-01007"/>
    <s v="247 Main St"/>
    <s v="Paris"/>
    <s v="PA"/>
    <x v="1"/>
    <n v="4.5999999999999996"/>
    <n v="129"/>
  </r>
  <r>
    <x v="247"/>
    <n v="23"/>
    <x v="2"/>
    <x v="1"/>
    <s v="Analyst"/>
    <x v="247"/>
    <x v="247"/>
    <d v="2020-06-10T00:00:00"/>
    <s v="555-01008"/>
    <s v="248 Main St"/>
    <s v="London"/>
    <s v="LN"/>
    <x v="2"/>
    <n v="3.23"/>
    <n v="7"/>
  </r>
  <r>
    <x v="248"/>
    <n v="39"/>
    <x v="0"/>
    <x v="3"/>
    <s v="Project Manager"/>
    <x v="248"/>
    <x v="248"/>
    <d v="2000-04-27T00:00:00"/>
    <s v="555-01009"/>
    <s v="249 Main St"/>
    <s v="Dubai"/>
    <s v="DB"/>
    <x v="3"/>
    <n v="4.59"/>
    <n v="11"/>
  </r>
  <r>
    <x v="249"/>
    <n v="57"/>
    <x v="0"/>
    <x v="3"/>
    <s v="Analyst"/>
    <x v="249"/>
    <x v="249"/>
    <d v="2006-06-27T00:00:00"/>
    <s v="555-01000"/>
    <s v="250 Main St"/>
    <s v="Tokyo"/>
    <s v="TK"/>
    <x v="4"/>
    <n v="1.94"/>
    <n v="177"/>
  </r>
  <r>
    <x v="250"/>
    <n v="49"/>
    <x v="1"/>
    <x v="0"/>
    <s v="Analyst"/>
    <x v="250"/>
    <x v="250"/>
    <d v="2012-06-10T00:00:00"/>
    <s v="555-01001"/>
    <s v="251 Main St"/>
    <s v="New York"/>
    <s v="NK"/>
    <x v="0"/>
    <n v="4.5199999999999996"/>
    <n v="92"/>
  </r>
  <r>
    <x v="251"/>
    <n v="62"/>
    <x v="2"/>
    <x v="3"/>
    <s v="Analyst"/>
    <x v="251"/>
    <x v="251"/>
    <d v="2004-07-22T00:00:00"/>
    <s v="555-01002"/>
    <s v="252 Main St"/>
    <s v="Paris"/>
    <s v="PA"/>
    <x v="1"/>
    <n v="2.62"/>
    <n v="56"/>
  </r>
  <r>
    <x v="252"/>
    <n v="58"/>
    <x v="0"/>
    <x v="1"/>
    <s v="Sales Executive"/>
    <x v="252"/>
    <x v="252"/>
    <d v="2003-07-30T00:00:00"/>
    <s v="555-01003"/>
    <s v="253 Main St"/>
    <s v="London"/>
    <s v="LN"/>
    <x v="2"/>
    <n v="2.25"/>
    <n v="119"/>
  </r>
  <r>
    <x v="253"/>
    <n v="47"/>
    <x v="2"/>
    <x v="0"/>
    <s v="HR Specialist"/>
    <x v="253"/>
    <x v="253"/>
    <d v="2000-08-13T00:00:00"/>
    <s v="555-01004"/>
    <s v="254 Main St"/>
    <s v="Dubai"/>
    <s v="DB"/>
    <x v="3"/>
    <n v="4.92"/>
    <n v="81"/>
  </r>
  <r>
    <x v="254"/>
    <n v="25"/>
    <x v="1"/>
    <x v="4"/>
    <s v="Project Manager"/>
    <x v="254"/>
    <x v="254"/>
    <d v="2008-10-06T00:00:00"/>
    <s v="555-01005"/>
    <s v="255 Main St"/>
    <s v="Tokyo"/>
    <s v="TK"/>
    <x v="4"/>
    <n v="1.92"/>
    <n v="92"/>
  </r>
  <r>
    <x v="255"/>
    <n v="61"/>
    <x v="2"/>
    <x v="4"/>
    <s v="Project Manager"/>
    <x v="255"/>
    <x v="255"/>
    <d v="2015-02-21T00:00:00"/>
    <s v="555-01006"/>
    <s v="256 Main St"/>
    <s v="New York"/>
    <s v="NK"/>
    <x v="0"/>
    <n v="4.38"/>
    <n v="122"/>
  </r>
  <r>
    <x v="256"/>
    <n v="57"/>
    <x v="2"/>
    <x v="3"/>
    <s v="Sales Executive"/>
    <x v="256"/>
    <x v="256"/>
    <d v="2017-12-20T00:00:00"/>
    <s v="555-01007"/>
    <s v="257 Main St"/>
    <s v="Paris"/>
    <s v="PA"/>
    <x v="1"/>
    <n v="2.34"/>
    <n v="126"/>
  </r>
  <r>
    <x v="257"/>
    <n v="52"/>
    <x v="1"/>
    <x v="1"/>
    <s v="Software Engineer"/>
    <x v="257"/>
    <x v="257"/>
    <d v="2014-06-26T00:00:00"/>
    <s v="555-01008"/>
    <s v="258 Main St"/>
    <s v="London"/>
    <s v="LN"/>
    <x v="2"/>
    <n v="1.42"/>
    <n v="167"/>
  </r>
  <r>
    <x v="258"/>
    <n v="51"/>
    <x v="0"/>
    <x v="3"/>
    <s v="HR Specialist"/>
    <x v="258"/>
    <x v="258"/>
    <d v="2000-04-01T00:00:00"/>
    <s v="555-01009"/>
    <s v="259 Main St"/>
    <s v="Dubai"/>
    <s v="DB"/>
    <x v="3"/>
    <n v="1.1299999999999999"/>
    <n v="172"/>
  </r>
  <r>
    <x v="259"/>
    <n v="55"/>
    <x v="1"/>
    <x v="4"/>
    <s v="Sales Executive"/>
    <x v="259"/>
    <x v="259"/>
    <d v="2021-08-10T00:00:00"/>
    <s v="555-01000"/>
    <s v="260 Main St"/>
    <s v="Tokyo"/>
    <s v="TK"/>
    <x v="4"/>
    <n v="3.79"/>
    <n v="45"/>
  </r>
  <r>
    <x v="260"/>
    <n v="40"/>
    <x v="2"/>
    <x v="3"/>
    <s v="Project Manager"/>
    <x v="260"/>
    <x v="260"/>
    <d v="2017-07-29T00:00:00"/>
    <s v="555-01001"/>
    <s v="261 Main St"/>
    <s v="New York"/>
    <s v="NK"/>
    <x v="0"/>
    <n v="1.34"/>
    <n v="75"/>
  </r>
  <r>
    <x v="261"/>
    <n v="39"/>
    <x v="1"/>
    <x v="3"/>
    <s v="Analyst"/>
    <x v="261"/>
    <x v="261"/>
    <d v="2003-11-18T00:00:00"/>
    <s v="555-01002"/>
    <s v="262 Main St"/>
    <s v="Paris"/>
    <s v="PA"/>
    <x v="1"/>
    <n v="2.98"/>
    <n v="118"/>
  </r>
  <r>
    <x v="262"/>
    <n v="51"/>
    <x v="1"/>
    <x v="4"/>
    <s v="Sales Executive"/>
    <x v="262"/>
    <x v="262"/>
    <d v="2008-04-01T00:00:00"/>
    <s v="555-01003"/>
    <s v="263 Main St"/>
    <s v="London"/>
    <s v="LN"/>
    <x v="2"/>
    <n v="2.54"/>
    <n v="30"/>
  </r>
  <r>
    <x v="263"/>
    <n v="42"/>
    <x v="2"/>
    <x v="4"/>
    <s v="Software Engineer"/>
    <x v="263"/>
    <x v="263"/>
    <d v="2007-11-03T00:00:00"/>
    <s v="555-01004"/>
    <s v="264 Main St"/>
    <s v="Dubai"/>
    <s v="DB"/>
    <x v="3"/>
    <n v="4.12"/>
    <n v="28"/>
  </r>
  <r>
    <x v="264"/>
    <n v="24"/>
    <x v="1"/>
    <x v="0"/>
    <s v="Sales Executive"/>
    <x v="264"/>
    <x v="264"/>
    <d v="2008-03-25T00:00:00"/>
    <s v="555-01005"/>
    <s v="265 Main St"/>
    <s v="Tokyo"/>
    <s v="TK"/>
    <x v="4"/>
    <n v="2.78"/>
    <n v="29"/>
  </r>
  <r>
    <x v="265"/>
    <n v="27"/>
    <x v="0"/>
    <x v="0"/>
    <s v="Software Engineer"/>
    <x v="265"/>
    <x v="265"/>
    <d v="2020-09-06T00:00:00"/>
    <s v="555-01006"/>
    <s v="266 Main St"/>
    <s v="New York"/>
    <s v="NK"/>
    <x v="0"/>
    <n v="3.7"/>
    <n v="85"/>
  </r>
  <r>
    <x v="266"/>
    <n v="59"/>
    <x v="0"/>
    <x v="1"/>
    <s v="Sales Executive"/>
    <x v="266"/>
    <x v="266"/>
    <d v="2022-05-04T00:00:00"/>
    <s v="555-01007"/>
    <s v="267 Main St"/>
    <s v="Paris"/>
    <s v="PA"/>
    <x v="1"/>
    <n v="3.35"/>
    <n v="97"/>
  </r>
  <r>
    <x v="267"/>
    <n v="34"/>
    <x v="1"/>
    <x v="1"/>
    <s v="Software Engineer"/>
    <x v="267"/>
    <x v="267"/>
    <d v="2008-01-08T00:00:00"/>
    <s v="555-01008"/>
    <s v="268 Main St"/>
    <s v="London"/>
    <s v="LN"/>
    <x v="2"/>
    <n v="1.8"/>
    <n v="118"/>
  </r>
  <r>
    <x v="268"/>
    <n v="24"/>
    <x v="2"/>
    <x v="4"/>
    <s v="Sales Executive"/>
    <x v="268"/>
    <x v="268"/>
    <d v="2014-07-22T00:00:00"/>
    <s v="555-01009"/>
    <s v="269 Main St"/>
    <s v="Dubai"/>
    <s v="DB"/>
    <x v="3"/>
    <n v="4.7"/>
    <n v="186"/>
  </r>
  <r>
    <x v="269"/>
    <n v="49"/>
    <x v="1"/>
    <x v="1"/>
    <s v="Software Engineer"/>
    <x v="269"/>
    <x v="269"/>
    <d v="2004-01-27T00:00:00"/>
    <s v="555-01000"/>
    <s v="270 Main St"/>
    <s v="Tokyo"/>
    <s v="TK"/>
    <x v="4"/>
    <n v="1.48"/>
    <n v="158"/>
  </r>
  <r>
    <x v="270"/>
    <n v="43"/>
    <x v="1"/>
    <x v="1"/>
    <s v="Software Engineer"/>
    <x v="270"/>
    <x v="270"/>
    <d v="2019-06-07T00:00:00"/>
    <s v="555-01001"/>
    <s v="271 Main St"/>
    <s v="New York"/>
    <s v="NK"/>
    <x v="0"/>
    <n v="2.87"/>
    <n v="123"/>
  </r>
  <r>
    <x v="271"/>
    <n v="61"/>
    <x v="0"/>
    <x v="0"/>
    <s v="Sales Executive"/>
    <x v="271"/>
    <x v="271"/>
    <d v="2015-01-27T00:00:00"/>
    <s v="555-01002"/>
    <s v="272 Main St"/>
    <s v="Paris"/>
    <s v="PA"/>
    <x v="1"/>
    <n v="2.97"/>
    <n v="50"/>
  </r>
  <r>
    <x v="272"/>
    <n v="61"/>
    <x v="0"/>
    <x v="4"/>
    <s v="Project Manager"/>
    <x v="272"/>
    <x v="272"/>
    <d v="2007-01-07T00:00:00"/>
    <s v="555-01003"/>
    <s v="273 Main St"/>
    <s v="London"/>
    <s v="LN"/>
    <x v="2"/>
    <n v="3.08"/>
    <n v="68"/>
  </r>
  <r>
    <x v="273"/>
    <n v="33"/>
    <x v="2"/>
    <x v="0"/>
    <s v="Sales Executive"/>
    <x v="273"/>
    <x v="273"/>
    <d v="2008-07-25T00:00:00"/>
    <s v="555-01004"/>
    <s v="274 Main St"/>
    <s v="Dubai"/>
    <s v="DB"/>
    <x v="3"/>
    <n v="3.7"/>
    <n v="176"/>
  </r>
  <r>
    <x v="274"/>
    <n v="44"/>
    <x v="2"/>
    <x v="3"/>
    <s v="Project Manager"/>
    <x v="274"/>
    <x v="274"/>
    <d v="2011-10-04T00:00:00"/>
    <s v="555-01005"/>
    <s v="275 Main St"/>
    <s v="Tokyo"/>
    <s v="TK"/>
    <x v="4"/>
    <n v="1.07"/>
    <n v="76"/>
  </r>
  <r>
    <x v="275"/>
    <n v="52"/>
    <x v="2"/>
    <x v="4"/>
    <s v="Software Engineer"/>
    <x v="275"/>
    <x v="275"/>
    <d v="2016-09-07T00:00:00"/>
    <s v="555-01006"/>
    <s v="276 Main St"/>
    <s v="New York"/>
    <s v="NK"/>
    <x v="0"/>
    <n v="1.52"/>
    <n v="23"/>
  </r>
  <r>
    <x v="276"/>
    <n v="39"/>
    <x v="1"/>
    <x v="2"/>
    <s v="Sales Executive"/>
    <x v="276"/>
    <x v="276"/>
    <d v="2022-01-21T00:00:00"/>
    <s v="555-01007"/>
    <s v="277 Main St"/>
    <s v="Paris"/>
    <s v="PA"/>
    <x v="1"/>
    <n v="2.83"/>
    <n v="74"/>
  </r>
  <r>
    <x v="277"/>
    <n v="28"/>
    <x v="1"/>
    <x v="1"/>
    <s v="Software Engineer"/>
    <x v="277"/>
    <x v="277"/>
    <d v="2019-02-02T00:00:00"/>
    <s v="555-01008"/>
    <s v="278 Main St"/>
    <s v="London"/>
    <s v="LN"/>
    <x v="2"/>
    <n v="2"/>
    <n v="56"/>
  </r>
  <r>
    <x v="278"/>
    <n v="29"/>
    <x v="1"/>
    <x v="1"/>
    <s v="Project Manager"/>
    <x v="278"/>
    <x v="278"/>
    <d v="2016-06-19T00:00:00"/>
    <s v="555-01009"/>
    <s v="279 Main St"/>
    <s v="Dubai"/>
    <s v="DB"/>
    <x v="3"/>
    <n v="1.4"/>
    <n v="18"/>
  </r>
  <r>
    <x v="279"/>
    <n v="40"/>
    <x v="1"/>
    <x v="4"/>
    <s v="Sales Executive"/>
    <x v="279"/>
    <x v="279"/>
    <d v="2006-06-30T00:00:00"/>
    <s v="555-01000"/>
    <s v="280 Main St"/>
    <s v="Tokyo"/>
    <s v="TK"/>
    <x v="4"/>
    <n v="3.34"/>
    <n v="151"/>
  </r>
  <r>
    <x v="280"/>
    <n v="50"/>
    <x v="2"/>
    <x v="2"/>
    <s v="Sales Executive"/>
    <x v="280"/>
    <x v="280"/>
    <d v="2017-07-06T00:00:00"/>
    <s v="555-01001"/>
    <s v="281 Main St"/>
    <s v="New York"/>
    <s v="NK"/>
    <x v="0"/>
    <n v="3.48"/>
    <n v="199"/>
  </r>
  <r>
    <x v="281"/>
    <n v="41"/>
    <x v="2"/>
    <x v="4"/>
    <s v="Sales Executive"/>
    <x v="281"/>
    <x v="281"/>
    <d v="2013-02-16T00:00:00"/>
    <s v="555-01002"/>
    <s v="282 Main St"/>
    <s v="Paris"/>
    <s v="PA"/>
    <x v="1"/>
    <n v="2.0099999999999998"/>
    <n v="80"/>
  </r>
  <r>
    <x v="282"/>
    <n v="63"/>
    <x v="2"/>
    <x v="1"/>
    <s v="HR Specialist"/>
    <x v="282"/>
    <x v="282"/>
    <d v="2006-03-13T00:00:00"/>
    <s v="555-01003"/>
    <s v="283 Main St"/>
    <s v="London"/>
    <s v="LN"/>
    <x v="2"/>
    <n v="4.0999999999999996"/>
    <n v="104"/>
  </r>
  <r>
    <x v="283"/>
    <n v="51"/>
    <x v="1"/>
    <x v="1"/>
    <s v="Project Manager"/>
    <x v="283"/>
    <x v="283"/>
    <d v="2013-08-07T00:00:00"/>
    <s v="555-01004"/>
    <s v="284 Main St"/>
    <s v="Dubai"/>
    <s v="DB"/>
    <x v="3"/>
    <n v="4.8"/>
    <n v="20"/>
  </r>
  <r>
    <x v="284"/>
    <n v="43"/>
    <x v="1"/>
    <x v="4"/>
    <s v="Software Engineer"/>
    <x v="284"/>
    <x v="284"/>
    <d v="2014-09-26T00:00:00"/>
    <s v="555-01005"/>
    <s v="285 Main St"/>
    <s v="Tokyo"/>
    <s v="TK"/>
    <x v="4"/>
    <n v="1.3"/>
    <n v="91"/>
  </r>
  <r>
    <x v="285"/>
    <n v="31"/>
    <x v="2"/>
    <x v="3"/>
    <s v="Software Engineer"/>
    <x v="285"/>
    <x v="285"/>
    <d v="2021-10-13T00:00:00"/>
    <s v="555-01006"/>
    <s v="286 Main St"/>
    <s v="New York"/>
    <s v="NK"/>
    <x v="0"/>
    <n v="4.5999999999999996"/>
    <n v="88"/>
  </r>
  <r>
    <x v="286"/>
    <n v="47"/>
    <x v="0"/>
    <x v="0"/>
    <s v="Sales Executive"/>
    <x v="286"/>
    <x v="286"/>
    <d v="2009-01-18T00:00:00"/>
    <s v="555-01007"/>
    <s v="287 Main St"/>
    <s v="Paris"/>
    <s v="PA"/>
    <x v="1"/>
    <n v="4.4400000000000004"/>
    <n v="108"/>
  </r>
  <r>
    <x v="287"/>
    <n v="54"/>
    <x v="2"/>
    <x v="4"/>
    <s v="Analyst"/>
    <x v="287"/>
    <x v="287"/>
    <d v="2005-01-31T00:00:00"/>
    <s v="555-01008"/>
    <s v="288 Main St"/>
    <s v="London"/>
    <s v="LN"/>
    <x v="2"/>
    <n v="2.56"/>
    <n v="60"/>
  </r>
  <r>
    <x v="288"/>
    <n v="49"/>
    <x v="1"/>
    <x v="3"/>
    <s v="Analyst"/>
    <x v="288"/>
    <x v="288"/>
    <d v="2011-01-03T00:00:00"/>
    <s v="555-01009"/>
    <s v="289 Main St"/>
    <s v="Dubai"/>
    <s v="DB"/>
    <x v="3"/>
    <n v="2.6"/>
    <n v="115"/>
  </r>
  <r>
    <x v="289"/>
    <n v="31"/>
    <x v="1"/>
    <x v="2"/>
    <s v="HR Specialist"/>
    <x v="289"/>
    <x v="289"/>
    <d v="2013-01-27T00:00:00"/>
    <s v="555-01000"/>
    <s v="290 Main St"/>
    <s v="Tokyo"/>
    <s v="TK"/>
    <x v="4"/>
    <n v="3.41"/>
    <n v="85"/>
  </r>
  <r>
    <x v="290"/>
    <n v="50"/>
    <x v="2"/>
    <x v="1"/>
    <s v="Software Engineer"/>
    <x v="290"/>
    <x v="290"/>
    <d v="2022-02-25T00:00:00"/>
    <s v="555-01001"/>
    <s v="291 Main St"/>
    <s v="New York"/>
    <s v="NK"/>
    <x v="0"/>
    <n v="3.94"/>
    <n v="178"/>
  </r>
  <r>
    <x v="291"/>
    <n v="39"/>
    <x v="0"/>
    <x v="1"/>
    <s v="Sales Executive"/>
    <x v="291"/>
    <x v="291"/>
    <d v="2017-02-13T00:00:00"/>
    <s v="555-01002"/>
    <s v="292 Main St"/>
    <s v="Paris"/>
    <s v="PA"/>
    <x v="1"/>
    <n v="1.92"/>
    <n v="182"/>
  </r>
  <r>
    <x v="292"/>
    <n v="63"/>
    <x v="0"/>
    <x v="4"/>
    <s v="HR Specialist"/>
    <x v="292"/>
    <x v="292"/>
    <d v="2004-07-23T00:00:00"/>
    <s v="555-01003"/>
    <s v="293 Main St"/>
    <s v="London"/>
    <s v="LN"/>
    <x v="2"/>
    <n v="2.0499999999999998"/>
    <n v="174"/>
  </r>
  <r>
    <x v="293"/>
    <n v="22"/>
    <x v="1"/>
    <x v="2"/>
    <s v="Sales Executive"/>
    <x v="293"/>
    <x v="293"/>
    <d v="2013-12-13T00:00:00"/>
    <s v="555-01004"/>
    <s v="294 Main St"/>
    <s v="Dubai"/>
    <s v="DB"/>
    <x v="3"/>
    <n v="3.59"/>
    <n v="173"/>
  </r>
  <r>
    <x v="294"/>
    <n v="44"/>
    <x v="1"/>
    <x v="4"/>
    <s v="Software Engineer"/>
    <x v="294"/>
    <x v="294"/>
    <d v="2009-10-27T00:00:00"/>
    <s v="555-01005"/>
    <s v="295 Main St"/>
    <s v="Tokyo"/>
    <s v="TK"/>
    <x v="4"/>
    <n v="3.49"/>
    <n v="172"/>
  </r>
  <r>
    <x v="295"/>
    <n v="38"/>
    <x v="1"/>
    <x v="0"/>
    <s v="Analyst"/>
    <x v="295"/>
    <x v="295"/>
    <d v="2004-04-05T00:00:00"/>
    <s v="555-01006"/>
    <s v="296 Main St"/>
    <s v="New York"/>
    <s v="NK"/>
    <x v="0"/>
    <n v="2.77"/>
    <n v="98"/>
  </r>
  <r>
    <x v="296"/>
    <n v="64"/>
    <x v="2"/>
    <x v="4"/>
    <s v="Project Manager"/>
    <x v="296"/>
    <x v="296"/>
    <d v="2014-04-02T00:00:00"/>
    <s v="555-01007"/>
    <s v="297 Main St"/>
    <s v="Paris"/>
    <s v="PA"/>
    <x v="1"/>
    <n v="3.9"/>
    <n v="1"/>
  </r>
  <r>
    <x v="297"/>
    <n v="58"/>
    <x v="1"/>
    <x v="1"/>
    <s v="Project Manager"/>
    <x v="297"/>
    <x v="297"/>
    <d v="2006-03-06T00:00:00"/>
    <s v="555-01008"/>
    <s v="298 Main St"/>
    <s v="London"/>
    <s v="LN"/>
    <x v="2"/>
    <n v="1.68"/>
    <n v="107"/>
  </r>
  <r>
    <x v="298"/>
    <n v="52"/>
    <x v="1"/>
    <x v="1"/>
    <s v="Sales Executive"/>
    <x v="298"/>
    <x v="298"/>
    <d v="2008-02-02T00:00:00"/>
    <s v="555-01009"/>
    <s v="299 Main St"/>
    <s v="Dubai"/>
    <s v="DB"/>
    <x v="3"/>
    <n v="4.7"/>
    <n v="93"/>
  </r>
  <r>
    <x v="299"/>
    <n v="46"/>
    <x v="1"/>
    <x v="3"/>
    <s v="HR Specialist"/>
    <x v="299"/>
    <x v="299"/>
    <d v="2005-10-13T00:00:00"/>
    <s v="555-01000"/>
    <s v="300 Main St"/>
    <s v="Tokyo"/>
    <s v="TK"/>
    <x v="4"/>
    <n v="3.62"/>
    <n v="136"/>
  </r>
  <r>
    <x v="300"/>
    <n v="25"/>
    <x v="0"/>
    <x v="0"/>
    <s v="Project Manager"/>
    <x v="300"/>
    <x v="300"/>
    <d v="2013-12-03T00:00:00"/>
    <s v="555-01001"/>
    <s v="301 Main St"/>
    <s v="New York"/>
    <s v="NK"/>
    <x v="0"/>
    <n v="1.88"/>
    <n v="14"/>
  </r>
  <r>
    <x v="301"/>
    <n v="30"/>
    <x v="0"/>
    <x v="3"/>
    <s v="HR Specialist"/>
    <x v="301"/>
    <x v="301"/>
    <d v="2001-10-10T00:00:00"/>
    <s v="555-01002"/>
    <s v="302 Main St"/>
    <s v="Paris"/>
    <s v="PA"/>
    <x v="1"/>
    <n v="4.41"/>
    <n v="91"/>
  </r>
  <r>
    <x v="302"/>
    <n v="49"/>
    <x v="1"/>
    <x v="0"/>
    <s v="Software Engineer"/>
    <x v="302"/>
    <x v="302"/>
    <d v="2000-04-14T00:00:00"/>
    <s v="555-01003"/>
    <s v="303 Main St"/>
    <s v="London"/>
    <s v="LN"/>
    <x v="2"/>
    <n v="1.89"/>
    <n v="69"/>
  </r>
  <r>
    <x v="303"/>
    <n v="51"/>
    <x v="0"/>
    <x v="1"/>
    <s v="Sales Executive"/>
    <x v="303"/>
    <x v="303"/>
    <d v="2020-05-03T00:00:00"/>
    <s v="555-01004"/>
    <s v="304 Main St"/>
    <s v="Dubai"/>
    <s v="DB"/>
    <x v="3"/>
    <n v="4.21"/>
    <n v="110"/>
  </r>
  <r>
    <x v="304"/>
    <n v="45"/>
    <x v="0"/>
    <x v="4"/>
    <s v="HR Specialist"/>
    <x v="304"/>
    <x v="304"/>
    <d v="2009-10-27T00:00:00"/>
    <s v="555-01005"/>
    <s v="305 Main St"/>
    <s v="Tokyo"/>
    <s v="TK"/>
    <x v="4"/>
    <n v="4.5"/>
    <n v="98"/>
  </r>
  <r>
    <x v="305"/>
    <n v="54"/>
    <x v="0"/>
    <x v="1"/>
    <s v="Sales Executive"/>
    <x v="305"/>
    <x v="305"/>
    <d v="2017-09-14T00:00:00"/>
    <s v="555-01006"/>
    <s v="306 Main St"/>
    <s v="New York"/>
    <s v="NK"/>
    <x v="0"/>
    <n v="1.59"/>
    <n v="175"/>
  </r>
  <r>
    <x v="306"/>
    <n v="41"/>
    <x v="0"/>
    <x v="3"/>
    <s v="Project Manager"/>
    <x v="306"/>
    <x v="306"/>
    <d v="2003-07-09T00:00:00"/>
    <s v="555-01007"/>
    <s v="307 Main St"/>
    <s v="Paris"/>
    <s v="PA"/>
    <x v="1"/>
    <n v="1.71"/>
    <n v="10"/>
  </r>
  <r>
    <x v="307"/>
    <n v="30"/>
    <x v="2"/>
    <x v="3"/>
    <s v="Analyst"/>
    <x v="307"/>
    <x v="307"/>
    <d v="2007-11-06T00:00:00"/>
    <s v="555-01008"/>
    <s v="308 Main St"/>
    <s v="London"/>
    <s v="LN"/>
    <x v="2"/>
    <n v="3.07"/>
    <n v="71"/>
  </r>
  <r>
    <x v="308"/>
    <n v="29"/>
    <x v="0"/>
    <x v="4"/>
    <s v="Software Engineer"/>
    <x v="308"/>
    <x v="308"/>
    <d v="2018-01-21T00:00:00"/>
    <s v="555-01009"/>
    <s v="309 Main St"/>
    <s v="Dubai"/>
    <s v="DB"/>
    <x v="3"/>
    <n v="4.74"/>
    <n v="166"/>
  </r>
  <r>
    <x v="309"/>
    <n v="45"/>
    <x v="0"/>
    <x v="2"/>
    <s v="Project Manager"/>
    <x v="309"/>
    <x v="309"/>
    <d v="2010-02-04T00:00:00"/>
    <s v="555-01000"/>
    <s v="310 Main St"/>
    <s v="Tokyo"/>
    <s v="TK"/>
    <x v="4"/>
    <n v="3.3"/>
    <n v="36"/>
  </r>
  <r>
    <x v="310"/>
    <n v="35"/>
    <x v="0"/>
    <x v="1"/>
    <s v="Sales Executive"/>
    <x v="310"/>
    <x v="310"/>
    <d v="2022-04-30T00:00:00"/>
    <s v="555-01001"/>
    <s v="311 Main St"/>
    <s v="New York"/>
    <s v="NK"/>
    <x v="0"/>
    <n v="3.15"/>
    <n v="15"/>
  </r>
  <r>
    <x v="311"/>
    <n v="39"/>
    <x v="0"/>
    <x v="3"/>
    <s v="HR Specialist"/>
    <x v="311"/>
    <x v="311"/>
    <d v="2003-01-13T00:00:00"/>
    <s v="555-01002"/>
    <s v="312 Main St"/>
    <s v="Paris"/>
    <s v="PA"/>
    <x v="1"/>
    <n v="5"/>
    <n v="147"/>
  </r>
  <r>
    <x v="312"/>
    <n v="22"/>
    <x v="2"/>
    <x v="2"/>
    <s v="Sales Executive"/>
    <x v="312"/>
    <x v="312"/>
    <d v="2007-01-11T00:00:00"/>
    <s v="555-01003"/>
    <s v="313 Main St"/>
    <s v="London"/>
    <s v="LN"/>
    <x v="2"/>
    <n v="4.13"/>
    <n v="53"/>
  </r>
  <r>
    <x v="313"/>
    <n v="33"/>
    <x v="2"/>
    <x v="2"/>
    <s v="HR Specialist"/>
    <x v="313"/>
    <x v="313"/>
    <d v="2015-08-28T00:00:00"/>
    <s v="555-01004"/>
    <s v="314 Main St"/>
    <s v="Dubai"/>
    <s v="DB"/>
    <x v="3"/>
    <n v="3.63"/>
    <n v="160"/>
  </r>
  <r>
    <x v="314"/>
    <n v="50"/>
    <x v="1"/>
    <x v="1"/>
    <s v="Sales Executive"/>
    <x v="314"/>
    <x v="314"/>
    <d v="2011-03-27T00:00:00"/>
    <s v="555-01005"/>
    <s v="315 Main St"/>
    <s v="Tokyo"/>
    <s v="TK"/>
    <x v="4"/>
    <n v="2.88"/>
    <n v="142"/>
  </r>
  <r>
    <x v="315"/>
    <n v="58"/>
    <x v="0"/>
    <x v="3"/>
    <s v="Software Engineer"/>
    <x v="315"/>
    <x v="315"/>
    <d v="2019-01-19T00:00:00"/>
    <s v="555-01006"/>
    <s v="316 Main St"/>
    <s v="New York"/>
    <s v="NK"/>
    <x v="0"/>
    <n v="2.77"/>
    <n v="117"/>
  </r>
  <r>
    <x v="316"/>
    <n v="47"/>
    <x v="0"/>
    <x v="2"/>
    <s v="Analyst"/>
    <x v="316"/>
    <x v="316"/>
    <d v="2014-04-27T00:00:00"/>
    <s v="555-01007"/>
    <s v="317 Main St"/>
    <s v="Paris"/>
    <s v="PA"/>
    <x v="1"/>
    <n v="2.56"/>
    <n v="198"/>
  </r>
  <r>
    <x v="317"/>
    <n v="54"/>
    <x v="1"/>
    <x v="3"/>
    <s v="HR Specialist"/>
    <x v="317"/>
    <x v="317"/>
    <d v="2016-03-04T00:00:00"/>
    <s v="555-01008"/>
    <s v="318 Main St"/>
    <s v="London"/>
    <s v="LN"/>
    <x v="2"/>
    <n v="1.7"/>
    <n v="84"/>
  </r>
  <r>
    <x v="318"/>
    <n v="64"/>
    <x v="2"/>
    <x v="2"/>
    <s v="Project Manager"/>
    <x v="318"/>
    <x v="318"/>
    <d v="2008-01-14T00:00:00"/>
    <s v="555-01009"/>
    <s v="319 Main St"/>
    <s v="Dubai"/>
    <s v="DB"/>
    <x v="3"/>
    <n v="1.18"/>
    <n v="174"/>
  </r>
  <r>
    <x v="319"/>
    <n v="36"/>
    <x v="1"/>
    <x v="1"/>
    <s v="Analyst"/>
    <x v="319"/>
    <x v="319"/>
    <d v="2004-02-25T00:00:00"/>
    <s v="555-01000"/>
    <s v="320 Main St"/>
    <s v="Tokyo"/>
    <s v="TK"/>
    <x v="4"/>
    <n v="2.89"/>
    <n v="173"/>
  </r>
  <r>
    <x v="320"/>
    <n v="44"/>
    <x v="2"/>
    <x v="1"/>
    <s v="Software Engineer"/>
    <x v="320"/>
    <x v="320"/>
    <d v="2012-03-18T00:00:00"/>
    <s v="555-01001"/>
    <s v="321 Main St"/>
    <s v="New York"/>
    <s v="NK"/>
    <x v="0"/>
    <n v="4.1900000000000004"/>
    <n v="78"/>
  </r>
  <r>
    <x v="321"/>
    <n v="50"/>
    <x v="1"/>
    <x v="3"/>
    <s v="HR Specialist"/>
    <x v="321"/>
    <x v="321"/>
    <d v="2005-09-01T00:00:00"/>
    <s v="555-01002"/>
    <s v="322 Main St"/>
    <s v="Paris"/>
    <s v="PA"/>
    <x v="1"/>
    <n v="3.36"/>
    <n v="63"/>
  </r>
  <r>
    <x v="322"/>
    <n v="42"/>
    <x v="1"/>
    <x v="1"/>
    <s v="Sales Executive"/>
    <x v="322"/>
    <x v="322"/>
    <d v="2009-04-29T00:00:00"/>
    <s v="555-01003"/>
    <s v="323 Main St"/>
    <s v="London"/>
    <s v="LN"/>
    <x v="2"/>
    <n v="1.77"/>
    <n v="182"/>
  </r>
  <r>
    <x v="323"/>
    <n v="40"/>
    <x v="0"/>
    <x v="0"/>
    <s v="Sales Executive"/>
    <x v="323"/>
    <x v="323"/>
    <d v="2014-08-01T00:00:00"/>
    <s v="555-01004"/>
    <s v="324 Main St"/>
    <s v="Dubai"/>
    <s v="DB"/>
    <x v="3"/>
    <n v="3.93"/>
    <n v="156"/>
  </r>
  <r>
    <x v="324"/>
    <n v="26"/>
    <x v="1"/>
    <x v="1"/>
    <s v="Analyst"/>
    <x v="324"/>
    <x v="324"/>
    <d v="2015-04-30T00:00:00"/>
    <s v="555-01005"/>
    <s v="325 Main St"/>
    <s v="Tokyo"/>
    <s v="TK"/>
    <x v="4"/>
    <n v="4.6399999999999997"/>
    <n v="25"/>
  </r>
  <r>
    <x v="325"/>
    <n v="44"/>
    <x v="2"/>
    <x v="4"/>
    <s v="Sales Executive"/>
    <x v="325"/>
    <x v="325"/>
    <d v="2014-10-11T00:00:00"/>
    <s v="555-01006"/>
    <s v="326 Main St"/>
    <s v="New York"/>
    <s v="NK"/>
    <x v="0"/>
    <n v="4.3899999999999997"/>
    <n v="162"/>
  </r>
  <r>
    <x v="326"/>
    <n v="57"/>
    <x v="2"/>
    <x v="1"/>
    <s v="Analyst"/>
    <x v="326"/>
    <x v="326"/>
    <d v="2016-10-21T00:00:00"/>
    <s v="555-01007"/>
    <s v="327 Main St"/>
    <s v="Paris"/>
    <s v="PA"/>
    <x v="1"/>
    <n v="1.79"/>
    <n v="133"/>
  </r>
  <r>
    <x v="327"/>
    <n v="41"/>
    <x v="1"/>
    <x v="3"/>
    <s v="Analyst"/>
    <x v="327"/>
    <x v="327"/>
    <d v="2021-06-05T00:00:00"/>
    <s v="555-01008"/>
    <s v="328 Main St"/>
    <s v="London"/>
    <s v="LN"/>
    <x v="2"/>
    <n v="2.69"/>
    <n v="183"/>
  </r>
  <r>
    <x v="328"/>
    <n v="29"/>
    <x v="2"/>
    <x v="2"/>
    <s v="Project Manager"/>
    <x v="328"/>
    <x v="328"/>
    <d v="2015-08-23T00:00:00"/>
    <s v="555-01009"/>
    <s v="329 Main St"/>
    <s v="Dubai"/>
    <s v="DB"/>
    <x v="3"/>
    <n v="1.92"/>
    <n v="45"/>
  </r>
  <r>
    <x v="329"/>
    <n v="30"/>
    <x v="1"/>
    <x v="0"/>
    <s v="Project Manager"/>
    <x v="329"/>
    <x v="329"/>
    <d v="2002-08-28T00:00:00"/>
    <s v="555-01000"/>
    <s v="330 Main St"/>
    <s v="Tokyo"/>
    <s v="TK"/>
    <x v="4"/>
    <n v="2.77"/>
    <n v="77"/>
  </r>
  <r>
    <x v="330"/>
    <n v="35"/>
    <x v="0"/>
    <x v="3"/>
    <s v="Project Manager"/>
    <x v="330"/>
    <x v="330"/>
    <d v="2014-09-29T00:00:00"/>
    <s v="555-01001"/>
    <s v="331 Main St"/>
    <s v="New York"/>
    <s v="NK"/>
    <x v="0"/>
    <n v="4.92"/>
    <n v="28"/>
  </r>
  <r>
    <x v="331"/>
    <n v="27"/>
    <x v="0"/>
    <x v="3"/>
    <s v="Sales Executive"/>
    <x v="331"/>
    <x v="331"/>
    <d v="2007-04-08T00:00:00"/>
    <s v="555-01002"/>
    <s v="332 Main St"/>
    <s v="Paris"/>
    <s v="PA"/>
    <x v="1"/>
    <n v="2.91"/>
    <n v="78"/>
  </r>
  <r>
    <x v="332"/>
    <n v="22"/>
    <x v="0"/>
    <x v="2"/>
    <s v="HR Specialist"/>
    <x v="332"/>
    <x v="332"/>
    <d v="2011-08-28T00:00:00"/>
    <s v="555-01003"/>
    <s v="333 Main St"/>
    <s v="London"/>
    <s v="LN"/>
    <x v="2"/>
    <n v="4.9800000000000004"/>
    <n v="79"/>
  </r>
  <r>
    <x v="333"/>
    <n v="30"/>
    <x v="0"/>
    <x v="2"/>
    <s v="HR Specialist"/>
    <x v="333"/>
    <x v="333"/>
    <d v="2012-06-07T00:00:00"/>
    <s v="555-01004"/>
    <s v="334 Main St"/>
    <s v="Dubai"/>
    <s v="DB"/>
    <x v="3"/>
    <n v="1.41"/>
    <n v="66"/>
  </r>
  <r>
    <x v="334"/>
    <n v="37"/>
    <x v="1"/>
    <x v="4"/>
    <s v="Project Manager"/>
    <x v="334"/>
    <x v="334"/>
    <d v="2013-01-28T00:00:00"/>
    <s v="555-01005"/>
    <s v="335 Main St"/>
    <s v="Tokyo"/>
    <s v="TK"/>
    <x v="4"/>
    <n v="1.7"/>
    <n v="199"/>
  </r>
  <r>
    <x v="335"/>
    <n v="37"/>
    <x v="2"/>
    <x v="3"/>
    <s v="Project Manager"/>
    <x v="335"/>
    <x v="335"/>
    <d v="2010-03-17T00:00:00"/>
    <s v="555-01006"/>
    <s v="336 Main St"/>
    <s v="New York"/>
    <s v="NK"/>
    <x v="0"/>
    <n v="1.51"/>
    <n v="24"/>
  </r>
  <r>
    <x v="336"/>
    <n v="33"/>
    <x v="1"/>
    <x v="0"/>
    <s v="HR Specialist"/>
    <x v="336"/>
    <x v="336"/>
    <d v="2005-10-26T00:00:00"/>
    <s v="555-01007"/>
    <s v="337 Main St"/>
    <s v="Paris"/>
    <s v="PA"/>
    <x v="1"/>
    <n v="2.63"/>
    <n v="7"/>
  </r>
  <r>
    <x v="337"/>
    <n v="26"/>
    <x v="2"/>
    <x v="4"/>
    <s v="Project Manager"/>
    <x v="337"/>
    <x v="337"/>
    <d v="2006-07-07T00:00:00"/>
    <s v="555-01008"/>
    <s v="338 Main St"/>
    <s v="London"/>
    <s v="LN"/>
    <x v="2"/>
    <n v="3.95"/>
    <n v="187"/>
  </r>
  <r>
    <x v="338"/>
    <n v="61"/>
    <x v="1"/>
    <x v="4"/>
    <s v="Analyst"/>
    <x v="338"/>
    <x v="338"/>
    <d v="2022-05-23T00:00:00"/>
    <s v="555-01009"/>
    <s v="339 Main St"/>
    <s v="Dubai"/>
    <s v="DB"/>
    <x v="3"/>
    <n v="4.3600000000000003"/>
    <n v="196"/>
  </r>
  <r>
    <x v="339"/>
    <n v="50"/>
    <x v="2"/>
    <x v="0"/>
    <s v="Software Engineer"/>
    <x v="339"/>
    <x v="339"/>
    <d v="2018-07-12T00:00:00"/>
    <s v="555-01000"/>
    <s v="340 Main St"/>
    <s v="Tokyo"/>
    <s v="TK"/>
    <x v="4"/>
    <n v="3.07"/>
    <n v="4"/>
  </r>
  <r>
    <x v="340"/>
    <n v="48"/>
    <x v="2"/>
    <x v="2"/>
    <s v="Analyst"/>
    <x v="340"/>
    <x v="340"/>
    <d v="2019-07-22T00:00:00"/>
    <s v="555-01001"/>
    <s v="341 Main St"/>
    <s v="New York"/>
    <s v="NK"/>
    <x v="0"/>
    <n v="4.42"/>
    <n v="52"/>
  </r>
  <r>
    <x v="341"/>
    <n v="32"/>
    <x v="1"/>
    <x v="2"/>
    <s v="HR Specialist"/>
    <x v="341"/>
    <x v="341"/>
    <d v="2004-04-22T00:00:00"/>
    <s v="555-01002"/>
    <s v="342 Main St"/>
    <s v="Paris"/>
    <s v="PA"/>
    <x v="1"/>
    <n v="4.82"/>
    <n v="132"/>
  </r>
  <r>
    <x v="342"/>
    <n v="49"/>
    <x v="0"/>
    <x v="3"/>
    <s v="Project Manager"/>
    <x v="342"/>
    <x v="342"/>
    <d v="2005-12-08T00:00:00"/>
    <s v="555-01003"/>
    <s v="343 Main St"/>
    <s v="London"/>
    <s v="LN"/>
    <x v="2"/>
    <n v="1.02"/>
    <n v="61"/>
  </r>
  <r>
    <x v="343"/>
    <n v="57"/>
    <x v="1"/>
    <x v="4"/>
    <s v="Software Engineer"/>
    <x v="343"/>
    <x v="343"/>
    <d v="2010-05-27T00:00:00"/>
    <s v="555-01004"/>
    <s v="344 Main St"/>
    <s v="Dubai"/>
    <s v="DB"/>
    <x v="3"/>
    <n v="1.66"/>
    <n v="103"/>
  </r>
  <r>
    <x v="344"/>
    <n v="63"/>
    <x v="0"/>
    <x v="0"/>
    <s v="Project Manager"/>
    <x v="344"/>
    <x v="344"/>
    <d v="2017-05-13T00:00:00"/>
    <s v="555-01005"/>
    <s v="345 Main St"/>
    <s v="Tokyo"/>
    <s v="TK"/>
    <x v="4"/>
    <n v="1.72"/>
    <n v="69"/>
  </r>
  <r>
    <x v="345"/>
    <n v="40"/>
    <x v="1"/>
    <x v="0"/>
    <s v="Analyst"/>
    <x v="345"/>
    <x v="345"/>
    <d v="2009-11-13T00:00:00"/>
    <s v="555-01006"/>
    <s v="346 Main St"/>
    <s v="New York"/>
    <s v="NK"/>
    <x v="0"/>
    <n v="4.97"/>
    <n v="60"/>
  </r>
  <r>
    <x v="346"/>
    <n v="56"/>
    <x v="2"/>
    <x v="0"/>
    <s v="Project Manager"/>
    <x v="346"/>
    <x v="346"/>
    <d v="2008-06-19T00:00:00"/>
    <s v="555-01007"/>
    <s v="347 Main St"/>
    <s v="Paris"/>
    <s v="PA"/>
    <x v="1"/>
    <n v="4.5999999999999996"/>
    <n v="31"/>
  </r>
  <r>
    <x v="347"/>
    <n v="52"/>
    <x v="0"/>
    <x v="4"/>
    <s v="Analyst"/>
    <x v="347"/>
    <x v="347"/>
    <d v="2008-01-28T00:00:00"/>
    <s v="555-01008"/>
    <s v="348 Main St"/>
    <s v="London"/>
    <s v="LN"/>
    <x v="2"/>
    <n v="1.42"/>
    <n v="11"/>
  </r>
  <r>
    <x v="348"/>
    <n v="40"/>
    <x v="2"/>
    <x v="1"/>
    <s v="Software Engineer"/>
    <x v="348"/>
    <x v="348"/>
    <d v="2002-12-09T00:00:00"/>
    <s v="555-01009"/>
    <s v="349 Main St"/>
    <s v="Dubai"/>
    <s v="DB"/>
    <x v="3"/>
    <n v="4.97"/>
    <n v="71"/>
  </r>
  <r>
    <x v="349"/>
    <n v="45"/>
    <x v="2"/>
    <x v="1"/>
    <s v="Sales Executive"/>
    <x v="349"/>
    <x v="349"/>
    <d v="2020-07-07T00:00:00"/>
    <s v="555-01000"/>
    <s v="350 Main St"/>
    <s v="Tokyo"/>
    <s v="TK"/>
    <x v="4"/>
    <n v="1.71"/>
    <n v="160"/>
  </r>
  <r>
    <x v="350"/>
    <n v="23"/>
    <x v="2"/>
    <x v="3"/>
    <s v="Sales Executive"/>
    <x v="350"/>
    <x v="350"/>
    <d v="2017-11-04T00:00:00"/>
    <s v="555-01001"/>
    <s v="351 Main St"/>
    <s v="New York"/>
    <s v="NK"/>
    <x v="0"/>
    <n v="2.29"/>
    <n v="176"/>
  </r>
  <r>
    <x v="351"/>
    <n v="28"/>
    <x v="1"/>
    <x v="4"/>
    <s v="Software Engineer"/>
    <x v="351"/>
    <x v="351"/>
    <d v="2010-09-25T00:00:00"/>
    <s v="555-01002"/>
    <s v="352 Main St"/>
    <s v="Paris"/>
    <s v="PA"/>
    <x v="1"/>
    <n v="4.5599999999999996"/>
    <n v="121"/>
  </r>
  <r>
    <x v="352"/>
    <n v="64"/>
    <x v="2"/>
    <x v="4"/>
    <s v="Project Manager"/>
    <x v="352"/>
    <x v="352"/>
    <d v="2019-06-26T00:00:00"/>
    <s v="555-01003"/>
    <s v="353 Main St"/>
    <s v="London"/>
    <s v="LN"/>
    <x v="2"/>
    <n v="1.0900000000000001"/>
    <n v="169"/>
  </r>
  <r>
    <x v="353"/>
    <n v="52"/>
    <x v="1"/>
    <x v="1"/>
    <s v="Sales Executive"/>
    <x v="353"/>
    <x v="353"/>
    <d v="2002-07-07T00:00:00"/>
    <s v="555-01004"/>
    <s v="354 Main St"/>
    <s v="Dubai"/>
    <s v="DB"/>
    <x v="3"/>
    <n v="2.2799999999999998"/>
    <n v="64"/>
  </r>
  <r>
    <x v="354"/>
    <n v="38"/>
    <x v="0"/>
    <x v="2"/>
    <s v="Analyst"/>
    <x v="354"/>
    <x v="354"/>
    <d v="2007-09-05T00:00:00"/>
    <s v="555-01005"/>
    <s v="355 Main St"/>
    <s v="Tokyo"/>
    <s v="TK"/>
    <x v="4"/>
    <n v="2.85"/>
    <n v="153"/>
  </r>
  <r>
    <x v="355"/>
    <n v="48"/>
    <x v="2"/>
    <x v="1"/>
    <s v="Sales Executive"/>
    <x v="355"/>
    <x v="355"/>
    <d v="2011-10-13T00:00:00"/>
    <s v="555-01006"/>
    <s v="356 Main St"/>
    <s v="New York"/>
    <s v="NK"/>
    <x v="0"/>
    <n v="1.29"/>
    <n v="182"/>
  </r>
  <r>
    <x v="356"/>
    <n v="57"/>
    <x v="0"/>
    <x v="4"/>
    <s v="Analyst"/>
    <x v="356"/>
    <x v="356"/>
    <d v="2009-02-27T00:00:00"/>
    <s v="555-01007"/>
    <s v="357 Main St"/>
    <s v="Paris"/>
    <s v="PA"/>
    <x v="1"/>
    <n v="3.74"/>
    <n v="26"/>
  </r>
  <r>
    <x v="357"/>
    <n v="64"/>
    <x v="0"/>
    <x v="0"/>
    <s v="Software Engineer"/>
    <x v="357"/>
    <x v="357"/>
    <d v="2014-02-05T00:00:00"/>
    <s v="555-01008"/>
    <s v="358 Main St"/>
    <s v="London"/>
    <s v="LN"/>
    <x v="2"/>
    <n v="1.4"/>
    <n v="91"/>
  </r>
  <r>
    <x v="358"/>
    <n v="31"/>
    <x v="1"/>
    <x v="4"/>
    <s v="Sales Executive"/>
    <x v="358"/>
    <x v="358"/>
    <d v="2021-05-29T00:00:00"/>
    <s v="555-01009"/>
    <s v="359 Main St"/>
    <s v="Dubai"/>
    <s v="DB"/>
    <x v="3"/>
    <n v="4.8499999999999996"/>
    <n v="70"/>
  </r>
  <r>
    <x v="359"/>
    <n v="35"/>
    <x v="0"/>
    <x v="3"/>
    <s v="Software Engineer"/>
    <x v="359"/>
    <x v="359"/>
    <d v="2012-04-06T00:00:00"/>
    <s v="555-01000"/>
    <s v="360 Main St"/>
    <s v="Tokyo"/>
    <s v="TK"/>
    <x v="4"/>
    <n v="4.58"/>
    <n v="4"/>
  </r>
  <r>
    <x v="360"/>
    <n v="28"/>
    <x v="1"/>
    <x v="1"/>
    <s v="HR Specialist"/>
    <x v="360"/>
    <x v="360"/>
    <d v="2013-12-24T00:00:00"/>
    <s v="555-01001"/>
    <s v="361 Main St"/>
    <s v="New York"/>
    <s v="NK"/>
    <x v="0"/>
    <n v="1.2"/>
    <n v="84"/>
  </r>
  <r>
    <x v="361"/>
    <n v="60"/>
    <x v="1"/>
    <x v="3"/>
    <s v="Software Engineer"/>
    <x v="361"/>
    <x v="361"/>
    <d v="2010-08-22T00:00:00"/>
    <s v="555-01002"/>
    <s v="362 Main St"/>
    <s v="Paris"/>
    <s v="PA"/>
    <x v="1"/>
    <n v="1.1599999999999999"/>
    <n v="2"/>
  </r>
  <r>
    <x v="362"/>
    <n v="61"/>
    <x v="0"/>
    <x v="1"/>
    <s v="Sales Executive"/>
    <x v="362"/>
    <x v="362"/>
    <d v="2009-02-07T00:00:00"/>
    <s v="555-01003"/>
    <s v="363 Main St"/>
    <s v="London"/>
    <s v="LN"/>
    <x v="2"/>
    <n v="4.5"/>
    <n v="134"/>
  </r>
  <r>
    <x v="363"/>
    <n v="30"/>
    <x v="0"/>
    <x v="1"/>
    <s v="Analyst"/>
    <x v="363"/>
    <x v="363"/>
    <d v="2010-06-16T00:00:00"/>
    <s v="555-01004"/>
    <s v="364 Main St"/>
    <s v="Dubai"/>
    <s v="DB"/>
    <x v="3"/>
    <n v="1.35"/>
    <n v="44"/>
  </r>
  <r>
    <x v="364"/>
    <n v="35"/>
    <x v="0"/>
    <x v="3"/>
    <s v="Software Engineer"/>
    <x v="364"/>
    <x v="364"/>
    <d v="2005-09-27T00:00:00"/>
    <s v="555-01005"/>
    <s v="365 Main St"/>
    <s v="Tokyo"/>
    <s v="TK"/>
    <x v="4"/>
    <n v="1.64"/>
    <n v="108"/>
  </r>
  <r>
    <x v="365"/>
    <n v="29"/>
    <x v="1"/>
    <x v="3"/>
    <s v="Sales Executive"/>
    <x v="365"/>
    <x v="365"/>
    <d v="2019-12-14T00:00:00"/>
    <s v="555-01006"/>
    <s v="366 Main St"/>
    <s v="New York"/>
    <s v="NK"/>
    <x v="0"/>
    <n v="3.53"/>
    <n v="16"/>
  </r>
  <r>
    <x v="366"/>
    <n v="38"/>
    <x v="1"/>
    <x v="0"/>
    <s v="Project Manager"/>
    <x v="366"/>
    <x v="366"/>
    <d v="2000-01-04T00:00:00"/>
    <s v="555-01007"/>
    <s v="367 Main St"/>
    <s v="Paris"/>
    <s v="PA"/>
    <x v="1"/>
    <n v="1.84"/>
    <n v="141"/>
  </r>
  <r>
    <x v="367"/>
    <n v="44"/>
    <x v="0"/>
    <x v="3"/>
    <s v="Analyst"/>
    <x v="367"/>
    <x v="367"/>
    <d v="2019-02-23T00:00:00"/>
    <s v="555-01008"/>
    <s v="368 Main St"/>
    <s v="London"/>
    <s v="LN"/>
    <x v="2"/>
    <n v="2.36"/>
    <n v="56"/>
  </r>
  <r>
    <x v="368"/>
    <n v="37"/>
    <x v="1"/>
    <x v="2"/>
    <s v="Project Manager"/>
    <x v="368"/>
    <x v="368"/>
    <d v="2016-10-31T00:00:00"/>
    <s v="555-01009"/>
    <s v="369 Main St"/>
    <s v="Dubai"/>
    <s v="DB"/>
    <x v="3"/>
    <n v="3.96"/>
    <n v="122"/>
  </r>
  <r>
    <x v="369"/>
    <n v="47"/>
    <x v="0"/>
    <x v="4"/>
    <s v="Project Manager"/>
    <x v="369"/>
    <x v="369"/>
    <d v="2008-04-14T00:00:00"/>
    <s v="555-01000"/>
    <s v="370 Main St"/>
    <s v="Tokyo"/>
    <s v="TK"/>
    <x v="4"/>
    <n v="1.98"/>
    <n v="182"/>
  </r>
  <r>
    <x v="370"/>
    <n v="30"/>
    <x v="1"/>
    <x v="0"/>
    <s v="HR Specialist"/>
    <x v="370"/>
    <x v="370"/>
    <d v="2010-05-07T00:00:00"/>
    <s v="555-01001"/>
    <s v="371 Main St"/>
    <s v="New York"/>
    <s v="NK"/>
    <x v="0"/>
    <n v="1.47"/>
    <n v="172"/>
  </r>
  <r>
    <x v="371"/>
    <n v="57"/>
    <x v="1"/>
    <x v="1"/>
    <s v="Software Engineer"/>
    <x v="371"/>
    <x v="371"/>
    <d v="2000-12-04T00:00:00"/>
    <s v="555-01002"/>
    <s v="372 Main St"/>
    <s v="Paris"/>
    <s v="PA"/>
    <x v="1"/>
    <n v="4.21"/>
    <n v="137"/>
  </r>
  <r>
    <x v="372"/>
    <n v="28"/>
    <x v="2"/>
    <x v="2"/>
    <s v="Project Manager"/>
    <x v="372"/>
    <x v="372"/>
    <d v="2016-03-24T00:00:00"/>
    <s v="555-01003"/>
    <s v="373 Main St"/>
    <s v="London"/>
    <s v="LN"/>
    <x v="2"/>
    <n v="1.1399999999999999"/>
    <n v="182"/>
  </r>
  <r>
    <x v="373"/>
    <n v="39"/>
    <x v="2"/>
    <x v="3"/>
    <s v="Analyst"/>
    <x v="373"/>
    <x v="373"/>
    <d v="2012-02-13T00:00:00"/>
    <s v="555-01004"/>
    <s v="374 Main St"/>
    <s v="Dubai"/>
    <s v="DB"/>
    <x v="3"/>
    <n v="2.09"/>
    <n v="96"/>
  </r>
  <r>
    <x v="374"/>
    <n v="29"/>
    <x v="0"/>
    <x v="3"/>
    <s v="Project Manager"/>
    <x v="374"/>
    <x v="374"/>
    <d v="2015-12-20T00:00:00"/>
    <s v="555-01005"/>
    <s v="375 Main St"/>
    <s v="Tokyo"/>
    <s v="TK"/>
    <x v="4"/>
    <n v="2.2999999999999998"/>
    <n v="199"/>
  </r>
  <r>
    <x v="375"/>
    <n v="42"/>
    <x v="2"/>
    <x v="2"/>
    <s v="HR Specialist"/>
    <x v="375"/>
    <x v="375"/>
    <d v="2012-12-17T00:00:00"/>
    <s v="555-01006"/>
    <s v="376 Main St"/>
    <s v="New York"/>
    <s v="NK"/>
    <x v="0"/>
    <n v="2.11"/>
    <n v="170"/>
  </r>
  <r>
    <x v="376"/>
    <n v="47"/>
    <x v="1"/>
    <x v="4"/>
    <s v="Sales Executive"/>
    <x v="376"/>
    <x v="376"/>
    <d v="2017-12-25T00:00:00"/>
    <s v="555-01007"/>
    <s v="377 Main St"/>
    <s v="Paris"/>
    <s v="PA"/>
    <x v="1"/>
    <n v="4.58"/>
    <n v="121"/>
  </r>
  <r>
    <x v="377"/>
    <n v="24"/>
    <x v="0"/>
    <x v="2"/>
    <s v="Analyst"/>
    <x v="377"/>
    <x v="377"/>
    <d v="2003-01-27T00:00:00"/>
    <s v="555-01008"/>
    <s v="378 Main St"/>
    <s v="London"/>
    <s v="LN"/>
    <x v="2"/>
    <n v="1.47"/>
    <n v="8"/>
  </r>
  <r>
    <x v="378"/>
    <n v="38"/>
    <x v="2"/>
    <x v="1"/>
    <s v="Analyst"/>
    <x v="378"/>
    <x v="378"/>
    <d v="2015-01-08T00:00:00"/>
    <s v="555-01009"/>
    <s v="379 Main St"/>
    <s v="Dubai"/>
    <s v="DB"/>
    <x v="3"/>
    <n v="1.21"/>
    <n v="49"/>
  </r>
  <r>
    <x v="379"/>
    <n v="45"/>
    <x v="0"/>
    <x v="2"/>
    <s v="Sales Executive"/>
    <x v="379"/>
    <x v="379"/>
    <d v="2008-12-29T00:00:00"/>
    <s v="555-01000"/>
    <s v="380 Main St"/>
    <s v="Tokyo"/>
    <s v="TK"/>
    <x v="4"/>
    <n v="1.46"/>
    <n v="182"/>
  </r>
  <r>
    <x v="380"/>
    <n v="46"/>
    <x v="0"/>
    <x v="0"/>
    <s v="HR Specialist"/>
    <x v="380"/>
    <x v="380"/>
    <d v="2016-01-27T00:00:00"/>
    <s v="555-01001"/>
    <s v="381 Main St"/>
    <s v="New York"/>
    <s v="NK"/>
    <x v="0"/>
    <n v="1.42"/>
    <n v="104"/>
  </r>
  <r>
    <x v="381"/>
    <n v="26"/>
    <x v="1"/>
    <x v="2"/>
    <s v="HR Specialist"/>
    <x v="381"/>
    <x v="381"/>
    <d v="2018-07-25T00:00:00"/>
    <s v="555-01002"/>
    <s v="382 Main St"/>
    <s v="Paris"/>
    <s v="PA"/>
    <x v="1"/>
    <n v="1.1100000000000001"/>
    <n v="9"/>
  </r>
  <r>
    <x v="382"/>
    <n v="58"/>
    <x v="2"/>
    <x v="2"/>
    <s v="Software Engineer"/>
    <x v="382"/>
    <x v="382"/>
    <d v="2012-09-21T00:00:00"/>
    <s v="555-01003"/>
    <s v="383 Main St"/>
    <s v="London"/>
    <s v="LN"/>
    <x v="2"/>
    <n v="2.06"/>
    <n v="174"/>
  </r>
  <r>
    <x v="383"/>
    <n v="45"/>
    <x v="1"/>
    <x v="1"/>
    <s v="Analyst"/>
    <x v="383"/>
    <x v="383"/>
    <d v="2007-09-10T00:00:00"/>
    <s v="555-01004"/>
    <s v="384 Main St"/>
    <s v="Dubai"/>
    <s v="DB"/>
    <x v="3"/>
    <n v="4.09"/>
    <n v="86"/>
  </r>
  <r>
    <x v="384"/>
    <n v="52"/>
    <x v="0"/>
    <x v="1"/>
    <s v="Software Engineer"/>
    <x v="384"/>
    <x v="384"/>
    <d v="2022-12-18T00:00:00"/>
    <s v="555-01005"/>
    <s v="385 Main St"/>
    <s v="Tokyo"/>
    <s v="TK"/>
    <x v="4"/>
    <n v="1.1299999999999999"/>
    <n v="7"/>
  </r>
  <r>
    <x v="385"/>
    <n v="47"/>
    <x v="0"/>
    <x v="4"/>
    <s v="Project Manager"/>
    <x v="385"/>
    <x v="385"/>
    <d v="2000-06-22T00:00:00"/>
    <s v="555-01006"/>
    <s v="386 Main St"/>
    <s v="New York"/>
    <s v="NK"/>
    <x v="0"/>
    <n v="4.34"/>
    <n v="140"/>
  </r>
  <r>
    <x v="386"/>
    <n v="42"/>
    <x v="0"/>
    <x v="1"/>
    <s v="Software Engineer"/>
    <x v="386"/>
    <x v="386"/>
    <d v="2018-05-02T00:00:00"/>
    <s v="555-01007"/>
    <s v="387 Main St"/>
    <s v="Paris"/>
    <s v="PA"/>
    <x v="1"/>
    <n v="2.86"/>
    <n v="162"/>
  </r>
  <r>
    <x v="387"/>
    <n v="55"/>
    <x v="2"/>
    <x v="1"/>
    <s v="Software Engineer"/>
    <x v="387"/>
    <x v="387"/>
    <d v="2001-05-02T00:00:00"/>
    <s v="555-01008"/>
    <s v="388 Main St"/>
    <s v="London"/>
    <s v="LN"/>
    <x v="2"/>
    <n v="4.66"/>
    <n v="141"/>
  </r>
  <r>
    <x v="388"/>
    <n v="59"/>
    <x v="1"/>
    <x v="1"/>
    <s v="Sales Executive"/>
    <x v="388"/>
    <x v="388"/>
    <d v="2011-03-06T00:00:00"/>
    <s v="555-01009"/>
    <s v="389 Main St"/>
    <s v="Dubai"/>
    <s v="DB"/>
    <x v="3"/>
    <n v="2.89"/>
    <n v="128"/>
  </r>
  <r>
    <x v="389"/>
    <n v="45"/>
    <x v="1"/>
    <x v="2"/>
    <s v="Software Engineer"/>
    <x v="389"/>
    <x v="389"/>
    <d v="2006-05-23T00:00:00"/>
    <s v="555-01000"/>
    <s v="390 Main St"/>
    <s v="Tokyo"/>
    <s v="TK"/>
    <x v="4"/>
    <n v="3.38"/>
    <n v="165"/>
  </r>
  <r>
    <x v="390"/>
    <n v="49"/>
    <x v="2"/>
    <x v="2"/>
    <s v="Project Manager"/>
    <x v="390"/>
    <x v="390"/>
    <d v="2007-12-07T00:00:00"/>
    <s v="555-01001"/>
    <s v="391 Main St"/>
    <s v="New York"/>
    <s v="NK"/>
    <x v="0"/>
    <n v="4.51"/>
    <n v="3"/>
  </r>
  <r>
    <x v="391"/>
    <n v="51"/>
    <x v="1"/>
    <x v="1"/>
    <s v="Software Engineer"/>
    <x v="391"/>
    <x v="391"/>
    <d v="2009-05-12T00:00:00"/>
    <s v="555-01002"/>
    <s v="392 Main St"/>
    <s v="Paris"/>
    <s v="PA"/>
    <x v="1"/>
    <n v="1.35"/>
    <n v="28"/>
  </r>
  <r>
    <x v="392"/>
    <n v="55"/>
    <x v="1"/>
    <x v="3"/>
    <s v="HR Specialist"/>
    <x v="392"/>
    <x v="392"/>
    <d v="2000-11-19T00:00:00"/>
    <s v="555-01003"/>
    <s v="393 Main St"/>
    <s v="London"/>
    <s v="LN"/>
    <x v="2"/>
    <n v="4.63"/>
    <n v="120"/>
  </r>
  <r>
    <x v="393"/>
    <n v="44"/>
    <x v="0"/>
    <x v="1"/>
    <s v="Software Engineer"/>
    <x v="393"/>
    <x v="393"/>
    <d v="2010-05-15T00:00:00"/>
    <s v="555-01004"/>
    <s v="394 Main St"/>
    <s v="Dubai"/>
    <s v="DB"/>
    <x v="3"/>
    <n v="2.88"/>
    <n v="101"/>
  </r>
  <r>
    <x v="394"/>
    <n v="29"/>
    <x v="0"/>
    <x v="1"/>
    <s v="Sales Executive"/>
    <x v="394"/>
    <x v="394"/>
    <d v="2002-06-02T00:00:00"/>
    <s v="555-01005"/>
    <s v="395 Main St"/>
    <s v="Tokyo"/>
    <s v="TK"/>
    <x v="4"/>
    <n v="2.92"/>
    <n v="121"/>
  </r>
  <r>
    <x v="395"/>
    <n v="63"/>
    <x v="0"/>
    <x v="4"/>
    <s v="Sales Executive"/>
    <x v="395"/>
    <x v="395"/>
    <d v="2000-12-07T00:00:00"/>
    <s v="555-01006"/>
    <s v="396 Main St"/>
    <s v="New York"/>
    <s v="NK"/>
    <x v="0"/>
    <n v="3.48"/>
    <n v="187"/>
  </r>
  <r>
    <x v="396"/>
    <n v="31"/>
    <x v="2"/>
    <x v="1"/>
    <s v="Sales Executive"/>
    <x v="396"/>
    <x v="396"/>
    <d v="2011-06-28T00:00:00"/>
    <s v="555-01007"/>
    <s v="397 Main St"/>
    <s v="Paris"/>
    <s v="PA"/>
    <x v="1"/>
    <n v="4.5"/>
    <n v="16"/>
  </r>
  <r>
    <x v="397"/>
    <n v="22"/>
    <x v="0"/>
    <x v="1"/>
    <s v="Software Engineer"/>
    <x v="397"/>
    <x v="397"/>
    <d v="2003-11-07T00:00:00"/>
    <s v="555-01008"/>
    <s v="398 Main St"/>
    <s v="London"/>
    <s v="LN"/>
    <x v="2"/>
    <n v="3.88"/>
    <n v="42"/>
  </r>
  <r>
    <x v="398"/>
    <n v="41"/>
    <x v="1"/>
    <x v="4"/>
    <s v="Project Manager"/>
    <x v="398"/>
    <x v="398"/>
    <d v="2005-04-25T00:00:00"/>
    <s v="555-01009"/>
    <s v="399 Main St"/>
    <s v="Dubai"/>
    <s v="DB"/>
    <x v="3"/>
    <n v="3.8"/>
    <n v="39"/>
  </r>
  <r>
    <x v="399"/>
    <n v="58"/>
    <x v="2"/>
    <x v="1"/>
    <s v="Analyst"/>
    <x v="399"/>
    <x v="399"/>
    <d v="2015-01-20T00:00:00"/>
    <s v="555-01000"/>
    <s v="400 Main St"/>
    <s v="Tokyo"/>
    <s v="TK"/>
    <x v="4"/>
    <n v="1.48"/>
    <n v="41"/>
  </r>
  <r>
    <x v="400"/>
    <n v="39"/>
    <x v="1"/>
    <x v="1"/>
    <s v="Sales Executive"/>
    <x v="400"/>
    <x v="400"/>
    <d v="2010-02-10T00:00:00"/>
    <s v="555-01001"/>
    <s v="401 Main St"/>
    <s v="New York"/>
    <s v="NK"/>
    <x v="0"/>
    <n v="3.25"/>
    <n v="150"/>
  </r>
  <r>
    <x v="401"/>
    <n v="42"/>
    <x v="2"/>
    <x v="0"/>
    <s v="Software Engineer"/>
    <x v="401"/>
    <x v="401"/>
    <d v="2016-05-05T00:00:00"/>
    <s v="555-01002"/>
    <s v="402 Main St"/>
    <s v="Paris"/>
    <s v="PA"/>
    <x v="1"/>
    <n v="3.22"/>
    <n v="137"/>
  </r>
  <r>
    <x v="402"/>
    <n v="25"/>
    <x v="1"/>
    <x v="4"/>
    <s v="Analyst"/>
    <x v="402"/>
    <x v="402"/>
    <d v="2021-01-23T00:00:00"/>
    <s v="555-01003"/>
    <s v="403 Main St"/>
    <s v="London"/>
    <s v="LN"/>
    <x v="2"/>
    <n v="3.04"/>
    <n v="173"/>
  </r>
  <r>
    <x v="403"/>
    <n v="64"/>
    <x v="2"/>
    <x v="4"/>
    <s v="HR Specialist"/>
    <x v="403"/>
    <x v="403"/>
    <d v="2011-09-26T00:00:00"/>
    <s v="555-01004"/>
    <s v="404 Main St"/>
    <s v="Dubai"/>
    <s v="DB"/>
    <x v="3"/>
    <n v="1.1299999999999999"/>
    <n v="67"/>
  </r>
  <r>
    <x v="404"/>
    <n v="23"/>
    <x v="1"/>
    <x v="0"/>
    <s v="HR Specialist"/>
    <x v="404"/>
    <x v="404"/>
    <d v="2022-01-25T00:00:00"/>
    <s v="555-01005"/>
    <s v="405 Main St"/>
    <s v="Tokyo"/>
    <s v="TK"/>
    <x v="4"/>
    <n v="4.07"/>
    <n v="145"/>
  </r>
  <r>
    <x v="405"/>
    <n v="42"/>
    <x v="0"/>
    <x v="4"/>
    <s v="Sales Executive"/>
    <x v="405"/>
    <x v="405"/>
    <d v="2018-12-15T00:00:00"/>
    <s v="555-01006"/>
    <s v="406 Main St"/>
    <s v="New York"/>
    <s v="NK"/>
    <x v="0"/>
    <n v="2.29"/>
    <n v="169"/>
  </r>
  <r>
    <x v="406"/>
    <n v="58"/>
    <x v="2"/>
    <x v="3"/>
    <s v="Sales Executive"/>
    <x v="406"/>
    <x v="406"/>
    <d v="2013-01-03T00:00:00"/>
    <s v="555-01007"/>
    <s v="407 Main St"/>
    <s v="Paris"/>
    <s v="PA"/>
    <x v="1"/>
    <n v="2.75"/>
    <n v="140"/>
  </r>
  <r>
    <x v="407"/>
    <n v="26"/>
    <x v="1"/>
    <x v="2"/>
    <s v="HR Specialist"/>
    <x v="407"/>
    <x v="407"/>
    <d v="2020-08-08T00:00:00"/>
    <s v="555-01008"/>
    <s v="408 Main St"/>
    <s v="London"/>
    <s v="LN"/>
    <x v="2"/>
    <n v="4.53"/>
    <n v="141"/>
  </r>
  <r>
    <x v="408"/>
    <n v="38"/>
    <x v="1"/>
    <x v="2"/>
    <s v="Sales Executive"/>
    <x v="408"/>
    <x v="408"/>
    <d v="2017-05-16T00:00:00"/>
    <s v="555-01009"/>
    <s v="409 Main St"/>
    <s v="Dubai"/>
    <s v="DB"/>
    <x v="3"/>
    <n v="4.7300000000000004"/>
    <n v="19"/>
  </r>
  <r>
    <x v="409"/>
    <n v="32"/>
    <x v="1"/>
    <x v="4"/>
    <s v="HR Specialist"/>
    <x v="409"/>
    <x v="409"/>
    <d v="2011-06-01T00:00:00"/>
    <s v="555-01000"/>
    <s v="410 Main St"/>
    <s v="Tokyo"/>
    <s v="TK"/>
    <x v="4"/>
    <n v="1.05"/>
    <n v="118"/>
  </r>
  <r>
    <x v="410"/>
    <n v="62"/>
    <x v="1"/>
    <x v="2"/>
    <s v="Software Engineer"/>
    <x v="410"/>
    <x v="410"/>
    <d v="2020-06-04T00:00:00"/>
    <s v="555-01001"/>
    <s v="411 Main St"/>
    <s v="New York"/>
    <s v="NK"/>
    <x v="0"/>
    <n v="4.3600000000000003"/>
    <n v="116"/>
  </r>
  <r>
    <x v="411"/>
    <n v="52"/>
    <x v="0"/>
    <x v="1"/>
    <s v="Analyst"/>
    <x v="411"/>
    <x v="411"/>
    <d v="2017-06-04T00:00:00"/>
    <s v="555-01002"/>
    <s v="412 Main St"/>
    <s v="Paris"/>
    <s v="PA"/>
    <x v="1"/>
    <n v="4.04"/>
    <n v="26"/>
  </r>
  <r>
    <x v="412"/>
    <n v="49"/>
    <x v="0"/>
    <x v="1"/>
    <s v="Software Engineer"/>
    <x v="412"/>
    <x v="412"/>
    <d v="2014-02-19T00:00:00"/>
    <s v="555-01003"/>
    <s v="413 Main St"/>
    <s v="London"/>
    <s v="LN"/>
    <x v="2"/>
    <n v="4.83"/>
    <n v="69"/>
  </r>
  <r>
    <x v="413"/>
    <n v="53"/>
    <x v="2"/>
    <x v="3"/>
    <s v="HR Specialist"/>
    <x v="413"/>
    <x v="413"/>
    <d v="2017-05-10T00:00:00"/>
    <s v="555-01004"/>
    <s v="414 Main St"/>
    <s v="Dubai"/>
    <s v="DB"/>
    <x v="3"/>
    <n v="4.83"/>
    <n v="181"/>
  </r>
  <r>
    <x v="414"/>
    <n v="42"/>
    <x v="2"/>
    <x v="0"/>
    <s v="Software Engineer"/>
    <x v="414"/>
    <x v="414"/>
    <d v="2003-12-07T00:00:00"/>
    <s v="555-01005"/>
    <s v="415 Main St"/>
    <s v="Tokyo"/>
    <s v="TK"/>
    <x v="4"/>
    <n v="4.8600000000000003"/>
    <n v="130"/>
  </r>
  <r>
    <x v="415"/>
    <n v="28"/>
    <x v="1"/>
    <x v="2"/>
    <s v="HR Specialist"/>
    <x v="415"/>
    <x v="415"/>
    <d v="2019-08-26T00:00:00"/>
    <s v="555-01006"/>
    <s v="416 Main St"/>
    <s v="New York"/>
    <s v="NK"/>
    <x v="0"/>
    <n v="4.22"/>
    <n v="134"/>
  </r>
  <r>
    <x v="416"/>
    <n v="31"/>
    <x v="2"/>
    <x v="3"/>
    <s v="Software Engineer"/>
    <x v="416"/>
    <x v="416"/>
    <d v="2020-11-30T00:00:00"/>
    <s v="555-01007"/>
    <s v="417 Main St"/>
    <s v="Paris"/>
    <s v="PA"/>
    <x v="1"/>
    <n v="4.88"/>
    <n v="67"/>
  </r>
  <r>
    <x v="417"/>
    <n v="49"/>
    <x v="1"/>
    <x v="2"/>
    <s v="Analyst"/>
    <x v="417"/>
    <x v="417"/>
    <d v="2006-11-18T00:00:00"/>
    <s v="555-01008"/>
    <s v="418 Main St"/>
    <s v="London"/>
    <s v="LN"/>
    <x v="2"/>
    <n v="1.58"/>
    <n v="3"/>
  </r>
  <r>
    <x v="418"/>
    <n v="57"/>
    <x v="2"/>
    <x v="1"/>
    <s v="HR Specialist"/>
    <x v="418"/>
    <x v="418"/>
    <d v="2004-11-01T00:00:00"/>
    <s v="555-01009"/>
    <s v="419 Main St"/>
    <s v="Dubai"/>
    <s v="DB"/>
    <x v="3"/>
    <n v="3.27"/>
    <n v="45"/>
  </r>
  <r>
    <x v="419"/>
    <n v="41"/>
    <x v="2"/>
    <x v="3"/>
    <s v="Sales Executive"/>
    <x v="419"/>
    <x v="419"/>
    <d v="2015-02-01T00:00:00"/>
    <s v="555-01000"/>
    <s v="420 Main St"/>
    <s v="Tokyo"/>
    <s v="TK"/>
    <x v="4"/>
    <n v="4.2"/>
    <n v="118"/>
  </r>
  <r>
    <x v="420"/>
    <n v="34"/>
    <x v="1"/>
    <x v="3"/>
    <s v="Sales Executive"/>
    <x v="420"/>
    <x v="420"/>
    <d v="2004-06-05T00:00:00"/>
    <s v="555-01001"/>
    <s v="421 Main St"/>
    <s v="New York"/>
    <s v="NK"/>
    <x v="0"/>
    <n v="1.76"/>
    <n v="40"/>
  </r>
  <r>
    <x v="421"/>
    <n v="40"/>
    <x v="0"/>
    <x v="0"/>
    <s v="Sales Executive"/>
    <x v="421"/>
    <x v="421"/>
    <d v="2000-03-26T00:00:00"/>
    <s v="555-01002"/>
    <s v="422 Main St"/>
    <s v="Paris"/>
    <s v="PA"/>
    <x v="1"/>
    <n v="2.38"/>
    <n v="50"/>
  </r>
  <r>
    <x v="422"/>
    <n v="32"/>
    <x v="1"/>
    <x v="1"/>
    <s v="HR Specialist"/>
    <x v="422"/>
    <x v="422"/>
    <d v="2015-10-06T00:00:00"/>
    <s v="555-01003"/>
    <s v="423 Main St"/>
    <s v="London"/>
    <s v="LN"/>
    <x v="2"/>
    <n v="1.54"/>
    <n v="147"/>
  </r>
  <r>
    <x v="423"/>
    <n v="56"/>
    <x v="0"/>
    <x v="3"/>
    <s v="Sales Executive"/>
    <x v="423"/>
    <x v="423"/>
    <d v="2017-05-18T00:00:00"/>
    <s v="555-01004"/>
    <s v="424 Main St"/>
    <s v="Dubai"/>
    <s v="DB"/>
    <x v="3"/>
    <n v="3.49"/>
    <n v="81"/>
  </r>
  <r>
    <x v="424"/>
    <n v="55"/>
    <x v="2"/>
    <x v="1"/>
    <s v="Project Manager"/>
    <x v="424"/>
    <x v="424"/>
    <d v="2001-02-13T00:00:00"/>
    <s v="555-01005"/>
    <s v="425 Main St"/>
    <s v="Tokyo"/>
    <s v="TK"/>
    <x v="4"/>
    <n v="1.83"/>
    <n v="18"/>
  </r>
  <r>
    <x v="425"/>
    <n v="25"/>
    <x v="0"/>
    <x v="1"/>
    <s v="Analyst"/>
    <x v="425"/>
    <x v="425"/>
    <d v="2017-07-17T00:00:00"/>
    <s v="555-01006"/>
    <s v="426 Main St"/>
    <s v="New York"/>
    <s v="NK"/>
    <x v="0"/>
    <n v="4.05"/>
    <n v="112"/>
  </r>
  <r>
    <x v="426"/>
    <n v="34"/>
    <x v="1"/>
    <x v="4"/>
    <s v="Project Manager"/>
    <x v="426"/>
    <x v="426"/>
    <d v="2008-05-10T00:00:00"/>
    <s v="555-01007"/>
    <s v="427 Main St"/>
    <s v="Paris"/>
    <s v="PA"/>
    <x v="1"/>
    <n v="3.74"/>
    <n v="182"/>
  </r>
  <r>
    <x v="427"/>
    <n v="58"/>
    <x v="2"/>
    <x v="4"/>
    <s v="HR Specialist"/>
    <x v="427"/>
    <x v="427"/>
    <d v="2009-10-05T00:00:00"/>
    <s v="555-01008"/>
    <s v="428 Main St"/>
    <s v="London"/>
    <s v="LN"/>
    <x v="2"/>
    <n v="3.97"/>
    <n v="85"/>
  </r>
  <r>
    <x v="428"/>
    <n v="23"/>
    <x v="0"/>
    <x v="0"/>
    <s v="HR Specialist"/>
    <x v="428"/>
    <x v="428"/>
    <d v="2010-11-22T00:00:00"/>
    <s v="555-01009"/>
    <s v="429 Main St"/>
    <s v="Dubai"/>
    <s v="DB"/>
    <x v="3"/>
    <n v="3.36"/>
    <n v="85"/>
  </r>
  <r>
    <x v="429"/>
    <n v="22"/>
    <x v="0"/>
    <x v="1"/>
    <s v="Analyst"/>
    <x v="429"/>
    <x v="429"/>
    <d v="2000-10-24T00:00:00"/>
    <s v="555-01000"/>
    <s v="430 Main St"/>
    <s v="Tokyo"/>
    <s v="TK"/>
    <x v="4"/>
    <n v="1.02"/>
    <n v="34"/>
  </r>
  <r>
    <x v="430"/>
    <n v="61"/>
    <x v="1"/>
    <x v="4"/>
    <s v="Software Engineer"/>
    <x v="430"/>
    <x v="430"/>
    <d v="2009-09-02T00:00:00"/>
    <s v="555-01001"/>
    <s v="431 Main St"/>
    <s v="New York"/>
    <s v="NK"/>
    <x v="0"/>
    <n v="1.45"/>
    <n v="137"/>
  </r>
  <r>
    <x v="431"/>
    <n v="46"/>
    <x v="2"/>
    <x v="2"/>
    <s v="Analyst"/>
    <x v="431"/>
    <x v="431"/>
    <d v="2021-07-31T00:00:00"/>
    <s v="555-01002"/>
    <s v="432 Main St"/>
    <s v="Paris"/>
    <s v="PA"/>
    <x v="1"/>
    <n v="2.0299999999999998"/>
    <n v="154"/>
  </r>
  <r>
    <x v="432"/>
    <n v="58"/>
    <x v="2"/>
    <x v="1"/>
    <s v="Project Manager"/>
    <x v="432"/>
    <x v="432"/>
    <d v="2013-06-02T00:00:00"/>
    <s v="555-01003"/>
    <s v="433 Main St"/>
    <s v="London"/>
    <s v="LN"/>
    <x v="2"/>
    <n v="4.03"/>
    <n v="163"/>
  </r>
  <r>
    <x v="433"/>
    <n v="57"/>
    <x v="0"/>
    <x v="3"/>
    <s v="Project Manager"/>
    <x v="433"/>
    <x v="433"/>
    <d v="2010-07-03T00:00:00"/>
    <s v="555-01004"/>
    <s v="434 Main St"/>
    <s v="Dubai"/>
    <s v="DB"/>
    <x v="3"/>
    <n v="3.73"/>
    <n v="100"/>
  </r>
  <r>
    <x v="434"/>
    <n v="27"/>
    <x v="0"/>
    <x v="1"/>
    <s v="Project Manager"/>
    <x v="434"/>
    <x v="434"/>
    <d v="2013-10-28T00:00:00"/>
    <s v="555-01005"/>
    <s v="435 Main St"/>
    <s v="Tokyo"/>
    <s v="TK"/>
    <x v="4"/>
    <n v="1.65"/>
    <n v="19"/>
  </r>
  <r>
    <x v="435"/>
    <n v="28"/>
    <x v="0"/>
    <x v="3"/>
    <s v="Project Manager"/>
    <x v="435"/>
    <x v="435"/>
    <d v="2009-04-08T00:00:00"/>
    <s v="555-01006"/>
    <s v="436 Main St"/>
    <s v="New York"/>
    <s v="NK"/>
    <x v="0"/>
    <n v="3.07"/>
    <n v="134"/>
  </r>
  <r>
    <x v="436"/>
    <n v="25"/>
    <x v="2"/>
    <x v="0"/>
    <s v="Software Engineer"/>
    <x v="436"/>
    <x v="436"/>
    <d v="2002-12-03T00:00:00"/>
    <s v="555-01007"/>
    <s v="437 Main St"/>
    <s v="Paris"/>
    <s v="PA"/>
    <x v="1"/>
    <n v="1.08"/>
    <n v="173"/>
  </r>
  <r>
    <x v="437"/>
    <n v="56"/>
    <x v="0"/>
    <x v="4"/>
    <s v="HR Specialist"/>
    <x v="437"/>
    <x v="437"/>
    <d v="2015-08-30T00:00:00"/>
    <s v="555-01008"/>
    <s v="438 Main St"/>
    <s v="London"/>
    <s v="LN"/>
    <x v="2"/>
    <n v="2.7"/>
    <n v="152"/>
  </r>
  <r>
    <x v="438"/>
    <n v="62"/>
    <x v="0"/>
    <x v="2"/>
    <s v="HR Specialist"/>
    <x v="438"/>
    <x v="438"/>
    <d v="2015-10-13T00:00:00"/>
    <s v="555-01009"/>
    <s v="439 Main St"/>
    <s v="Dubai"/>
    <s v="DB"/>
    <x v="3"/>
    <n v="4.08"/>
    <n v="185"/>
  </r>
  <r>
    <x v="439"/>
    <n v="55"/>
    <x v="2"/>
    <x v="4"/>
    <s v="Analyst"/>
    <x v="439"/>
    <x v="439"/>
    <d v="2017-06-01T00:00:00"/>
    <s v="555-01000"/>
    <s v="440 Main St"/>
    <s v="Tokyo"/>
    <s v="TK"/>
    <x v="4"/>
    <n v="1.56"/>
    <n v="162"/>
  </r>
  <r>
    <x v="440"/>
    <n v="50"/>
    <x v="2"/>
    <x v="3"/>
    <s v="HR Specialist"/>
    <x v="440"/>
    <x v="440"/>
    <d v="2005-09-06T00:00:00"/>
    <s v="555-01001"/>
    <s v="441 Main St"/>
    <s v="New York"/>
    <s v="NK"/>
    <x v="0"/>
    <n v="3.2"/>
    <n v="95"/>
  </r>
  <r>
    <x v="441"/>
    <n v="26"/>
    <x v="1"/>
    <x v="0"/>
    <s v="HR Specialist"/>
    <x v="441"/>
    <x v="441"/>
    <d v="2022-01-08T00:00:00"/>
    <s v="555-01002"/>
    <s v="442 Main St"/>
    <s v="Paris"/>
    <s v="PA"/>
    <x v="1"/>
    <n v="4.03"/>
    <n v="163"/>
  </r>
  <r>
    <x v="442"/>
    <n v="48"/>
    <x v="2"/>
    <x v="3"/>
    <s v="HR Specialist"/>
    <x v="442"/>
    <x v="442"/>
    <d v="2019-06-15T00:00:00"/>
    <s v="555-01003"/>
    <s v="443 Main St"/>
    <s v="London"/>
    <s v="LN"/>
    <x v="2"/>
    <n v="3.77"/>
    <n v="30"/>
  </r>
  <r>
    <x v="443"/>
    <n v="54"/>
    <x v="2"/>
    <x v="0"/>
    <s v="Software Engineer"/>
    <x v="443"/>
    <x v="443"/>
    <d v="2015-06-04T00:00:00"/>
    <s v="555-01004"/>
    <s v="444 Main St"/>
    <s v="Dubai"/>
    <s v="DB"/>
    <x v="3"/>
    <n v="1.72"/>
    <n v="127"/>
  </r>
  <r>
    <x v="444"/>
    <n v="31"/>
    <x v="1"/>
    <x v="0"/>
    <s v="Software Engineer"/>
    <x v="444"/>
    <x v="444"/>
    <d v="2022-01-23T00:00:00"/>
    <s v="555-01005"/>
    <s v="445 Main St"/>
    <s v="Tokyo"/>
    <s v="TK"/>
    <x v="4"/>
    <n v="4.7699999999999996"/>
    <n v="13"/>
  </r>
  <r>
    <x v="445"/>
    <n v="27"/>
    <x v="2"/>
    <x v="2"/>
    <s v="HR Specialist"/>
    <x v="445"/>
    <x v="445"/>
    <d v="2012-01-24T00:00:00"/>
    <s v="555-01006"/>
    <s v="446 Main St"/>
    <s v="New York"/>
    <s v="NK"/>
    <x v="0"/>
    <n v="4.2"/>
    <n v="43"/>
  </r>
  <r>
    <x v="446"/>
    <n v="55"/>
    <x v="1"/>
    <x v="2"/>
    <s v="Project Manager"/>
    <x v="446"/>
    <x v="446"/>
    <d v="2011-04-10T00:00:00"/>
    <s v="555-01007"/>
    <s v="447 Main St"/>
    <s v="Paris"/>
    <s v="PA"/>
    <x v="1"/>
    <n v="1.74"/>
    <n v="72"/>
  </r>
  <r>
    <x v="447"/>
    <n v="29"/>
    <x v="2"/>
    <x v="4"/>
    <s v="HR Specialist"/>
    <x v="447"/>
    <x v="447"/>
    <d v="2019-12-24T00:00:00"/>
    <s v="555-01008"/>
    <s v="448 Main St"/>
    <s v="London"/>
    <s v="LN"/>
    <x v="2"/>
    <n v="4.13"/>
    <n v="69"/>
  </r>
  <r>
    <x v="448"/>
    <n v="52"/>
    <x v="1"/>
    <x v="2"/>
    <s v="Analyst"/>
    <x v="448"/>
    <x v="448"/>
    <d v="2014-03-09T00:00:00"/>
    <s v="555-01009"/>
    <s v="449 Main St"/>
    <s v="Dubai"/>
    <s v="DB"/>
    <x v="3"/>
    <n v="2.0299999999999998"/>
    <n v="172"/>
  </r>
  <r>
    <x v="449"/>
    <n v="30"/>
    <x v="0"/>
    <x v="3"/>
    <s v="Sales Executive"/>
    <x v="449"/>
    <x v="449"/>
    <d v="2000-09-30T00:00:00"/>
    <s v="555-01000"/>
    <s v="450 Main St"/>
    <s v="Tokyo"/>
    <s v="TK"/>
    <x v="4"/>
    <n v="4.62"/>
    <n v="65"/>
  </r>
  <r>
    <x v="450"/>
    <n v="42"/>
    <x v="0"/>
    <x v="3"/>
    <s v="Analyst"/>
    <x v="450"/>
    <x v="450"/>
    <d v="2014-05-18T00:00:00"/>
    <s v="555-01001"/>
    <s v="451 Main St"/>
    <s v="New York"/>
    <s v="NK"/>
    <x v="0"/>
    <n v="4.4000000000000004"/>
    <n v="65"/>
  </r>
  <r>
    <x v="451"/>
    <n v="29"/>
    <x v="0"/>
    <x v="0"/>
    <s v="Sales Executive"/>
    <x v="451"/>
    <x v="451"/>
    <d v="2014-10-20T00:00:00"/>
    <s v="555-01002"/>
    <s v="452 Main St"/>
    <s v="Paris"/>
    <s v="PA"/>
    <x v="1"/>
    <n v="3.55"/>
    <n v="39"/>
  </r>
  <r>
    <x v="452"/>
    <n v="25"/>
    <x v="1"/>
    <x v="4"/>
    <s v="Software Engineer"/>
    <x v="452"/>
    <x v="452"/>
    <d v="2000-06-21T00:00:00"/>
    <s v="555-01003"/>
    <s v="453 Main St"/>
    <s v="London"/>
    <s v="LN"/>
    <x v="2"/>
    <n v="3.62"/>
    <n v="178"/>
  </r>
  <r>
    <x v="453"/>
    <n v="43"/>
    <x v="0"/>
    <x v="4"/>
    <s v="Software Engineer"/>
    <x v="453"/>
    <x v="453"/>
    <d v="2009-04-01T00:00:00"/>
    <s v="555-01004"/>
    <s v="454 Main St"/>
    <s v="Dubai"/>
    <s v="DB"/>
    <x v="3"/>
    <n v="1.29"/>
    <n v="73"/>
  </r>
  <r>
    <x v="454"/>
    <n v="49"/>
    <x v="2"/>
    <x v="4"/>
    <s v="HR Specialist"/>
    <x v="454"/>
    <x v="454"/>
    <d v="2018-06-11T00:00:00"/>
    <s v="555-01005"/>
    <s v="455 Main St"/>
    <s v="Tokyo"/>
    <s v="TK"/>
    <x v="4"/>
    <n v="2.34"/>
    <n v="49"/>
  </r>
  <r>
    <x v="455"/>
    <n v="25"/>
    <x v="1"/>
    <x v="0"/>
    <s v="Sales Executive"/>
    <x v="455"/>
    <x v="455"/>
    <d v="2012-02-28T00:00:00"/>
    <s v="555-01006"/>
    <s v="456 Main St"/>
    <s v="New York"/>
    <s v="NK"/>
    <x v="0"/>
    <n v="4.55"/>
    <n v="71"/>
  </r>
  <r>
    <x v="456"/>
    <n v="60"/>
    <x v="2"/>
    <x v="2"/>
    <s v="Software Engineer"/>
    <x v="456"/>
    <x v="456"/>
    <d v="2004-06-15T00:00:00"/>
    <s v="555-01007"/>
    <s v="457 Main St"/>
    <s v="Paris"/>
    <s v="PA"/>
    <x v="1"/>
    <n v="2.25"/>
    <n v="117"/>
  </r>
  <r>
    <x v="457"/>
    <n v="42"/>
    <x v="2"/>
    <x v="1"/>
    <s v="Software Engineer"/>
    <x v="457"/>
    <x v="457"/>
    <d v="2004-09-12T00:00:00"/>
    <s v="555-01008"/>
    <s v="458 Main St"/>
    <s v="London"/>
    <s v="LN"/>
    <x v="2"/>
    <n v="2.2000000000000002"/>
    <n v="56"/>
  </r>
  <r>
    <x v="458"/>
    <n v="29"/>
    <x v="2"/>
    <x v="3"/>
    <s v="HR Specialist"/>
    <x v="458"/>
    <x v="458"/>
    <d v="2017-07-20T00:00:00"/>
    <s v="555-01009"/>
    <s v="459 Main St"/>
    <s v="Dubai"/>
    <s v="DB"/>
    <x v="3"/>
    <n v="2.84"/>
    <n v="21"/>
  </r>
  <r>
    <x v="459"/>
    <n v="41"/>
    <x v="1"/>
    <x v="0"/>
    <s v="Software Engineer"/>
    <x v="459"/>
    <x v="459"/>
    <d v="2021-05-19T00:00:00"/>
    <s v="555-01000"/>
    <s v="460 Main St"/>
    <s v="Tokyo"/>
    <s v="TK"/>
    <x v="4"/>
    <n v="1.75"/>
    <n v="109"/>
  </r>
  <r>
    <x v="460"/>
    <n v="53"/>
    <x v="2"/>
    <x v="3"/>
    <s v="Sales Executive"/>
    <x v="460"/>
    <x v="460"/>
    <d v="2010-01-06T00:00:00"/>
    <s v="555-01001"/>
    <s v="461 Main St"/>
    <s v="New York"/>
    <s v="NK"/>
    <x v="0"/>
    <n v="4.5"/>
    <n v="186"/>
  </r>
  <r>
    <x v="461"/>
    <n v="22"/>
    <x v="0"/>
    <x v="2"/>
    <s v="Analyst"/>
    <x v="461"/>
    <x v="461"/>
    <d v="2004-04-26T00:00:00"/>
    <s v="555-01002"/>
    <s v="462 Main St"/>
    <s v="Paris"/>
    <s v="PA"/>
    <x v="1"/>
    <n v="4.13"/>
    <n v="2"/>
  </r>
  <r>
    <x v="462"/>
    <n v="27"/>
    <x v="1"/>
    <x v="2"/>
    <s v="Software Engineer"/>
    <x v="462"/>
    <x v="462"/>
    <d v="2003-02-04T00:00:00"/>
    <s v="555-01003"/>
    <s v="463 Main St"/>
    <s v="London"/>
    <s v="LN"/>
    <x v="2"/>
    <n v="1.52"/>
    <n v="106"/>
  </r>
  <r>
    <x v="463"/>
    <n v="49"/>
    <x v="0"/>
    <x v="0"/>
    <s v="Project Manager"/>
    <x v="463"/>
    <x v="463"/>
    <d v="2009-11-22T00:00:00"/>
    <s v="555-01004"/>
    <s v="464 Main St"/>
    <s v="Dubai"/>
    <s v="DB"/>
    <x v="3"/>
    <n v="2.29"/>
    <n v="5"/>
  </r>
  <r>
    <x v="464"/>
    <n v="52"/>
    <x v="1"/>
    <x v="0"/>
    <s v="Software Engineer"/>
    <x v="464"/>
    <x v="464"/>
    <d v="2019-07-02T00:00:00"/>
    <s v="555-01005"/>
    <s v="465 Main St"/>
    <s v="Tokyo"/>
    <s v="TK"/>
    <x v="4"/>
    <n v="1.59"/>
    <n v="93"/>
  </r>
  <r>
    <x v="465"/>
    <n v="31"/>
    <x v="2"/>
    <x v="1"/>
    <s v="Analyst"/>
    <x v="465"/>
    <x v="465"/>
    <d v="2010-01-08T00:00:00"/>
    <s v="555-01006"/>
    <s v="466 Main St"/>
    <s v="New York"/>
    <s v="NK"/>
    <x v="0"/>
    <n v="2.5499999999999998"/>
    <n v="66"/>
  </r>
  <r>
    <x v="466"/>
    <n v="41"/>
    <x v="0"/>
    <x v="4"/>
    <s v="HR Specialist"/>
    <x v="466"/>
    <x v="466"/>
    <d v="2000-07-11T00:00:00"/>
    <s v="555-01007"/>
    <s v="467 Main St"/>
    <s v="Paris"/>
    <s v="PA"/>
    <x v="1"/>
    <n v="3.61"/>
    <n v="84"/>
  </r>
  <r>
    <x v="467"/>
    <n v="29"/>
    <x v="1"/>
    <x v="1"/>
    <s v="HR Specialist"/>
    <x v="467"/>
    <x v="467"/>
    <d v="2005-08-24T00:00:00"/>
    <s v="555-01008"/>
    <s v="468 Main St"/>
    <s v="London"/>
    <s v="LN"/>
    <x v="2"/>
    <n v="2.04"/>
    <n v="175"/>
  </r>
  <r>
    <x v="468"/>
    <n v="43"/>
    <x v="2"/>
    <x v="0"/>
    <s v="Analyst"/>
    <x v="468"/>
    <x v="468"/>
    <d v="2005-08-20T00:00:00"/>
    <s v="555-01009"/>
    <s v="469 Main St"/>
    <s v="Dubai"/>
    <s v="DB"/>
    <x v="3"/>
    <n v="4.0599999999999996"/>
    <n v="67"/>
  </r>
  <r>
    <x v="469"/>
    <n v="59"/>
    <x v="2"/>
    <x v="1"/>
    <s v="HR Specialist"/>
    <x v="469"/>
    <x v="469"/>
    <d v="2004-03-12T00:00:00"/>
    <s v="555-01000"/>
    <s v="470 Main St"/>
    <s v="Tokyo"/>
    <s v="TK"/>
    <x v="4"/>
    <n v="4.8600000000000003"/>
    <n v="145"/>
  </r>
  <r>
    <x v="470"/>
    <n v="50"/>
    <x v="1"/>
    <x v="3"/>
    <s v="Software Engineer"/>
    <x v="470"/>
    <x v="470"/>
    <d v="2015-03-29T00:00:00"/>
    <s v="555-01001"/>
    <s v="471 Main St"/>
    <s v="New York"/>
    <s v="NK"/>
    <x v="0"/>
    <n v="3.44"/>
    <n v="48"/>
  </r>
  <r>
    <x v="471"/>
    <n v="30"/>
    <x v="1"/>
    <x v="2"/>
    <s v="Sales Executive"/>
    <x v="471"/>
    <x v="471"/>
    <d v="2018-12-08T00:00:00"/>
    <s v="555-01002"/>
    <s v="472 Main St"/>
    <s v="Paris"/>
    <s v="PA"/>
    <x v="1"/>
    <n v="2.33"/>
    <n v="17"/>
  </r>
  <r>
    <x v="472"/>
    <n v="22"/>
    <x v="1"/>
    <x v="2"/>
    <s v="Software Engineer"/>
    <x v="472"/>
    <x v="472"/>
    <d v="2018-10-14T00:00:00"/>
    <s v="555-01003"/>
    <s v="473 Main St"/>
    <s v="London"/>
    <s v="LN"/>
    <x v="2"/>
    <n v="3.93"/>
    <n v="76"/>
  </r>
  <r>
    <x v="473"/>
    <n v="62"/>
    <x v="1"/>
    <x v="1"/>
    <s v="Sales Executive"/>
    <x v="473"/>
    <x v="473"/>
    <d v="2013-01-31T00:00:00"/>
    <s v="555-01004"/>
    <s v="474 Main St"/>
    <s v="Dubai"/>
    <s v="DB"/>
    <x v="3"/>
    <n v="2.06"/>
    <n v="149"/>
  </r>
  <r>
    <x v="474"/>
    <n v="60"/>
    <x v="0"/>
    <x v="4"/>
    <s v="Project Manager"/>
    <x v="474"/>
    <x v="474"/>
    <d v="2015-03-15T00:00:00"/>
    <s v="555-01005"/>
    <s v="475 Main St"/>
    <s v="Tokyo"/>
    <s v="TK"/>
    <x v="4"/>
    <n v="4.54"/>
    <n v="160"/>
  </r>
  <r>
    <x v="475"/>
    <n v="47"/>
    <x v="1"/>
    <x v="0"/>
    <s v="Analyst"/>
    <x v="475"/>
    <x v="475"/>
    <d v="2003-10-06T00:00:00"/>
    <s v="555-01006"/>
    <s v="476 Main St"/>
    <s v="New York"/>
    <s v="NK"/>
    <x v="0"/>
    <n v="4.05"/>
    <n v="105"/>
  </r>
  <r>
    <x v="476"/>
    <n v="32"/>
    <x v="2"/>
    <x v="2"/>
    <s v="Analyst"/>
    <x v="476"/>
    <x v="476"/>
    <d v="2018-02-22T00:00:00"/>
    <s v="555-01007"/>
    <s v="477 Main St"/>
    <s v="Paris"/>
    <s v="PA"/>
    <x v="1"/>
    <n v="2.68"/>
    <n v="122"/>
  </r>
  <r>
    <x v="477"/>
    <n v="56"/>
    <x v="0"/>
    <x v="1"/>
    <s v="Software Engineer"/>
    <x v="477"/>
    <x v="477"/>
    <d v="2010-01-09T00:00:00"/>
    <s v="555-01008"/>
    <s v="478 Main St"/>
    <s v="London"/>
    <s v="LN"/>
    <x v="2"/>
    <n v="3.93"/>
    <n v="143"/>
  </r>
  <r>
    <x v="478"/>
    <n v="45"/>
    <x v="2"/>
    <x v="0"/>
    <s v="HR Specialist"/>
    <x v="478"/>
    <x v="478"/>
    <d v="2014-12-20T00:00:00"/>
    <s v="555-01009"/>
    <s v="479 Main St"/>
    <s v="Dubai"/>
    <s v="DB"/>
    <x v="3"/>
    <n v="1"/>
    <n v="167"/>
  </r>
  <r>
    <x v="479"/>
    <n v="54"/>
    <x v="2"/>
    <x v="2"/>
    <s v="Analyst"/>
    <x v="479"/>
    <x v="479"/>
    <d v="2000-02-09T00:00:00"/>
    <s v="555-01000"/>
    <s v="480 Main St"/>
    <s v="Tokyo"/>
    <s v="TK"/>
    <x v="4"/>
    <n v="4.13"/>
    <n v="140"/>
  </r>
  <r>
    <x v="480"/>
    <n v="41"/>
    <x v="1"/>
    <x v="1"/>
    <s v="Sales Executive"/>
    <x v="480"/>
    <x v="480"/>
    <d v="2009-07-29T00:00:00"/>
    <s v="555-01001"/>
    <s v="481 Main St"/>
    <s v="New York"/>
    <s v="NK"/>
    <x v="0"/>
    <n v="3.96"/>
    <n v="14"/>
  </r>
  <r>
    <x v="481"/>
    <n v="48"/>
    <x v="0"/>
    <x v="0"/>
    <s v="HR Specialist"/>
    <x v="481"/>
    <x v="481"/>
    <d v="2000-01-18T00:00:00"/>
    <s v="555-01002"/>
    <s v="482 Main St"/>
    <s v="Paris"/>
    <s v="PA"/>
    <x v="1"/>
    <n v="2.5099999999999998"/>
    <n v="47"/>
  </r>
  <r>
    <x v="482"/>
    <n v="36"/>
    <x v="1"/>
    <x v="4"/>
    <s v="Sales Executive"/>
    <x v="482"/>
    <x v="482"/>
    <d v="2008-02-29T00:00:00"/>
    <s v="555-01003"/>
    <s v="483 Main St"/>
    <s v="London"/>
    <s v="LN"/>
    <x v="2"/>
    <n v="1.27"/>
    <n v="1"/>
  </r>
  <r>
    <x v="483"/>
    <n v="54"/>
    <x v="2"/>
    <x v="1"/>
    <s v="Analyst"/>
    <x v="483"/>
    <x v="483"/>
    <d v="2022-10-14T00:00:00"/>
    <s v="555-01004"/>
    <s v="484 Main St"/>
    <s v="Dubai"/>
    <s v="DB"/>
    <x v="3"/>
    <n v="2.72"/>
    <n v="169"/>
  </r>
  <r>
    <x v="484"/>
    <n v="28"/>
    <x v="1"/>
    <x v="1"/>
    <s v="Sales Executive"/>
    <x v="484"/>
    <x v="484"/>
    <d v="2005-06-03T00:00:00"/>
    <s v="555-01005"/>
    <s v="485 Main St"/>
    <s v="Tokyo"/>
    <s v="TK"/>
    <x v="4"/>
    <n v="1.01"/>
    <n v="8"/>
  </r>
  <r>
    <x v="485"/>
    <n v="55"/>
    <x v="1"/>
    <x v="1"/>
    <s v="Project Manager"/>
    <x v="485"/>
    <x v="485"/>
    <d v="2006-08-22T00:00:00"/>
    <s v="555-01006"/>
    <s v="486 Main St"/>
    <s v="New York"/>
    <s v="NK"/>
    <x v="0"/>
    <n v="1.54"/>
    <n v="141"/>
  </r>
  <r>
    <x v="486"/>
    <n v="63"/>
    <x v="1"/>
    <x v="2"/>
    <s v="Sales Executive"/>
    <x v="486"/>
    <x v="486"/>
    <d v="2022-09-20T00:00:00"/>
    <s v="555-01007"/>
    <s v="487 Main St"/>
    <s v="Paris"/>
    <s v="PA"/>
    <x v="1"/>
    <n v="2.0299999999999998"/>
    <n v="125"/>
  </r>
  <r>
    <x v="487"/>
    <n v="26"/>
    <x v="1"/>
    <x v="4"/>
    <s v="Software Engineer"/>
    <x v="487"/>
    <x v="487"/>
    <d v="2015-12-15T00:00:00"/>
    <s v="555-01008"/>
    <s v="488 Main St"/>
    <s v="London"/>
    <s v="LN"/>
    <x v="2"/>
    <n v="1.1499999999999999"/>
    <n v="2"/>
  </r>
  <r>
    <x v="488"/>
    <n v="51"/>
    <x v="1"/>
    <x v="4"/>
    <s v="Project Manager"/>
    <x v="488"/>
    <x v="488"/>
    <d v="2014-09-16T00:00:00"/>
    <s v="555-01009"/>
    <s v="489 Main St"/>
    <s v="Dubai"/>
    <s v="DB"/>
    <x v="3"/>
    <n v="3.43"/>
    <n v="147"/>
  </r>
  <r>
    <x v="489"/>
    <n v="49"/>
    <x v="1"/>
    <x v="1"/>
    <s v="Software Engineer"/>
    <x v="489"/>
    <x v="489"/>
    <d v="2001-03-04T00:00:00"/>
    <s v="555-01000"/>
    <s v="490 Main St"/>
    <s v="Tokyo"/>
    <s v="TK"/>
    <x v="4"/>
    <n v="4.59"/>
    <n v="45"/>
  </r>
  <r>
    <x v="490"/>
    <n v="39"/>
    <x v="0"/>
    <x v="1"/>
    <s v="Sales Executive"/>
    <x v="490"/>
    <x v="490"/>
    <d v="2001-09-29T00:00:00"/>
    <s v="555-01001"/>
    <s v="491 Main St"/>
    <s v="New York"/>
    <s v="NK"/>
    <x v="0"/>
    <n v="2.63"/>
    <n v="68"/>
  </r>
  <r>
    <x v="491"/>
    <n v="57"/>
    <x v="1"/>
    <x v="4"/>
    <s v="HR Specialist"/>
    <x v="491"/>
    <x v="491"/>
    <d v="2022-04-15T00:00:00"/>
    <s v="555-01002"/>
    <s v="492 Main St"/>
    <s v="Paris"/>
    <s v="PA"/>
    <x v="1"/>
    <n v="3.79"/>
    <n v="175"/>
  </r>
  <r>
    <x v="492"/>
    <n v="24"/>
    <x v="0"/>
    <x v="0"/>
    <s v="Software Engineer"/>
    <x v="492"/>
    <x v="492"/>
    <d v="2003-05-25T00:00:00"/>
    <s v="555-01003"/>
    <s v="493 Main St"/>
    <s v="London"/>
    <s v="LN"/>
    <x v="2"/>
    <n v="1.47"/>
    <n v="67"/>
  </r>
  <r>
    <x v="493"/>
    <n v="42"/>
    <x v="1"/>
    <x v="1"/>
    <s v="HR Specialist"/>
    <x v="493"/>
    <x v="493"/>
    <d v="2010-02-25T00:00:00"/>
    <s v="555-01004"/>
    <s v="494 Main St"/>
    <s v="Dubai"/>
    <s v="DB"/>
    <x v="3"/>
    <n v="4.74"/>
    <n v="151"/>
  </r>
  <r>
    <x v="494"/>
    <n v="37"/>
    <x v="0"/>
    <x v="4"/>
    <s v="Project Manager"/>
    <x v="494"/>
    <x v="494"/>
    <d v="2005-02-12T00:00:00"/>
    <s v="555-01005"/>
    <s v="495 Main St"/>
    <s v="Tokyo"/>
    <s v="TK"/>
    <x v="4"/>
    <n v="4.45"/>
    <n v="125"/>
  </r>
  <r>
    <x v="495"/>
    <n v="58"/>
    <x v="2"/>
    <x v="2"/>
    <s v="Sales Executive"/>
    <x v="495"/>
    <x v="495"/>
    <d v="2012-08-16T00:00:00"/>
    <s v="555-01006"/>
    <s v="496 Main St"/>
    <s v="New York"/>
    <s v="NK"/>
    <x v="0"/>
    <n v="4.47"/>
    <n v="155"/>
  </r>
  <r>
    <x v="496"/>
    <n v="63"/>
    <x v="0"/>
    <x v="4"/>
    <s v="HR Specialist"/>
    <x v="496"/>
    <x v="496"/>
    <d v="2019-11-07T00:00:00"/>
    <s v="555-01007"/>
    <s v="497 Main St"/>
    <s v="Paris"/>
    <s v="PA"/>
    <x v="1"/>
    <n v="4.82"/>
    <n v="190"/>
  </r>
  <r>
    <x v="497"/>
    <n v="26"/>
    <x v="0"/>
    <x v="0"/>
    <s v="Software Engineer"/>
    <x v="497"/>
    <x v="497"/>
    <d v="2001-05-15T00:00:00"/>
    <s v="555-01008"/>
    <s v="498 Main St"/>
    <s v="London"/>
    <s v="LN"/>
    <x v="2"/>
    <n v="4.88"/>
    <n v="19"/>
  </r>
  <r>
    <x v="498"/>
    <n v="35"/>
    <x v="2"/>
    <x v="1"/>
    <s v="Analyst"/>
    <x v="498"/>
    <x v="498"/>
    <d v="2017-10-03T00:00:00"/>
    <s v="555-01009"/>
    <s v="499 Main St"/>
    <s v="Dubai"/>
    <s v="DB"/>
    <x v="3"/>
    <n v="4.6399999999999997"/>
    <n v="163"/>
  </r>
  <r>
    <x v="499"/>
    <n v="52"/>
    <x v="1"/>
    <x v="4"/>
    <s v="Project Manager"/>
    <x v="499"/>
    <x v="499"/>
    <d v="2007-04-15T00:00:00"/>
    <s v="555-01000"/>
    <s v="500 Main St"/>
    <s v="Tokyo"/>
    <s v="TK"/>
    <x v="4"/>
    <n v="4.83"/>
    <n v="52"/>
  </r>
  <r>
    <x v="500"/>
    <n v="45"/>
    <x v="1"/>
    <x v="3"/>
    <s v="Project Manager"/>
    <x v="500"/>
    <x v="500"/>
    <d v="2012-07-07T00:00:00"/>
    <s v="555-01001"/>
    <s v="501 Main St"/>
    <s v="New York"/>
    <s v="NK"/>
    <x v="0"/>
    <n v="2.11"/>
    <n v="68"/>
  </r>
  <r>
    <x v="501"/>
    <n v="56"/>
    <x v="0"/>
    <x v="1"/>
    <s v="HR Specialist"/>
    <x v="501"/>
    <x v="501"/>
    <d v="2010-11-25T00:00:00"/>
    <s v="555-01002"/>
    <s v="502 Main St"/>
    <s v="Paris"/>
    <s v="PA"/>
    <x v="1"/>
    <n v="3.76"/>
    <n v="42"/>
  </r>
  <r>
    <x v="502"/>
    <n v="57"/>
    <x v="1"/>
    <x v="1"/>
    <s v="Project Manager"/>
    <x v="502"/>
    <x v="502"/>
    <d v="2019-02-20T00:00:00"/>
    <s v="555-01003"/>
    <s v="503 Main St"/>
    <s v="London"/>
    <s v="LN"/>
    <x v="2"/>
    <n v="4.34"/>
    <n v="39"/>
  </r>
  <r>
    <x v="503"/>
    <n v="31"/>
    <x v="1"/>
    <x v="3"/>
    <s v="Sales Executive"/>
    <x v="503"/>
    <x v="503"/>
    <d v="2014-01-21T00:00:00"/>
    <s v="555-01004"/>
    <s v="504 Main St"/>
    <s v="Dubai"/>
    <s v="DB"/>
    <x v="3"/>
    <n v="4.82"/>
    <n v="113"/>
  </r>
  <r>
    <x v="504"/>
    <n v="48"/>
    <x v="2"/>
    <x v="1"/>
    <s v="Project Manager"/>
    <x v="504"/>
    <x v="504"/>
    <d v="2006-02-07T00:00:00"/>
    <s v="555-01005"/>
    <s v="505 Main St"/>
    <s v="Tokyo"/>
    <s v="TK"/>
    <x v="4"/>
    <n v="1.85"/>
    <n v="30"/>
  </r>
  <r>
    <x v="505"/>
    <n v="48"/>
    <x v="1"/>
    <x v="2"/>
    <s v="Sales Executive"/>
    <x v="505"/>
    <x v="505"/>
    <d v="2012-01-03T00:00:00"/>
    <s v="555-01006"/>
    <s v="506 Main St"/>
    <s v="New York"/>
    <s v="NK"/>
    <x v="0"/>
    <n v="4.4000000000000004"/>
    <n v="66"/>
  </r>
  <r>
    <x v="506"/>
    <n v="44"/>
    <x v="1"/>
    <x v="2"/>
    <s v="Project Manager"/>
    <x v="506"/>
    <x v="506"/>
    <d v="2016-09-03T00:00:00"/>
    <s v="555-01007"/>
    <s v="507 Main St"/>
    <s v="Paris"/>
    <s v="PA"/>
    <x v="1"/>
    <n v="2.4900000000000002"/>
    <n v="53"/>
  </r>
  <r>
    <x v="507"/>
    <n v="34"/>
    <x v="0"/>
    <x v="0"/>
    <s v="Sales Executive"/>
    <x v="507"/>
    <x v="507"/>
    <d v="2019-09-20T00:00:00"/>
    <s v="555-01008"/>
    <s v="508 Main St"/>
    <s v="London"/>
    <s v="LN"/>
    <x v="2"/>
    <n v="3.43"/>
    <n v="32"/>
  </r>
  <r>
    <x v="508"/>
    <n v="37"/>
    <x v="1"/>
    <x v="0"/>
    <s v="Software Engineer"/>
    <x v="508"/>
    <x v="508"/>
    <d v="2018-09-24T00:00:00"/>
    <s v="555-01009"/>
    <s v="509 Main St"/>
    <s v="Dubai"/>
    <s v="DB"/>
    <x v="3"/>
    <n v="2.39"/>
    <n v="156"/>
  </r>
  <r>
    <x v="509"/>
    <n v="56"/>
    <x v="1"/>
    <x v="4"/>
    <s v="Software Engineer"/>
    <x v="509"/>
    <x v="509"/>
    <d v="2022-04-07T00:00:00"/>
    <s v="555-01000"/>
    <s v="510 Main St"/>
    <s v="Tokyo"/>
    <s v="TK"/>
    <x v="4"/>
    <n v="4.1900000000000004"/>
    <n v="128"/>
  </r>
  <r>
    <x v="510"/>
    <n v="48"/>
    <x v="0"/>
    <x v="4"/>
    <s v="Project Manager"/>
    <x v="510"/>
    <x v="510"/>
    <d v="2021-01-24T00:00:00"/>
    <s v="555-01001"/>
    <s v="511 Main St"/>
    <s v="New York"/>
    <s v="NK"/>
    <x v="0"/>
    <n v="1.1100000000000001"/>
    <n v="9"/>
  </r>
  <r>
    <x v="511"/>
    <n v="60"/>
    <x v="0"/>
    <x v="2"/>
    <s v="Project Manager"/>
    <x v="511"/>
    <x v="511"/>
    <d v="2005-03-03T00:00:00"/>
    <s v="555-01002"/>
    <s v="512 Main St"/>
    <s v="Paris"/>
    <s v="PA"/>
    <x v="1"/>
    <n v="2.62"/>
    <n v="146"/>
  </r>
  <r>
    <x v="512"/>
    <n v="38"/>
    <x v="0"/>
    <x v="1"/>
    <s v="Project Manager"/>
    <x v="512"/>
    <x v="512"/>
    <d v="2016-09-29T00:00:00"/>
    <s v="555-01003"/>
    <s v="513 Main St"/>
    <s v="London"/>
    <s v="LN"/>
    <x v="2"/>
    <n v="2.4500000000000002"/>
    <n v="25"/>
  </r>
  <r>
    <x v="513"/>
    <n v="62"/>
    <x v="1"/>
    <x v="3"/>
    <s v="Sales Executive"/>
    <x v="513"/>
    <x v="513"/>
    <d v="2003-10-08T00:00:00"/>
    <s v="555-01004"/>
    <s v="514 Main St"/>
    <s v="Dubai"/>
    <s v="DB"/>
    <x v="3"/>
    <n v="3.57"/>
    <n v="7"/>
  </r>
  <r>
    <x v="514"/>
    <n v="22"/>
    <x v="1"/>
    <x v="2"/>
    <s v="Analyst"/>
    <x v="514"/>
    <x v="514"/>
    <d v="2002-08-28T00:00:00"/>
    <s v="555-01005"/>
    <s v="515 Main St"/>
    <s v="Tokyo"/>
    <s v="TK"/>
    <x v="4"/>
    <n v="1.75"/>
    <n v="111"/>
  </r>
  <r>
    <x v="515"/>
    <n v="32"/>
    <x v="1"/>
    <x v="0"/>
    <s v="Project Manager"/>
    <x v="515"/>
    <x v="515"/>
    <d v="2019-06-12T00:00:00"/>
    <s v="555-01006"/>
    <s v="516 Main St"/>
    <s v="New York"/>
    <s v="NK"/>
    <x v="0"/>
    <n v="3.65"/>
    <n v="7"/>
  </r>
  <r>
    <x v="516"/>
    <n v="33"/>
    <x v="1"/>
    <x v="0"/>
    <s v="Project Manager"/>
    <x v="516"/>
    <x v="516"/>
    <d v="2015-01-08T00:00:00"/>
    <s v="555-01007"/>
    <s v="517 Main St"/>
    <s v="Paris"/>
    <s v="PA"/>
    <x v="1"/>
    <n v="2.2200000000000002"/>
    <n v="91"/>
  </r>
  <r>
    <x v="517"/>
    <n v="35"/>
    <x v="1"/>
    <x v="0"/>
    <s v="HR Specialist"/>
    <x v="517"/>
    <x v="517"/>
    <d v="2019-11-05T00:00:00"/>
    <s v="555-01008"/>
    <s v="518 Main St"/>
    <s v="London"/>
    <s v="LN"/>
    <x v="2"/>
    <n v="1.04"/>
    <n v="140"/>
  </r>
  <r>
    <x v="518"/>
    <n v="29"/>
    <x v="1"/>
    <x v="3"/>
    <s v="Project Manager"/>
    <x v="518"/>
    <x v="518"/>
    <d v="2014-10-24T00:00:00"/>
    <s v="555-01009"/>
    <s v="519 Main St"/>
    <s v="Dubai"/>
    <s v="DB"/>
    <x v="3"/>
    <n v="4.95"/>
    <n v="189"/>
  </r>
  <r>
    <x v="519"/>
    <n v="52"/>
    <x v="0"/>
    <x v="0"/>
    <s v="Analyst"/>
    <x v="519"/>
    <x v="519"/>
    <d v="2019-12-16T00:00:00"/>
    <s v="555-01000"/>
    <s v="520 Main St"/>
    <s v="Tokyo"/>
    <s v="TK"/>
    <x v="4"/>
    <n v="4.1399999999999997"/>
    <n v="88"/>
  </r>
  <r>
    <x v="520"/>
    <n v="28"/>
    <x v="0"/>
    <x v="0"/>
    <s v="Software Engineer"/>
    <x v="520"/>
    <x v="520"/>
    <d v="2021-02-06T00:00:00"/>
    <s v="555-01001"/>
    <s v="521 Main St"/>
    <s v="New York"/>
    <s v="NK"/>
    <x v="0"/>
    <n v="4.9400000000000004"/>
    <n v="96"/>
  </r>
  <r>
    <x v="521"/>
    <n v="52"/>
    <x v="1"/>
    <x v="4"/>
    <s v="HR Specialist"/>
    <x v="521"/>
    <x v="521"/>
    <d v="2012-10-25T00:00:00"/>
    <s v="555-01002"/>
    <s v="522 Main St"/>
    <s v="Paris"/>
    <s v="PA"/>
    <x v="1"/>
    <n v="4.8"/>
    <n v="81"/>
  </r>
  <r>
    <x v="522"/>
    <n v="37"/>
    <x v="2"/>
    <x v="1"/>
    <s v="HR Specialist"/>
    <x v="522"/>
    <x v="522"/>
    <d v="2022-03-19T00:00:00"/>
    <s v="555-01003"/>
    <s v="523 Main St"/>
    <s v="London"/>
    <s v="LN"/>
    <x v="2"/>
    <n v="2.91"/>
    <n v="30"/>
  </r>
  <r>
    <x v="523"/>
    <n v="63"/>
    <x v="0"/>
    <x v="1"/>
    <s v="HR Specialist"/>
    <x v="523"/>
    <x v="523"/>
    <d v="2007-07-04T00:00:00"/>
    <s v="555-01004"/>
    <s v="524 Main St"/>
    <s v="Dubai"/>
    <s v="DB"/>
    <x v="3"/>
    <n v="2.19"/>
    <n v="110"/>
  </r>
  <r>
    <x v="524"/>
    <n v="60"/>
    <x v="1"/>
    <x v="3"/>
    <s v="Software Engineer"/>
    <x v="524"/>
    <x v="524"/>
    <d v="2008-05-28T00:00:00"/>
    <s v="555-01005"/>
    <s v="525 Main St"/>
    <s v="Tokyo"/>
    <s v="TK"/>
    <x v="4"/>
    <n v="4.58"/>
    <n v="37"/>
  </r>
  <r>
    <x v="525"/>
    <n v="40"/>
    <x v="0"/>
    <x v="0"/>
    <s v="Sales Executive"/>
    <x v="525"/>
    <x v="525"/>
    <d v="2005-10-01T00:00:00"/>
    <s v="555-01006"/>
    <s v="526 Main St"/>
    <s v="New York"/>
    <s v="NK"/>
    <x v="0"/>
    <n v="1.08"/>
    <n v="90"/>
  </r>
  <r>
    <x v="526"/>
    <n v="29"/>
    <x v="2"/>
    <x v="4"/>
    <s v="Sales Executive"/>
    <x v="526"/>
    <x v="526"/>
    <d v="2014-06-05T00:00:00"/>
    <s v="555-01007"/>
    <s v="527 Main St"/>
    <s v="Paris"/>
    <s v="PA"/>
    <x v="1"/>
    <n v="1.83"/>
    <n v="102"/>
  </r>
  <r>
    <x v="527"/>
    <n v="50"/>
    <x v="0"/>
    <x v="1"/>
    <s v="Software Engineer"/>
    <x v="527"/>
    <x v="527"/>
    <d v="2010-10-19T00:00:00"/>
    <s v="555-01008"/>
    <s v="528 Main St"/>
    <s v="London"/>
    <s v="LN"/>
    <x v="2"/>
    <n v="3.19"/>
    <n v="146"/>
  </r>
  <r>
    <x v="528"/>
    <n v="23"/>
    <x v="0"/>
    <x v="3"/>
    <s v="HR Specialist"/>
    <x v="528"/>
    <x v="528"/>
    <d v="2000-01-29T00:00:00"/>
    <s v="555-01009"/>
    <s v="529 Main St"/>
    <s v="Dubai"/>
    <s v="DB"/>
    <x v="3"/>
    <n v="1.78"/>
    <n v="147"/>
  </r>
  <r>
    <x v="529"/>
    <n v="63"/>
    <x v="0"/>
    <x v="4"/>
    <s v="Analyst"/>
    <x v="529"/>
    <x v="529"/>
    <d v="2003-07-29T00:00:00"/>
    <s v="555-01000"/>
    <s v="530 Main St"/>
    <s v="Tokyo"/>
    <s v="TK"/>
    <x v="4"/>
    <n v="2.5099999999999998"/>
    <n v="174"/>
  </r>
  <r>
    <x v="530"/>
    <n v="24"/>
    <x v="0"/>
    <x v="0"/>
    <s v="Software Engineer"/>
    <x v="530"/>
    <x v="530"/>
    <d v="2020-11-02T00:00:00"/>
    <s v="555-01001"/>
    <s v="531 Main St"/>
    <s v="New York"/>
    <s v="NK"/>
    <x v="0"/>
    <n v="3.38"/>
    <n v="119"/>
  </r>
  <r>
    <x v="531"/>
    <n v="50"/>
    <x v="1"/>
    <x v="3"/>
    <s v="HR Specialist"/>
    <x v="531"/>
    <x v="531"/>
    <d v="2020-12-15T00:00:00"/>
    <s v="555-01002"/>
    <s v="532 Main St"/>
    <s v="Paris"/>
    <s v="PA"/>
    <x v="1"/>
    <n v="4.55"/>
    <n v="151"/>
  </r>
  <r>
    <x v="532"/>
    <n v="36"/>
    <x v="2"/>
    <x v="4"/>
    <s v="HR Specialist"/>
    <x v="532"/>
    <x v="532"/>
    <d v="2007-12-08T00:00:00"/>
    <s v="555-01003"/>
    <s v="533 Main St"/>
    <s v="London"/>
    <s v="LN"/>
    <x v="2"/>
    <n v="4.33"/>
    <n v="60"/>
  </r>
  <r>
    <x v="533"/>
    <n v="59"/>
    <x v="1"/>
    <x v="1"/>
    <s v="Project Manager"/>
    <x v="533"/>
    <x v="533"/>
    <d v="2005-09-19T00:00:00"/>
    <s v="555-01004"/>
    <s v="534 Main St"/>
    <s v="Dubai"/>
    <s v="DB"/>
    <x v="3"/>
    <n v="4.1500000000000004"/>
    <n v="3"/>
  </r>
  <r>
    <x v="534"/>
    <n v="49"/>
    <x v="0"/>
    <x v="2"/>
    <s v="Software Engineer"/>
    <x v="534"/>
    <x v="534"/>
    <d v="2016-02-15T00:00:00"/>
    <s v="555-01005"/>
    <s v="535 Main St"/>
    <s v="Tokyo"/>
    <s v="TK"/>
    <x v="4"/>
    <n v="3.43"/>
    <n v="102"/>
  </r>
  <r>
    <x v="535"/>
    <n v="58"/>
    <x v="0"/>
    <x v="1"/>
    <s v="Sales Executive"/>
    <x v="535"/>
    <x v="535"/>
    <d v="2021-02-27T00:00:00"/>
    <s v="555-01006"/>
    <s v="536 Main St"/>
    <s v="New York"/>
    <s v="NK"/>
    <x v="0"/>
    <n v="4.0999999999999996"/>
    <n v="175"/>
  </r>
  <r>
    <x v="536"/>
    <n v="53"/>
    <x v="0"/>
    <x v="2"/>
    <s v="HR Specialist"/>
    <x v="536"/>
    <x v="536"/>
    <d v="2006-02-14T00:00:00"/>
    <s v="555-01007"/>
    <s v="537 Main St"/>
    <s v="Paris"/>
    <s v="PA"/>
    <x v="1"/>
    <n v="1.65"/>
    <n v="10"/>
  </r>
  <r>
    <x v="537"/>
    <n v="51"/>
    <x v="2"/>
    <x v="3"/>
    <s v="Sales Executive"/>
    <x v="537"/>
    <x v="537"/>
    <d v="2015-02-28T00:00:00"/>
    <s v="555-01008"/>
    <s v="538 Main St"/>
    <s v="London"/>
    <s v="LN"/>
    <x v="2"/>
    <n v="4.34"/>
    <n v="169"/>
  </r>
  <r>
    <x v="538"/>
    <n v="51"/>
    <x v="2"/>
    <x v="4"/>
    <s v="Sales Executive"/>
    <x v="538"/>
    <x v="538"/>
    <d v="2014-05-12T00:00:00"/>
    <s v="555-01009"/>
    <s v="539 Main St"/>
    <s v="Dubai"/>
    <s v="DB"/>
    <x v="3"/>
    <n v="2.23"/>
    <n v="179"/>
  </r>
  <r>
    <x v="539"/>
    <n v="55"/>
    <x v="1"/>
    <x v="4"/>
    <s v="Project Manager"/>
    <x v="539"/>
    <x v="539"/>
    <d v="2008-03-02T00:00:00"/>
    <s v="555-01000"/>
    <s v="540 Main St"/>
    <s v="Tokyo"/>
    <s v="TK"/>
    <x v="4"/>
    <n v="1.67"/>
    <n v="194"/>
  </r>
  <r>
    <x v="540"/>
    <n v="34"/>
    <x v="0"/>
    <x v="4"/>
    <s v="Project Manager"/>
    <x v="540"/>
    <x v="540"/>
    <d v="2001-02-15T00:00:00"/>
    <s v="555-01001"/>
    <s v="541 Main St"/>
    <s v="New York"/>
    <s v="NK"/>
    <x v="0"/>
    <n v="2.56"/>
    <n v="156"/>
  </r>
  <r>
    <x v="541"/>
    <n v="54"/>
    <x v="2"/>
    <x v="0"/>
    <s v="Software Engineer"/>
    <x v="541"/>
    <x v="541"/>
    <d v="2001-12-25T00:00:00"/>
    <s v="555-01002"/>
    <s v="542 Main St"/>
    <s v="Paris"/>
    <s v="PA"/>
    <x v="1"/>
    <n v="1.38"/>
    <n v="173"/>
  </r>
  <r>
    <x v="542"/>
    <n v="63"/>
    <x v="0"/>
    <x v="1"/>
    <s v="Software Engineer"/>
    <x v="542"/>
    <x v="542"/>
    <d v="2004-08-16T00:00:00"/>
    <s v="555-01003"/>
    <s v="543 Main St"/>
    <s v="London"/>
    <s v="LN"/>
    <x v="2"/>
    <n v="4.4800000000000004"/>
    <n v="174"/>
  </r>
  <r>
    <x v="543"/>
    <n v="38"/>
    <x v="1"/>
    <x v="2"/>
    <s v="HR Specialist"/>
    <x v="543"/>
    <x v="543"/>
    <d v="2003-09-22T00:00:00"/>
    <s v="555-01004"/>
    <s v="544 Main St"/>
    <s v="Dubai"/>
    <s v="DB"/>
    <x v="3"/>
    <n v="2.36"/>
    <n v="77"/>
  </r>
  <r>
    <x v="544"/>
    <n v="24"/>
    <x v="1"/>
    <x v="0"/>
    <s v="Analyst"/>
    <x v="544"/>
    <x v="544"/>
    <d v="2018-09-23T00:00:00"/>
    <s v="555-01005"/>
    <s v="545 Main St"/>
    <s v="Tokyo"/>
    <s v="TK"/>
    <x v="4"/>
    <n v="1.63"/>
    <n v="7"/>
  </r>
  <r>
    <x v="545"/>
    <n v="30"/>
    <x v="2"/>
    <x v="3"/>
    <s v="HR Specialist"/>
    <x v="545"/>
    <x v="545"/>
    <d v="2020-02-06T00:00:00"/>
    <s v="555-01006"/>
    <s v="546 Main St"/>
    <s v="New York"/>
    <s v="NK"/>
    <x v="0"/>
    <n v="4.6500000000000004"/>
    <n v="112"/>
  </r>
  <r>
    <x v="546"/>
    <n v="32"/>
    <x v="1"/>
    <x v="3"/>
    <s v="Sales Executive"/>
    <x v="546"/>
    <x v="546"/>
    <d v="2018-05-31T00:00:00"/>
    <s v="555-01007"/>
    <s v="547 Main St"/>
    <s v="Paris"/>
    <s v="PA"/>
    <x v="1"/>
    <n v="1.4"/>
    <n v="84"/>
  </r>
  <r>
    <x v="547"/>
    <n v="48"/>
    <x v="2"/>
    <x v="0"/>
    <s v="Software Engineer"/>
    <x v="547"/>
    <x v="547"/>
    <d v="2010-07-09T00:00:00"/>
    <s v="555-01008"/>
    <s v="548 Main St"/>
    <s v="London"/>
    <s v="LN"/>
    <x v="2"/>
    <n v="4.21"/>
    <n v="53"/>
  </r>
  <r>
    <x v="548"/>
    <n v="49"/>
    <x v="0"/>
    <x v="2"/>
    <s v="Software Engineer"/>
    <x v="548"/>
    <x v="548"/>
    <d v="2018-09-10T00:00:00"/>
    <s v="555-01009"/>
    <s v="549 Main St"/>
    <s v="Dubai"/>
    <s v="DB"/>
    <x v="3"/>
    <n v="4.17"/>
    <n v="41"/>
  </r>
  <r>
    <x v="549"/>
    <n v="23"/>
    <x v="2"/>
    <x v="3"/>
    <s v="Software Engineer"/>
    <x v="549"/>
    <x v="549"/>
    <d v="2010-01-30T00:00:00"/>
    <s v="555-01000"/>
    <s v="550 Main St"/>
    <s v="Tokyo"/>
    <s v="TK"/>
    <x v="4"/>
    <n v="4.4800000000000004"/>
    <n v="176"/>
  </r>
  <r>
    <x v="550"/>
    <n v="22"/>
    <x v="1"/>
    <x v="1"/>
    <s v="Software Engineer"/>
    <x v="550"/>
    <x v="550"/>
    <d v="2022-08-08T00:00:00"/>
    <s v="555-01001"/>
    <s v="551 Main St"/>
    <s v="New York"/>
    <s v="NK"/>
    <x v="0"/>
    <n v="2.04"/>
    <n v="114"/>
  </r>
  <r>
    <x v="551"/>
    <n v="27"/>
    <x v="0"/>
    <x v="3"/>
    <s v="Analyst"/>
    <x v="551"/>
    <x v="551"/>
    <d v="2000-09-05T00:00:00"/>
    <s v="555-01002"/>
    <s v="552 Main St"/>
    <s v="Paris"/>
    <s v="PA"/>
    <x v="1"/>
    <n v="4.91"/>
    <n v="160"/>
  </r>
  <r>
    <x v="552"/>
    <n v="46"/>
    <x v="1"/>
    <x v="2"/>
    <s v="HR Specialist"/>
    <x v="552"/>
    <x v="552"/>
    <d v="2002-09-09T00:00:00"/>
    <s v="555-01003"/>
    <s v="553 Main St"/>
    <s v="London"/>
    <s v="LN"/>
    <x v="2"/>
    <n v="2.78"/>
    <n v="192"/>
  </r>
  <r>
    <x v="553"/>
    <n v="56"/>
    <x v="0"/>
    <x v="1"/>
    <s v="Software Engineer"/>
    <x v="553"/>
    <x v="553"/>
    <d v="2001-11-05T00:00:00"/>
    <s v="555-01004"/>
    <s v="554 Main St"/>
    <s v="Dubai"/>
    <s v="DB"/>
    <x v="3"/>
    <n v="3.16"/>
    <n v="195"/>
  </r>
  <r>
    <x v="554"/>
    <n v="37"/>
    <x v="0"/>
    <x v="0"/>
    <s v="Analyst"/>
    <x v="554"/>
    <x v="554"/>
    <d v="2007-02-28T00:00:00"/>
    <s v="555-01005"/>
    <s v="555 Main St"/>
    <s v="Tokyo"/>
    <s v="TK"/>
    <x v="4"/>
    <n v="1.96"/>
    <n v="79"/>
  </r>
  <r>
    <x v="555"/>
    <n v="25"/>
    <x v="0"/>
    <x v="2"/>
    <s v="Project Manager"/>
    <x v="555"/>
    <x v="555"/>
    <d v="2019-05-21T00:00:00"/>
    <s v="555-01006"/>
    <s v="556 Main St"/>
    <s v="New York"/>
    <s v="NK"/>
    <x v="0"/>
    <n v="4.4800000000000004"/>
    <n v="13"/>
  </r>
  <r>
    <x v="556"/>
    <n v="59"/>
    <x v="0"/>
    <x v="1"/>
    <s v="Analyst"/>
    <x v="556"/>
    <x v="556"/>
    <d v="2022-08-28T00:00:00"/>
    <s v="555-01007"/>
    <s v="557 Main St"/>
    <s v="Paris"/>
    <s v="PA"/>
    <x v="1"/>
    <n v="2.4900000000000002"/>
    <n v="73"/>
  </r>
  <r>
    <x v="557"/>
    <n v="41"/>
    <x v="1"/>
    <x v="1"/>
    <s v="Software Engineer"/>
    <x v="557"/>
    <x v="557"/>
    <d v="2004-03-08T00:00:00"/>
    <s v="555-01008"/>
    <s v="558 Main St"/>
    <s v="London"/>
    <s v="LN"/>
    <x v="2"/>
    <n v="4.7699999999999996"/>
    <n v="25"/>
  </r>
  <r>
    <x v="558"/>
    <n v="46"/>
    <x v="2"/>
    <x v="1"/>
    <s v="Software Engineer"/>
    <x v="558"/>
    <x v="558"/>
    <d v="2010-04-28T00:00:00"/>
    <s v="555-01009"/>
    <s v="559 Main St"/>
    <s v="Dubai"/>
    <s v="DB"/>
    <x v="3"/>
    <n v="1.36"/>
    <n v="116"/>
  </r>
  <r>
    <x v="559"/>
    <n v="28"/>
    <x v="0"/>
    <x v="2"/>
    <s v="Analyst"/>
    <x v="559"/>
    <x v="559"/>
    <d v="2019-01-29T00:00:00"/>
    <s v="555-01000"/>
    <s v="560 Main St"/>
    <s v="Tokyo"/>
    <s v="TK"/>
    <x v="4"/>
    <n v="3.48"/>
    <n v="14"/>
  </r>
  <r>
    <x v="560"/>
    <n v="42"/>
    <x v="1"/>
    <x v="4"/>
    <s v="Software Engineer"/>
    <x v="560"/>
    <x v="560"/>
    <d v="2008-05-18T00:00:00"/>
    <s v="555-01001"/>
    <s v="561 Main St"/>
    <s v="New York"/>
    <s v="NK"/>
    <x v="0"/>
    <n v="2.27"/>
    <n v="138"/>
  </r>
  <r>
    <x v="561"/>
    <n v="28"/>
    <x v="1"/>
    <x v="3"/>
    <s v="Software Engineer"/>
    <x v="561"/>
    <x v="561"/>
    <d v="2005-08-08T00:00:00"/>
    <s v="555-01002"/>
    <s v="562 Main St"/>
    <s v="Paris"/>
    <s v="PA"/>
    <x v="1"/>
    <n v="3.61"/>
    <n v="103"/>
  </r>
  <r>
    <x v="562"/>
    <n v="50"/>
    <x v="1"/>
    <x v="4"/>
    <s v="Analyst"/>
    <x v="562"/>
    <x v="562"/>
    <d v="2002-07-24T00:00:00"/>
    <s v="555-01003"/>
    <s v="563 Main St"/>
    <s v="London"/>
    <s v="LN"/>
    <x v="2"/>
    <n v="4.91"/>
    <n v="74"/>
  </r>
  <r>
    <x v="563"/>
    <n v="28"/>
    <x v="2"/>
    <x v="3"/>
    <s v="HR Specialist"/>
    <x v="563"/>
    <x v="563"/>
    <d v="2007-03-18T00:00:00"/>
    <s v="555-01004"/>
    <s v="564 Main St"/>
    <s v="Dubai"/>
    <s v="DB"/>
    <x v="3"/>
    <n v="1.9"/>
    <n v="170"/>
  </r>
  <r>
    <x v="564"/>
    <n v="24"/>
    <x v="1"/>
    <x v="2"/>
    <s v="Sales Executive"/>
    <x v="564"/>
    <x v="564"/>
    <d v="2013-12-18T00:00:00"/>
    <s v="555-01005"/>
    <s v="565 Main St"/>
    <s v="Tokyo"/>
    <s v="TK"/>
    <x v="4"/>
    <n v="4.87"/>
    <n v="111"/>
  </r>
  <r>
    <x v="565"/>
    <n v="50"/>
    <x v="1"/>
    <x v="3"/>
    <s v="HR Specialist"/>
    <x v="565"/>
    <x v="565"/>
    <d v="2012-10-14T00:00:00"/>
    <s v="555-01006"/>
    <s v="566 Main St"/>
    <s v="New York"/>
    <s v="NK"/>
    <x v="0"/>
    <n v="1.27"/>
    <n v="100"/>
  </r>
  <r>
    <x v="566"/>
    <n v="50"/>
    <x v="2"/>
    <x v="2"/>
    <s v="Analyst"/>
    <x v="566"/>
    <x v="566"/>
    <d v="2021-12-14T00:00:00"/>
    <s v="555-01007"/>
    <s v="567 Main St"/>
    <s v="Paris"/>
    <s v="PA"/>
    <x v="1"/>
    <n v="4.8099999999999996"/>
    <n v="67"/>
  </r>
  <r>
    <x v="567"/>
    <n v="60"/>
    <x v="1"/>
    <x v="1"/>
    <s v="Software Engineer"/>
    <x v="567"/>
    <x v="567"/>
    <d v="2019-01-20T00:00:00"/>
    <s v="555-01008"/>
    <s v="568 Main St"/>
    <s v="London"/>
    <s v="LN"/>
    <x v="2"/>
    <n v="3.77"/>
    <n v="58"/>
  </r>
  <r>
    <x v="568"/>
    <n v="59"/>
    <x v="1"/>
    <x v="0"/>
    <s v="HR Specialist"/>
    <x v="568"/>
    <x v="568"/>
    <d v="2010-08-25T00:00:00"/>
    <s v="555-01009"/>
    <s v="569 Main St"/>
    <s v="Dubai"/>
    <s v="DB"/>
    <x v="3"/>
    <n v="1.04"/>
    <n v="41"/>
  </r>
  <r>
    <x v="569"/>
    <n v="27"/>
    <x v="2"/>
    <x v="4"/>
    <s v="Analyst"/>
    <x v="569"/>
    <x v="569"/>
    <d v="2014-11-17T00:00:00"/>
    <s v="555-01000"/>
    <s v="570 Main St"/>
    <s v="Tokyo"/>
    <s v="TK"/>
    <x v="4"/>
    <n v="3.96"/>
    <n v="88"/>
  </r>
  <r>
    <x v="570"/>
    <n v="31"/>
    <x v="2"/>
    <x v="4"/>
    <s v="Analyst"/>
    <x v="570"/>
    <x v="570"/>
    <d v="2009-01-03T00:00:00"/>
    <s v="555-01001"/>
    <s v="571 Main St"/>
    <s v="New York"/>
    <s v="NK"/>
    <x v="0"/>
    <n v="1.88"/>
    <n v="183"/>
  </r>
  <r>
    <x v="571"/>
    <n v="58"/>
    <x v="2"/>
    <x v="2"/>
    <s v="Project Manager"/>
    <x v="571"/>
    <x v="571"/>
    <d v="2002-04-29T00:00:00"/>
    <s v="555-01002"/>
    <s v="572 Main St"/>
    <s v="Paris"/>
    <s v="PA"/>
    <x v="1"/>
    <n v="3.95"/>
    <n v="101"/>
  </r>
  <r>
    <x v="572"/>
    <n v="35"/>
    <x v="0"/>
    <x v="3"/>
    <s v="Software Engineer"/>
    <x v="572"/>
    <x v="572"/>
    <d v="2003-06-19T00:00:00"/>
    <s v="555-01003"/>
    <s v="573 Main St"/>
    <s v="London"/>
    <s v="LN"/>
    <x v="2"/>
    <n v="2.36"/>
    <n v="99"/>
  </r>
  <r>
    <x v="573"/>
    <n v="43"/>
    <x v="2"/>
    <x v="3"/>
    <s v="Project Manager"/>
    <x v="573"/>
    <x v="573"/>
    <d v="2001-04-18T00:00:00"/>
    <s v="555-01004"/>
    <s v="574 Main St"/>
    <s v="Dubai"/>
    <s v="DB"/>
    <x v="3"/>
    <n v="4.83"/>
    <n v="113"/>
  </r>
  <r>
    <x v="574"/>
    <n v="53"/>
    <x v="0"/>
    <x v="0"/>
    <s v="Sales Executive"/>
    <x v="574"/>
    <x v="574"/>
    <d v="2021-09-07T00:00:00"/>
    <s v="555-01005"/>
    <s v="575 Main St"/>
    <s v="Tokyo"/>
    <s v="TK"/>
    <x v="4"/>
    <n v="3.4"/>
    <n v="14"/>
  </r>
  <r>
    <x v="575"/>
    <n v="39"/>
    <x v="0"/>
    <x v="1"/>
    <s v="Analyst"/>
    <x v="575"/>
    <x v="575"/>
    <d v="2008-03-10T00:00:00"/>
    <s v="555-01006"/>
    <s v="576 Main St"/>
    <s v="New York"/>
    <s v="NK"/>
    <x v="0"/>
    <n v="3.91"/>
    <n v="37"/>
  </r>
  <r>
    <x v="576"/>
    <n v="57"/>
    <x v="2"/>
    <x v="3"/>
    <s v="Analyst"/>
    <x v="576"/>
    <x v="576"/>
    <d v="2004-05-07T00:00:00"/>
    <s v="555-01007"/>
    <s v="577 Main St"/>
    <s v="Paris"/>
    <s v="PA"/>
    <x v="1"/>
    <n v="1.79"/>
    <n v="75"/>
  </r>
  <r>
    <x v="577"/>
    <n v="30"/>
    <x v="0"/>
    <x v="3"/>
    <s v="Software Engineer"/>
    <x v="577"/>
    <x v="577"/>
    <d v="2004-02-21T00:00:00"/>
    <s v="555-01008"/>
    <s v="578 Main St"/>
    <s v="London"/>
    <s v="LN"/>
    <x v="2"/>
    <n v="3.66"/>
    <n v="80"/>
  </r>
  <r>
    <x v="578"/>
    <n v="47"/>
    <x v="1"/>
    <x v="1"/>
    <s v="Project Manager"/>
    <x v="578"/>
    <x v="578"/>
    <d v="2015-12-28T00:00:00"/>
    <s v="555-01009"/>
    <s v="579 Main St"/>
    <s v="Dubai"/>
    <s v="DB"/>
    <x v="3"/>
    <n v="3.56"/>
    <n v="43"/>
  </r>
  <r>
    <x v="579"/>
    <n v="43"/>
    <x v="1"/>
    <x v="0"/>
    <s v="Project Manager"/>
    <x v="579"/>
    <x v="579"/>
    <d v="2015-04-03T00:00:00"/>
    <s v="555-01000"/>
    <s v="580 Main St"/>
    <s v="Tokyo"/>
    <s v="TK"/>
    <x v="4"/>
    <n v="4.66"/>
    <n v="167"/>
  </r>
  <r>
    <x v="580"/>
    <n v="59"/>
    <x v="2"/>
    <x v="3"/>
    <s v="Software Engineer"/>
    <x v="580"/>
    <x v="580"/>
    <d v="2001-02-07T00:00:00"/>
    <s v="555-01001"/>
    <s v="581 Main St"/>
    <s v="New York"/>
    <s v="NK"/>
    <x v="0"/>
    <n v="1.43"/>
    <n v="95"/>
  </r>
  <r>
    <x v="581"/>
    <n v="44"/>
    <x v="0"/>
    <x v="2"/>
    <s v="Project Manager"/>
    <x v="581"/>
    <x v="581"/>
    <d v="2003-10-22T00:00:00"/>
    <s v="555-01002"/>
    <s v="582 Main St"/>
    <s v="Paris"/>
    <s v="PA"/>
    <x v="1"/>
    <n v="2.82"/>
    <n v="172"/>
  </r>
  <r>
    <x v="582"/>
    <n v="38"/>
    <x v="1"/>
    <x v="1"/>
    <s v="Software Engineer"/>
    <x v="582"/>
    <x v="582"/>
    <d v="2002-07-20T00:00:00"/>
    <s v="555-01003"/>
    <s v="583 Main St"/>
    <s v="London"/>
    <s v="LN"/>
    <x v="2"/>
    <n v="3.25"/>
    <n v="22"/>
  </r>
  <r>
    <x v="583"/>
    <n v="47"/>
    <x v="0"/>
    <x v="3"/>
    <s v="Project Manager"/>
    <x v="583"/>
    <x v="583"/>
    <d v="2020-03-29T00:00:00"/>
    <s v="555-01004"/>
    <s v="584 Main St"/>
    <s v="Dubai"/>
    <s v="DB"/>
    <x v="3"/>
    <n v="3.31"/>
    <n v="68"/>
  </r>
  <r>
    <x v="584"/>
    <n v="59"/>
    <x v="0"/>
    <x v="0"/>
    <s v="Software Engineer"/>
    <x v="584"/>
    <x v="584"/>
    <d v="2012-06-09T00:00:00"/>
    <s v="555-01005"/>
    <s v="585 Main St"/>
    <s v="Tokyo"/>
    <s v="TK"/>
    <x v="4"/>
    <n v="4.42"/>
    <n v="19"/>
  </r>
  <r>
    <x v="585"/>
    <n v="23"/>
    <x v="1"/>
    <x v="4"/>
    <s v="Sales Executive"/>
    <x v="585"/>
    <x v="585"/>
    <d v="2016-07-28T00:00:00"/>
    <s v="555-01006"/>
    <s v="586 Main St"/>
    <s v="New York"/>
    <s v="NK"/>
    <x v="0"/>
    <n v="2.04"/>
    <n v="146"/>
  </r>
  <r>
    <x v="586"/>
    <n v="27"/>
    <x v="2"/>
    <x v="2"/>
    <s v="Software Engineer"/>
    <x v="586"/>
    <x v="586"/>
    <d v="2011-03-07T00:00:00"/>
    <s v="555-01007"/>
    <s v="587 Main St"/>
    <s v="Paris"/>
    <s v="PA"/>
    <x v="1"/>
    <n v="2.6"/>
    <n v="95"/>
  </r>
  <r>
    <x v="587"/>
    <n v="28"/>
    <x v="0"/>
    <x v="2"/>
    <s v="Software Engineer"/>
    <x v="587"/>
    <x v="587"/>
    <d v="2016-10-13T00:00:00"/>
    <s v="555-01008"/>
    <s v="588 Main St"/>
    <s v="London"/>
    <s v="LN"/>
    <x v="2"/>
    <n v="1.69"/>
    <n v="187"/>
  </r>
  <r>
    <x v="588"/>
    <n v="34"/>
    <x v="1"/>
    <x v="2"/>
    <s v="Project Manager"/>
    <x v="588"/>
    <x v="588"/>
    <d v="2017-03-11T00:00:00"/>
    <s v="555-01009"/>
    <s v="589 Main St"/>
    <s v="Dubai"/>
    <s v="DB"/>
    <x v="3"/>
    <n v="3.39"/>
    <n v="167"/>
  </r>
  <r>
    <x v="589"/>
    <n v="48"/>
    <x v="2"/>
    <x v="2"/>
    <s v="Project Manager"/>
    <x v="589"/>
    <x v="589"/>
    <d v="2004-11-28T00:00:00"/>
    <s v="555-01000"/>
    <s v="590 Main St"/>
    <s v="Tokyo"/>
    <s v="TK"/>
    <x v="4"/>
    <n v="4.49"/>
    <n v="85"/>
  </r>
  <r>
    <x v="590"/>
    <n v="32"/>
    <x v="0"/>
    <x v="4"/>
    <s v="Software Engineer"/>
    <x v="590"/>
    <x v="590"/>
    <d v="2002-01-16T00:00:00"/>
    <s v="555-01001"/>
    <s v="591 Main St"/>
    <s v="New York"/>
    <s v="NK"/>
    <x v="0"/>
    <n v="2.91"/>
    <n v="46"/>
  </r>
  <r>
    <x v="591"/>
    <n v="36"/>
    <x v="0"/>
    <x v="4"/>
    <s v="Software Engineer"/>
    <x v="591"/>
    <x v="591"/>
    <d v="2005-04-06T00:00:00"/>
    <s v="555-01002"/>
    <s v="592 Main St"/>
    <s v="Paris"/>
    <s v="PA"/>
    <x v="1"/>
    <n v="1.36"/>
    <n v="178"/>
  </r>
  <r>
    <x v="592"/>
    <n v="30"/>
    <x v="0"/>
    <x v="4"/>
    <s v="Project Manager"/>
    <x v="592"/>
    <x v="592"/>
    <d v="2003-01-21T00:00:00"/>
    <s v="555-01003"/>
    <s v="593 Main St"/>
    <s v="London"/>
    <s v="LN"/>
    <x v="2"/>
    <n v="1.74"/>
    <n v="33"/>
  </r>
  <r>
    <x v="593"/>
    <n v="29"/>
    <x v="0"/>
    <x v="4"/>
    <s v="Analyst"/>
    <x v="593"/>
    <x v="593"/>
    <d v="2021-08-27T00:00:00"/>
    <s v="555-01004"/>
    <s v="594 Main St"/>
    <s v="Dubai"/>
    <s v="DB"/>
    <x v="3"/>
    <n v="1.97"/>
    <n v="115"/>
  </r>
  <r>
    <x v="594"/>
    <n v="27"/>
    <x v="2"/>
    <x v="0"/>
    <s v="HR Specialist"/>
    <x v="594"/>
    <x v="594"/>
    <d v="2016-05-30T00:00:00"/>
    <s v="555-01005"/>
    <s v="595 Main St"/>
    <s v="Tokyo"/>
    <s v="TK"/>
    <x v="4"/>
    <n v="2.44"/>
    <n v="62"/>
  </r>
  <r>
    <x v="595"/>
    <n v="64"/>
    <x v="0"/>
    <x v="3"/>
    <s v="Sales Executive"/>
    <x v="595"/>
    <x v="595"/>
    <d v="2016-04-24T00:00:00"/>
    <s v="555-01006"/>
    <s v="596 Main St"/>
    <s v="New York"/>
    <s v="NK"/>
    <x v="0"/>
    <n v="4.57"/>
    <n v="5"/>
  </r>
  <r>
    <x v="596"/>
    <n v="25"/>
    <x v="1"/>
    <x v="4"/>
    <s v="Software Engineer"/>
    <x v="596"/>
    <x v="596"/>
    <d v="2010-06-17T00:00:00"/>
    <s v="555-01007"/>
    <s v="597 Main St"/>
    <s v="Paris"/>
    <s v="PA"/>
    <x v="1"/>
    <n v="2.38"/>
    <n v="36"/>
  </r>
  <r>
    <x v="597"/>
    <n v="32"/>
    <x v="1"/>
    <x v="4"/>
    <s v="Project Manager"/>
    <x v="597"/>
    <x v="597"/>
    <d v="2016-09-05T00:00:00"/>
    <s v="555-01008"/>
    <s v="598 Main St"/>
    <s v="London"/>
    <s v="LN"/>
    <x v="2"/>
    <n v="1.17"/>
    <n v="180"/>
  </r>
  <r>
    <x v="598"/>
    <n v="49"/>
    <x v="1"/>
    <x v="0"/>
    <s v="HR Specialist"/>
    <x v="598"/>
    <x v="598"/>
    <d v="2015-09-27T00:00:00"/>
    <s v="555-01009"/>
    <s v="599 Main St"/>
    <s v="Dubai"/>
    <s v="DB"/>
    <x v="3"/>
    <n v="2.2799999999999998"/>
    <n v="132"/>
  </r>
  <r>
    <x v="599"/>
    <n v="47"/>
    <x v="2"/>
    <x v="1"/>
    <s v="Software Engineer"/>
    <x v="599"/>
    <x v="599"/>
    <d v="2001-09-15T00:00:00"/>
    <s v="555-01000"/>
    <s v="600 Main St"/>
    <s v="Tokyo"/>
    <s v="TK"/>
    <x v="4"/>
    <n v="4"/>
    <n v="168"/>
  </r>
  <r>
    <x v="600"/>
    <n v="25"/>
    <x v="1"/>
    <x v="0"/>
    <s v="Project Manager"/>
    <x v="600"/>
    <x v="600"/>
    <d v="2014-10-12T00:00:00"/>
    <s v="555-01001"/>
    <s v="601 Main St"/>
    <s v="New York"/>
    <s v="NK"/>
    <x v="0"/>
    <n v="1.75"/>
    <n v="181"/>
  </r>
  <r>
    <x v="601"/>
    <n v="36"/>
    <x v="0"/>
    <x v="1"/>
    <s v="Project Manager"/>
    <x v="601"/>
    <x v="601"/>
    <d v="2012-03-08T00:00:00"/>
    <s v="555-01002"/>
    <s v="602 Main St"/>
    <s v="Paris"/>
    <s v="PA"/>
    <x v="1"/>
    <n v="3.02"/>
    <n v="156"/>
  </r>
  <r>
    <x v="602"/>
    <n v="40"/>
    <x v="0"/>
    <x v="2"/>
    <s v="Analyst"/>
    <x v="602"/>
    <x v="602"/>
    <d v="2010-03-16T00:00:00"/>
    <s v="555-01003"/>
    <s v="603 Main St"/>
    <s v="London"/>
    <s v="LN"/>
    <x v="2"/>
    <n v="3.39"/>
    <n v="150"/>
  </r>
  <r>
    <x v="603"/>
    <n v="27"/>
    <x v="1"/>
    <x v="0"/>
    <s v="Software Engineer"/>
    <x v="603"/>
    <x v="603"/>
    <d v="2003-07-01T00:00:00"/>
    <s v="555-01004"/>
    <s v="604 Main St"/>
    <s v="Dubai"/>
    <s v="DB"/>
    <x v="3"/>
    <n v="4.4000000000000004"/>
    <n v="59"/>
  </r>
  <r>
    <x v="604"/>
    <n v="26"/>
    <x v="2"/>
    <x v="2"/>
    <s v="HR Specialist"/>
    <x v="604"/>
    <x v="604"/>
    <d v="2013-01-16T00:00:00"/>
    <s v="555-01005"/>
    <s v="605 Main St"/>
    <s v="Tokyo"/>
    <s v="TK"/>
    <x v="4"/>
    <n v="4.5199999999999996"/>
    <n v="22"/>
  </r>
  <r>
    <x v="605"/>
    <n v="39"/>
    <x v="2"/>
    <x v="1"/>
    <s v="Sales Executive"/>
    <x v="605"/>
    <x v="605"/>
    <d v="2004-08-15T00:00:00"/>
    <s v="555-01006"/>
    <s v="606 Main St"/>
    <s v="New York"/>
    <s v="NK"/>
    <x v="0"/>
    <n v="2.19"/>
    <n v="19"/>
  </r>
  <r>
    <x v="606"/>
    <n v="27"/>
    <x v="0"/>
    <x v="0"/>
    <s v="Analyst"/>
    <x v="606"/>
    <x v="606"/>
    <d v="2013-06-19T00:00:00"/>
    <s v="555-01007"/>
    <s v="607 Main St"/>
    <s v="Paris"/>
    <s v="PA"/>
    <x v="1"/>
    <n v="4.6500000000000004"/>
    <n v="24"/>
  </r>
  <r>
    <x v="607"/>
    <n v="52"/>
    <x v="0"/>
    <x v="1"/>
    <s v="Sales Executive"/>
    <x v="607"/>
    <x v="607"/>
    <d v="2006-10-19T00:00:00"/>
    <s v="555-01008"/>
    <s v="608 Main St"/>
    <s v="London"/>
    <s v="LN"/>
    <x v="2"/>
    <n v="4.0599999999999996"/>
    <n v="128"/>
  </r>
  <r>
    <x v="608"/>
    <n v="46"/>
    <x v="1"/>
    <x v="1"/>
    <s v="Software Engineer"/>
    <x v="608"/>
    <x v="608"/>
    <d v="2019-02-17T00:00:00"/>
    <s v="555-01009"/>
    <s v="609 Main St"/>
    <s v="Dubai"/>
    <s v="DB"/>
    <x v="3"/>
    <n v="2.36"/>
    <n v="154"/>
  </r>
  <r>
    <x v="609"/>
    <n v="25"/>
    <x v="2"/>
    <x v="2"/>
    <s v="HR Specialist"/>
    <x v="609"/>
    <x v="609"/>
    <d v="2019-01-14T00:00:00"/>
    <s v="555-01000"/>
    <s v="610 Main St"/>
    <s v="Tokyo"/>
    <s v="TK"/>
    <x v="4"/>
    <n v="4.49"/>
    <n v="55"/>
  </r>
  <r>
    <x v="610"/>
    <n v="27"/>
    <x v="1"/>
    <x v="1"/>
    <s v="HR Specialist"/>
    <x v="610"/>
    <x v="610"/>
    <d v="2005-08-07T00:00:00"/>
    <s v="555-01001"/>
    <s v="611 Main St"/>
    <s v="New York"/>
    <s v="NK"/>
    <x v="0"/>
    <n v="1"/>
    <n v="33"/>
  </r>
  <r>
    <x v="611"/>
    <n v="62"/>
    <x v="0"/>
    <x v="3"/>
    <s v="HR Specialist"/>
    <x v="611"/>
    <x v="611"/>
    <d v="2021-09-30T00:00:00"/>
    <s v="555-01002"/>
    <s v="612 Main St"/>
    <s v="Paris"/>
    <s v="PA"/>
    <x v="1"/>
    <n v="1.6"/>
    <n v="25"/>
  </r>
  <r>
    <x v="612"/>
    <n v="58"/>
    <x v="0"/>
    <x v="4"/>
    <s v="Project Manager"/>
    <x v="612"/>
    <x v="612"/>
    <d v="2002-10-05T00:00:00"/>
    <s v="555-01003"/>
    <s v="613 Main St"/>
    <s v="London"/>
    <s v="LN"/>
    <x v="2"/>
    <n v="2.79"/>
    <n v="5"/>
  </r>
  <r>
    <x v="613"/>
    <n v="46"/>
    <x v="1"/>
    <x v="0"/>
    <s v="HR Specialist"/>
    <x v="613"/>
    <x v="613"/>
    <d v="2014-09-27T00:00:00"/>
    <s v="555-01004"/>
    <s v="614 Main St"/>
    <s v="Dubai"/>
    <s v="DB"/>
    <x v="3"/>
    <n v="1.37"/>
    <n v="127"/>
  </r>
  <r>
    <x v="614"/>
    <n v="55"/>
    <x v="2"/>
    <x v="2"/>
    <s v="Project Manager"/>
    <x v="614"/>
    <x v="614"/>
    <d v="2017-11-12T00:00:00"/>
    <s v="555-01005"/>
    <s v="615 Main St"/>
    <s v="Tokyo"/>
    <s v="TK"/>
    <x v="4"/>
    <n v="1.46"/>
    <n v="81"/>
  </r>
  <r>
    <x v="615"/>
    <n v="40"/>
    <x v="0"/>
    <x v="4"/>
    <s v="HR Specialist"/>
    <x v="615"/>
    <x v="615"/>
    <d v="2001-02-22T00:00:00"/>
    <s v="555-01006"/>
    <s v="616 Main St"/>
    <s v="New York"/>
    <s v="NK"/>
    <x v="0"/>
    <n v="2.75"/>
    <n v="106"/>
  </r>
  <r>
    <x v="616"/>
    <n v="55"/>
    <x v="0"/>
    <x v="2"/>
    <s v="Sales Executive"/>
    <x v="616"/>
    <x v="616"/>
    <d v="2006-08-15T00:00:00"/>
    <s v="555-01007"/>
    <s v="617 Main St"/>
    <s v="Paris"/>
    <s v="PA"/>
    <x v="1"/>
    <n v="3.97"/>
    <n v="5"/>
  </r>
  <r>
    <x v="617"/>
    <n v="36"/>
    <x v="2"/>
    <x v="3"/>
    <s v="Sales Executive"/>
    <x v="617"/>
    <x v="617"/>
    <d v="2003-10-13T00:00:00"/>
    <s v="555-01008"/>
    <s v="618 Main St"/>
    <s v="London"/>
    <s v="LN"/>
    <x v="2"/>
    <n v="1.6"/>
    <n v="90"/>
  </r>
  <r>
    <x v="618"/>
    <n v="29"/>
    <x v="0"/>
    <x v="4"/>
    <s v="HR Specialist"/>
    <x v="618"/>
    <x v="618"/>
    <d v="2016-01-09T00:00:00"/>
    <s v="555-01009"/>
    <s v="619 Main St"/>
    <s v="Dubai"/>
    <s v="DB"/>
    <x v="3"/>
    <n v="4.5"/>
    <n v="41"/>
  </r>
  <r>
    <x v="619"/>
    <n v="55"/>
    <x v="2"/>
    <x v="0"/>
    <s v="HR Specialist"/>
    <x v="619"/>
    <x v="619"/>
    <d v="2004-07-20T00:00:00"/>
    <s v="555-01000"/>
    <s v="620 Main St"/>
    <s v="Tokyo"/>
    <s v="TK"/>
    <x v="4"/>
    <n v="3.6"/>
    <n v="78"/>
  </r>
  <r>
    <x v="620"/>
    <n v="39"/>
    <x v="2"/>
    <x v="1"/>
    <s v="Project Manager"/>
    <x v="620"/>
    <x v="620"/>
    <d v="2004-05-23T00:00:00"/>
    <s v="555-01001"/>
    <s v="621 Main St"/>
    <s v="New York"/>
    <s v="NK"/>
    <x v="0"/>
    <n v="4.63"/>
    <n v="144"/>
  </r>
  <r>
    <x v="621"/>
    <n v="51"/>
    <x v="0"/>
    <x v="1"/>
    <s v="Project Manager"/>
    <x v="621"/>
    <x v="621"/>
    <d v="2019-08-26T00:00:00"/>
    <s v="555-01002"/>
    <s v="622 Main St"/>
    <s v="Paris"/>
    <s v="PA"/>
    <x v="1"/>
    <n v="4.92"/>
    <n v="51"/>
  </r>
  <r>
    <x v="622"/>
    <n v="34"/>
    <x v="1"/>
    <x v="4"/>
    <s v="Project Manager"/>
    <x v="622"/>
    <x v="622"/>
    <d v="2014-12-11T00:00:00"/>
    <s v="555-01003"/>
    <s v="623 Main St"/>
    <s v="London"/>
    <s v="LN"/>
    <x v="2"/>
    <n v="2.12"/>
    <n v="180"/>
  </r>
  <r>
    <x v="623"/>
    <n v="54"/>
    <x v="0"/>
    <x v="2"/>
    <s v="Software Engineer"/>
    <x v="623"/>
    <x v="623"/>
    <d v="2020-08-15T00:00:00"/>
    <s v="555-01004"/>
    <s v="624 Main St"/>
    <s v="Dubai"/>
    <s v="DB"/>
    <x v="3"/>
    <n v="3.43"/>
    <n v="188"/>
  </r>
  <r>
    <x v="624"/>
    <n v="56"/>
    <x v="0"/>
    <x v="0"/>
    <s v="Project Manager"/>
    <x v="624"/>
    <x v="624"/>
    <d v="2010-01-26T00:00:00"/>
    <s v="555-01005"/>
    <s v="625 Main St"/>
    <s v="Tokyo"/>
    <s v="TK"/>
    <x v="4"/>
    <n v="4"/>
    <n v="93"/>
  </r>
  <r>
    <x v="625"/>
    <n v="45"/>
    <x v="0"/>
    <x v="1"/>
    <s v="Project Manager"/>
    <x v="625"/>
    <x v="625"/>
    <d v="2016-02-13T00:00:00"/>
    <s v="555-01006"/>
    <s v="626 Main St"/>
    <s v="New York"/>
    <s v="NK"/>
    <x v="0"/>
    <n v="4.18"/>
    <n v="68"/>
  </r>
  <r>
    <x v="626"/>
    <n v="47"/>
    <x v="0"/>
    <x v="4"/>
    <s v="Software Engineer"/>
    <x v="626"/>
    <x v="626"/>
    <d v="2005-09-13T00:00:00"/>
    <s v="555-01007"/>
    <s v="627 Main St"/>
    <s v="Paris"/>
    <s v="PA"/>
    <x v="1"/>
    <n v="4.6100000000000003"/>
    <n v="1"/>
  </r>
  <r>
    <x v="627"/>
    <n v="63"/>
    <x v="1"/>
    <x v="4"/>
    <s v="HR Specialist"/>
    <x v="627"/>
    <x v="627"/>
    <d v="2000-06-22T00:00:00"/>
    <s v="555-01008"/>
    <s v="628 Main St"/>
    <s v="London"/>
    <s v="LN"/>
    <x v="2"/>
    <n v="1.06"/>
    <n v="18"/>
  </r>
  <r>
    <x v="628"/>
    <n v="22"/>
    <x v="1"/>
    <x v="3"/>
    <s v="Analyst"/>
    <x v="628"/>
    <x v="628"/>
    <d v="2009-07-08T00:00:00"/>
    <s v="555-01009"/>
    <s v="629 Main St"/>
    <s v="Dubai"/>
    <s v="DB"/>
    <x v="3"/>
    <n v="2.42"/>
    <n v="112"/>
  </r>
  <r>
    <x v="629"/>
    <n v="34"/>
    <x v="1"/>
    <x v="0"/>
    <s v="Software Engineer"/>
    <x v="629"/>
    <x v="629"/>
    <d v="2007-08-08T00:00:00"/>
    <s v="555-01000"/>
    <s v="630 Main St"/>
    <s v="Tokyo"/>
    <s v="TK"/>
    <x v="4"/>
    <n v="2.9"/>
    <n v="78"/>
  </r>
  <r>
    <x v="630"/>
    <n v="31"/>
    <x v="2"/>
    <x v="0"/>
    <s v="Project Manager"/>
    <x v="630"/>
    <x v="630"/>
    <d v="2000-05-23T00:00:00"/>
    <s v="555-01001"/>
    <s v="631 Main St"/>
    <s v="New York"/>
    <s v="NK"/>
    <x v="0"/>
    <n v="2.88"/>
    <n v="138"/>
  </r>
  <r>
    <x v="631"/>
    <n v="40"/>
    <x v="1"/>
    <x v="2"/>
    <s v="Software Engineer"/>
    <x v="631"/>
    <x v="631"/>
    <d v="2000-02-25T00:00:00"/>
    <s v="555-01002"/>
    <s v="632 Main St"/>
    <s v="Paris"/>
    <s v="PA"/>
    <x v="1"/>
    <n v="2.34"/>
    <n v="141"/>
  </r>
  <r>
    <x v="632"/>
    <n v="26"/>
    <x v="2"/>
    <x v="2"/>
    <s v="Sales Executive"/>
    <x v="632"/>
    <x v="632"/>
    <d v="2011-01-21T00:00:00"/>
    <s v="555-01003"/>
    <s v="633 Main St"/>
    <s v="London"/>
    <s v="LN"/>
    <x v="2"/>
    <n v="4.8600000000000003"/>
    <n v="137"/>
  </r>
  <r>
    <x v="633"/>
    <n v="29"/>
    <x v="0"/>
    <x v="4"/>
    <s v="Sales Executive"/>
    <x v="633"/>
    <x v="633"/>
    <d v="2020-01-10T00:00:00"/>
    <s v="555-01004"/>
    <s v="634 Main St"/>
    <s v="Dubai"/>
    <s v="DB"/>
    <x v="3"/>
    <n v="1.23"/>
    <n v="63"/>
  </r>
  <r>
    <x v="634"/>
    <n v="25"/>
    <x v="1"/>
    <x v="3"/>
    <s v="HR Specialist"/>
    <x v="634"/>
    <x v="634"/>
    <d v="2020-12-06T00:00:00"/>
    <s v="555-01005"/>
    <s v="635 Main St"/>
    <s v="Tokyo"/>
    <s v="TK"/>
    <x v="4"/>
    <n v="4.1399999999999997"/>
    <n v="69"/>
  </r>
  <r>
    <x v="635"/>
    <n v="34"/>
    <x v="1"/>
    <x v="4"/>
    <s v="Project Manager"/>
    <x v="635"/>
    <x v="635"/>
    <d v="2022-04-14T00:00:00"/>
    <s v="555-01006"/>
    <s v="636 Main St"/>
    <s v="New York"/>
    <s v="NK"/>
    <x v="0"/>
    <n v="2.1"/>
    <n v="12"/>
  </r>
  <r>
    <x v="636"/>
    <n v="59"/>
    <x v="1"/>
    <x v="2"/>
    <s v="Sales Executive"/>
    <x v="636"/>
    <x v="636"/>
    <d v="2012-09-08T00:00:00"/>
    <s v="555-01007"/>
    <s v="637 Main St"/>
    <s v="Paris"/>
    <s v="PA"/>
    <x v="1"/>
    <n v="2.5299999999999998"/>
    <n v="30"/>
  </r>
  <r>
    <x v="637"/>
    <n v="40"/>
    <x v="1"/>
    <x v="1"/>
    <s v="Software Engineer"/>
    <x v="637"/>
    <x v="637"/>
    <d v="2010-12-11T00:00:00"/>
    <s v="555-01008"/>
    <s v="638 Main St"/>
    <s v="London"/>
    <s v="LN"/>
    <x v="2"/>
    <n v="1.56"/>
    <n v="32"/>
  </r>
  <r>
    <x v="638"/>
    <n v="29"/>
    <x v="1"/>
    <x v="3"/>
    <s v="Project Manager"/>
    <x v="638"/>
    <x v="638"/>
    <d v="2011-03-28T00:00:00"/>
    <s v="555-01009"/>
    <s v="639 Main St"/>
    <s v="Dubai"/>
    <s v="DB"/>
    <x v="3"/>
    <n v="3.53"/>
    <n v="26"/>
  </r>
  <r>
    <x v="639"/>
    <n v="48"/>
    <x v="0"/>
    <x v="0"/>
    <s v="HR Specialist"/>
    <x v="639"/>
    <x v="639"/>
    <d v="2007-12-18T00:00:00"/>
    <s v="555-01000"/>
    <s v="640 Main St"/>
    <s v="Tokyo"/>
    <s v="TK"/>
    <x v="4"/>
    <n v="2.0299999999999998"/>
    <n v="105"/>
  </r>
  <r>
    <x v="640"/>
    <n v="51"/>
    <x v="1"/>
    <x v="1"/>
    <s v="Project Manager"/>
    <x v="640"/>
    <x v="640"/>
    <d v="2001-11-09T00:00:00"/>
    <s v="555-01001"/>
    <s v="641 Main St"/>
    <s v="New York"/>
    <s v="NK"/>
    <x v="0"/>
    <n v="2.09"/>
    <n v="161"/>
  </r>
  <r>
    <x v="641"/>
    <n v="25"/>
    <x v="2"/>
    <x v="1"/>
    <s v="Project Manager"/>
    <x v="641"/>
    <x v="641"/>
    <d v="2000-12-26T00:00:00"/>
    <s v="555-01002"/>
    <s v="642 Main St"/>
    <s v="Paris"/>
    <s v="PA"/>
    <x v="1"/>
    <n v="3.31"/>
    <n v="107"/>
  </r>
  <r>
    <x v="642"/>
    <n v="32"/>
    <x v="2"/>
    <x v="0"/>
    <s v="Software Engineer"/>
    <x v="642"/>
    <x v="642"/>
    <d v="2019-04-11T00:00:00"/>
    <s v="555-01003"/>
    <s v="643 Main St"/>
    <s v="London"/>
    <s v="LN"/>
    <x v="2"/>
    <n v="2.17"/>
    <n v="94"/>
  </r>
  <r>
    <x v="643"/>
    <n v="42"/>
    <x v="1"/>
    <x v="4"/>
    <s v="Project Manager"/>
    <x v="643"/>
    <x v="643"/>
    <d v="2001-01-13T00:00:00"/>
    <s v="555-01004"/>
    <s v="644 Main St"/>
    <s v="Dubai"/>
    <s v="DB"/>
    <x v="3"/>
    <n v="4.95"/>
    <n v="134"/>
  </r>
  <r>
    <x v="644"/>
    <n v="64"/>
    <x v="2"/>
    <x v="3"/>
    <s v="Software Engineer"/>
    <x v="644"/>
    <x v="644"/>
    <d v="2012-07-14T00:00:00"/>
    <s v="555-01005"/>
    <s v="645 Main St"/>
    <s v="Tokyo"/>
    <s v="TK"/>
    <x v="4"/>
    <n v="4.93"/>
    <n v="1"/>
  </r>
  <r>
    <x v="645"/>
    <n v="23"/>
    <x v="1"/>
    <x v="1"/>
    <s v="Software Engineer"/>
    <x v="645"/>
    <x v="645"/>
    <d v="2018-08-30T00:00:00"/>
    <s v="555-01006"/>
    <s v="646 Main St"/>
    <s v="New York"/>
    <s v="NK"/>
    <x v="0"/>
    <n v="3.76"/>
    <n v="142"/>
  </r>
  <r>
    <x v="646"/>
    <n v="42"/>
    <x v="0"/>
    <x v="4"/>
    <s v="Project Manager"/>
    <x v="646"/>
    <x v="646"/>
    <d v="2014-02-27T00:00:00"/>
    <s v="555-01007"/>
    <s v="647 Main St"/>
    <s v="Paris"/>
    <s v="PA"/>
    <x v="1"/>
    <n v="1.63"/>
    <n v="75"/>
  </r>
  <r>
    <x v="647"/>
    <n v="38"/>
    <x v="2"/>
    <x v="0"/>
    <s v="HR Specialist"/>
    <x v="647"/>
    <x v="647"/>
    <d v="2015-09-11T00:00:00"/>
    <s v="555-01008"/>
    <s v="648 Main St"/>
    <s v="London"/>
    <s v="LN"/>
    <x v="2"/>
    <n v="3.14"/>
    <n v="29"/>
  </r>
  <r>
    <x v="648"/>
    <n v="64"/>
    <x v="1"/>
    <x v="4"/>
    <s v="HR Specialist"/>
    <x v="648"/>
    <x v="648"/>
    <d v="2021-08-10T00:00:00"/>
    <s v="555-01009"/>
    <s v="649 Main St"/>
    <s v="Dubai"/>
    <s v="DB"/>
    <x v="3"/>
    <n v="1.21"/>
    <n v="197"/>
  </r>
  <r>
    <x v="649"/>
    <n v="50"/>
    <x v="2"/>
    <x v="1"/>
    <s v="Analyst"/>
    <x v="649"/>
    <x v="649"/>
    <d v="2018-09-24T00:00:00"/>
    <s v="555-01000"/>
    <s v="650 Main St"/>
    <s v="Tokyo"/>
    <s v="TK"/>
    <x v="4"/>
    <n v="2.75"/>
    <n v="176"/>
  </r>
  <r>
    <x v="650"/>
    <n v="48"/>
    <x v="1"/>
    <x v="3"/>
    <s v="Sales Executive"/>
    <x v="650"/>
    <x v="650"/>
    <d v="2007-01-02T00:00:00"/>
    <s v="555-01001"/>
    <s v="651 Main St"/>
    <s v="New York"/>
    <s v="NK"/>
    <x v="0"/>
    <n v="1.28"/>
    <n v="179"/>
  </r>
  <r>
    <x v="651"/>
    <n v="45"/>
    <x v="2"/>
    <x v="3"/>
    <s v="Project Manager"/>
    <x v="651"/>
    <x v="651"/>
    <d v="2022-06-09T00:00:00"/>
    <s v="555-01002"/>
    <s v="652 Main St"/>
    <s v="Paris"/>
    <s v="PA"/>
    <x v="1"/>
    <n v="2.58"/>
    <n v="118"/>
  </r>
  <r>
    <x v="652"/>
    <n v="24"/>
    <x v="0"/>
    <x v="0"/>
    <s v="Project Manager"/>
    <x v="652"/>
    <x v="652"/>
    <d v="2020-04-30T00:00:00"/>
    <s v="555-01003"/>
    <s v="653 Main St"/>
    <s v="London"/>
    <s v="LN"/>
    <x v="2"/>
    <n v="4.4000000000000004"/>
    <n v="166"/>
  </r>
  <r>
    <x v="653"/>
    <n v="60"/>
    <x v="2"/>
    <x v="4"/>
    <s v="Software Engineer"/>
    <x v="653"/>
    <x v="653"/>
    <d v="2008-04-27T00:00:00"/>
    <s v="555-01004"/>
    <s v="654 Main St"/>
    <s v="Dubai"/>
    <s v="DB"/>
    <x v="3"/>
    <n v="1.1599999999999999"/>
    <n v="32"/>
  </r>
  <r>
    <x v="654"/>
    <n v="31"/>
    <x v="2"/>
    <x v="2"/>
    <s v="HR Specialist"/>
    <x v="654"/>
    <x v="654"/>
    <d v="2001-09-17T00:00:00"/>
    <s v="555-01005"/>
    <s v="655 Main St"/>
    <s v="Tokyo"/>
    <s v="TK"/>
    <x v="4"/>
    <n v="3.94"/>
    <n v="18"/>
  </r>
  <r>
    <x v="655"/>
    <n v="24"/>
    <x v="2"/>
    <x v="3"/>
    <s v="Project Manager"/>
    <x v="655"/>
    <x v="655"/>
    <d v="2000-05-19T00:00:00"/>
    <s v="555-01006"/>
    <s v="656 Main St"/>
    <s v="New York"/>
    <s v="NK"/>
    <x v="0"/>
    <n v="3.71"/>
    <n v="42"/>
  </r>
  <r>
    <x v="656"/>
    <n v="63"/>
    <x v="2"/>
    <x v="2"/>
    <s v="HR Specialist"/>
    <x v="656"/>
    <x v="656"/>
    <d v="2002-08-28T00:00:00"/>
    <s v="555-01007"/>
    <s v="657 Main St"/>
    <s v="Paris"/>
    <s v="PA"/>
    <x v="1"/>
    <n v="4.84"/>
    <n v="179"/>
  </r>
  <r>
    <x v="657"/>
    <n v="47"/>
    <x v="1"/>
    <x v="4"/>
    <s v="Analyst"/>
    <x v="657"/>
    <x v="657"/>
    <d v="2013-07-01T00:00:00"/>
    <s v="555-01008"/>
    <s v="658 Main St"/>
    <s v="London"/>
    <s v="LN"/>
    <x v="2"/>
    <n v="2.11"/>
    <n v="121"/>
  </r>
  <r>
    <x v="658"/>
    <n v="58"/>
    <x v="0"/>
    <x v="4"/>
    <s v="Project Manager"/>
    <x v="658"/>
    <x v="658"/>
    <d v="2007-09-22T00:00:00"/>
    <s v="555-01009"/>
    <s v="659 Main St"/>
    <s v="Dubai"/>
    <s v="DB"/>
    <x v="3"/>
    <n v="2.64"/>
    <n v="116"/>
  </r>
  <r>
    <x v="659"/>
    <n v="48"/>
    <x v="0"/>
    <x v="2"/>
    <s v="Software Engineer"/>
    <x v="659"/>
    <x v="659"/>
    <d v="2005-12-31T00:00:00"/>
    <s v="555-01000"/>
    <s v="660 Main St"/>
    <s v="Tokyo"/>
    <s v="TK"/>
    <x v="4"/>
    <n v="2.4500000000000002"/>
    <n v="49"/>
  </r>
  <r>
    <x v="660"/>
    <n v="26"/>
    <x v="2"/>
    <x v="0"/>
    <s v="HR Specialist"/>
    <x v="660"/>
    <x v="660"/>
    <d v="2009-06-15T00:00:00"/>
    <s v="555-01001"/>
    <s v="661 Main St"/>
    <s v="New York"/>
    <s v="NK"/>
    <x v="0"/>
    <n v="1.67"/>
    <n v="129"/>
  </r>
  <r>
    <x v="661"/>
    <n v="63"/>
    <x v="2"/>
    <x v="2"/>
    <s v="Sales Executive"/>
    <x v="661"/>
    <x v="661"/>
    <d v="2000-09-27T00:00:00"/>
    <s v="555-01002"/>
    <s v="662 Main St"/>
    <s v="Paris"/>
    <s v="PA"/>
    <x v="1"/>
    <n v="3.47"/>
    <n v="199"/>
  </r>
  <r>
    <x v="662"/>
    <n v="32"/>
    <x v="0"/>
    <x v="1"/>
    <s v="HR Specialist"/>
    <x v="662"/>
    <x v="662"/>
    <d v="2014-08-29T00:00:00"/>
    <s v="555-01003"/>
    <s v="663 Main St"/>
    <s v="London"/>
    <s v="LN"/>
    <x v="2"/>
    <n v="4.45"/>
    <n v="128"/>
  </r>
  <r>
    <x v="663"/>
    <n v="34"/>
    <x v="0"/>
    <x v="2"/>
    <s v="HR Specialist"/>
    <x v="663"/>
    <x v="663"/>
    <d v="2018-01-07T00:00:00"/>
    <s v="555-01004"/>
    <s v="664 Main St"/>
    <s v="Dubai"/>
    <s v="DB"/>
    <x v="3"/>
    <n v="4.72"/>
    <n v="106"/>
  </r>
  <r>
    <x v="664"/>
    <n v="62"/>
    <x v="0"/>
    <x v="2"/>
    <s v="Sales Executive"/>
    <x v="664"/>
    <x v="664"/>
    <d v="2006-06-25T00:00:00"/>
    <s v="555-01005"/>
    <s v="665 Main St"/>
    <s v="Tokyo"/>
    <s v="TK"/>
    <x v="4"/>
    <n v="3.85"/>
    <n v="91"/>
  </r>
  <r>
    <x v="665"/>
    <n v="55"/>
    <x v="0"/>
    <x v="0"/>
    <s v="HR Specialist"/>
    <x v="665"/>
    <x v="665"/>
    <d v="2013-01-08T00:00:00"/>
    <s v="555-01006"/>
    <s v="666 Main St"/>
    <s v="New York"/>
    <s v="NK"/>
    <x v="0"/>
    <n v="3.05"/>
    <n v="123"/>
  </r>
  <r>
    <x v="666"/>
    <n v="59"/>
    <x v="2"/>
    <x v="1"/>
    <s v="Analyst"/>
    <x v="666"/>
    <x v="666"/>
    <d v="2017-11-20T00:00:00"/>
    <s v="555-01007"/>
    <s v="667 Main St"/>
    <s v="Paris"/>
    <s v="PA"/>
    <x v="1"/>
    <n v="3.96"/>
    <n v="44"/>
  </r>
  <r>
    <x v="667"/>
    <n v="61"/>
    <x v="0"/>
    <x v="4"/>
    <s v="Project Manager"/>
    <x v="667"/>
    <x v="667"/>
    <d v="2011-05-10T00:00:00"/>
    <s v="555-01008"/>
    <s v="668 Main St"/>
    <s v="London"/>
    <s v="LN"/>
    <x v="2"/>
    <n v="4.4800000000000004"/>
    <n v="26"/>
  </r>
  <r>
    <x v="668"/>
    <n v="54"/>
    <x v="2"/>
    <x v="1"/>
    <s v="Project Manager"/>
    <x v="668"/>
    <x v="668"/>
    <d v="2012-09-02T00:00:00"/>
    <s v="555-01009"/>
    <s v="669 Main St"/>
    <s v="Dubai"/>
    <s v="DB"/>
    <x v="3"/>
    <n v="1.69"/>
    <n v="87"/>
  </r>
  <r>
    <x v="669"/>
    <n v="55"/>
    <x v="2"/>
    <x v="2"/>
    <s v="Project Manager"/>
    <x v="669"/>
    <x v="669"/>
    <d v="2018-02-23T00:00:00"/>
    <s v="555-01000"/>
    <s v="670 Main St"/>
    <s v="Tokyo"/>
    <s v="TK"/>
    <x v="4"/>
    <n v="3.96"/>
    <n v="173"/>
  </r>
  <r>
    <x v="670"/>
    <n v="48"/>
    <x v="0"/>
    <x v="4"/>
    <s v="HR Specialist"/>
    <x v="670"/>
    <x v="670"/>
    <d v="2016-12-17T00:00:00"/>
    <s v="555-01001"/>
    <s v="671 Main St"/>
    <s v="New York"/>
    <s v="NK"/>
    <x v="0"/>
    <n v="4.97"/>
    <n v="99"/>
  </r>
  <r>
    <x v="671"/>
    <n v="57"/>
    <x v="1"/>
    <x v="0"/>
    <s v="Sales Executive"/>
    <x v="671"/>
    <x v="671"/>
    <d v="2019-02-07T00:00:00"/>
    <s v="555-01002"/>
    <s v="672 Main St"/>
    <s v="Paris"/>
    <s v="PA"/>
    <x v="1"/>
    <n v="2.5299999999999998"/>
    <n v="34"/>
  </r>
  <r>
    <x v="672"/>
    <n v="47"/>
    <x v="2"/>
    <x v="4"/>
    <s v="HR Specialist"/>
    <x v="672"/>
    <x v="672"/>
    <d v="2019-05-03T00:00:00"/>
    <s v="555-01003"/>
    <s v="673 Main St"/>
    <s v="London"/>
    <s v="LN"/>
    <x v="2"/>
    <n v="4.9400000000000004"/>
    <n v="162"/>
  </r>
  <r>
    <x v="673"/>
    <n v="46"/>
    <x v="0"/>
    <x v="0"/>
    <s v="Project Manager"/>
    <x v="673"/>
    <x v="673"/>
    <d v="2000-10-20T00:00:00"/>
    <s v="555-01004"/>
    <s v="674 Main St"/>
    <s v="Dubai"/>
    <s v="DB"/>
    <x v="3"/>
    <n v="1.87"/>
    <n v="77"/>
  </r>
  <r>
    <x v="674"/>
    <n v="40"/>
    <x v="2"/>
    <x v="2"/>
    <s v="Sales Executive"/>
    <x v="674"/>
    <x v="674"/>
    <d v="2016-09-08T00:00:00"/>
    <s v="555-01005"/>
    <s v="675 Main St"/>
    <s v="Tokyo"/>
    <s v="TK"/>
    <x v="4"/>
    <n v="2.09"/>
    <n v="87"/>
  </r>
  <r>
    <x v="675"/>
    <n v="42"/>
    <x v="1"/>
    <x v="1"/>
    <s v="Project Manager"/>
    <x v="675"/>
    <x v="675"/>
    <d v="2006-05-13T00:00:00"/>
    <s v="555-01006"/>
    <s v="676 Main St"/>
    <s v="New York"/>
    <s v="NK"/>
    <x v="0"/>
    <n v="2.11"/>
    <n v="35"/>
  </r>
  <r>
    <x v="676"/>
    <n v="52"/>
    <x v="0"/>
    <x v="1"/>
    <s v="Project Manager"/>
    <x v="676"/>
    <x v="676"/>
    <d v="2004-11-21T00:00:00"/>
    <s v="555-01007"/>
    <s v="677 Main St"/>
    <s v="Paris"/>
    <s v="PA"/>
    <x v="1"/>
    <n v="3.41"/>
    <n v="125"/>
  </r>
  <r>
    <x v="677"/>
    <n v="50"/>
    <x v="2"/>
    <x v="1"/>
    <s v="Analyst"/>
    <x v="677"/>
    <x v="677"/>
    <d v="2004-11-07T00:00:00"/>
    <s v="555-01008"/>
    <s v="678 Main St"/>
    <s v="London"/>
    <s v="LN"/>
    <x v="2"/>
    <n v="4.33"/>
    <n v="86"/>
  </r>
  <r>
    <x v="678"/>
    <n v="30"/>
    <x v="1"/>
    <x v="1"/>
    <s v="Analyst"/>
    <x v="678"/>
    <x v="678"/>
    <d v="2000-08-16T00:00:00"/>
    <s v="555-01009"/>
    <s v="679 Main St"/>
    <s v="Dubai"/>
    <s v="DB"/>
    <x v="3"/>
    <n v="4.9800000000000004"/>
    <n v="11"/>
  </r>
  <r>
    <x v="679"/>
    <n v="40"/>
    <x v="1"/>
    <x v="1"/>
    <s v="HR Specialist"/>
    <x v="679"/>
    <x v="679"/>
    <d v="2000-06-19T00:00:00"/>
    <s v="555-01000"/>
    <s v="680 Main St"/>
    <s v="Tokyo"/>
    <s v="TK"/>
    <x v="4"/>
    <n v="4.22"/>
    <n v="67"/>
  </r>
  <r>
    <x v="680"/>
    <n v="47"/>
    <x v="2"/>
    <x v="3"/>
    <s v="Analyst"/>
    <x v="680"/>
    <x v="680"/>
    <d v="2000-01-15T00:00:00"/>
    <s v="555-01001"/>
    <s v="681 Main St"/>
    <s v="New York"/>
    <s v="NK"/>
    <x v="0"/>
    <n v="2.4900000000000002"/>
    <n v="189"/>
  </r>
  <r>
    <x v="681"/>
    <n v="46"/>
    <x v="0"/>
    <x v="2"/>
    <s v="Sales Executive"/>
    <x v="681"/>
    <x v="681"/>
    <d v="2006-05-23T00:00:00"/>
    <s v="555-01002"/>
    <s v="682 Main St"/>
    <s v="Paris"/>
    <s v="PA"/>
    <x v="1"/>
    <n v="1.64"/>
    <n v="75"/>
  </r>
  <r>
    <x v="682"/>
    <n v="61"/>
    <x v="0"/>
    <x v="1"/>
    <s v="Software Engineer"/>
    <x v="682"/>
    <x v="682"/>
    <d v="2017-05-07T00:00:00"/>
    <s v="555-01003"/>
    <s v="683 Main St"/>
    <s v="London"/>
    <s v="LN"/>
    <x v="2"/>
    <n v="4.5599999999999996"/>
    <n v="34"/>
  </r>
  <r>
    <x v="683"/>
    <n v="64"/>
    <x v="2"/>
    <x v="1"/>
    <s v="Sales Executive"/>
    <x v="683"/>
    <x v="683"/>
    <d v="2013-02-08T00:00:00"/>
    <s v="555-01004"/>
    <s v="684 Main St"/>
    <s v="Dubai"/>
    <s v="DB"/>
    <x v="3"/>
    <n v="3.71"/>
    <n v="31"/>
  </r>
  <r>
    <x v="684"/>
    <n v="50"/>
    <x v="1"/>
    <x v="0"/>
    <s v="Project Manager"/>
    <x v="684"/>
    <x v="684"/>
    <d v="2004-10-26T00:00:00"/>
    <s v="555-01005"/>
    <s v="685 Main St"/>
    <s v="Tokyo"/>
    <s v="TK"/>
    <x v="4"/>
    <n v="1.57"/>
    <n v="72"/>
  </r>
  <r>
    <x v="685"/>
    <n v="46"/>
    <x v="1"/>
    <x v="2"/>
    <s v="Project Manager"/>
    <x v="685"/>
    <x v="685"/>
    <d v="2011-05-26T00:00:00"/>
    <s v="555-01006"/>
    <s v="686 Main St"/>
    <s v="New York"/>
    <s v="NK"/>
    <x v="0"/>
    <n v="2.33"/>
    <n v="112"/>
  </r>
  <r>
    <x v="686"/>
    <n v="40"/>
    <x v="1"/>
    <x v="0"/>
    <s v="Analyst"/>
    <x v="686"/>
    <x v="686"/>
    <d v="2017-04-04T00:00:00"/>
    <s v="555-01007"/>
    <s v="687 Main St"/>
    <s v="Paris"/>
    <s v="PA"/>
    <x v="1"/>
    <n v="3.47"/>
    <n v="157"/>
  </r>
  <r>
    <x v="687"/>
    <n v="25"/>
    <x v="1"/>
    <x v="1"/>
    <s v="Project Manager"/>
    <x v="687"/>
    <x v="687"/>
    <d v="2006-10-20T00:00:00"/>
    <s v="555-01008"/>
    <s v="688 Main St"/>
    <s v="London"/>
    <s v="LN"/>
    <x v="2"/>
    <n v="2.83"/>
    <n v="125"/>
  </r>
  <r>
    <x v="688"/>
    <n v="41"/>
    <x v="2"/>
    <x v="2"/>
    <s v="Software Engineer"/>
    <x v="688"/>
    <x v="688"/>
    <d v="2005-12-29T00:00:00"/>
    <s v="555-01009"/>
    <s v="689 Main St"/>
    <s v="Dubai"/>
    <s v="DB"/>
    <x v="3"/>
    <n v="2.36"/>
    <n v="11"/>
  </r>
  <r>
    <x v="689"/>
    <n v="22"/>
    <x v="1"/>
    <x v="2"/>
    <s v="HR Specialist"/>
    <x v="689"/>
    <x v="689"/>
    <d v="2007-06-28T00:00:00"/>
    <s v="555-01000"/>
    <s v="690 Main St"/>
    <s v="Tokyo"/>
    <s v="TK"/>
    <x v="4"/>
    <n v="2.94"/>
    <n v="135"/>
  </r>
  <r>
    <x v="690"/>
    <n v="32"/>
    <x v="2"/>
    <x v="2"/>
    <s v="HR Specialist"/>
    <x v="690"/>
    <x v="690"/>
    <d v="2020-01-06T00:00:00"/>
    <s v="555-01001"/>
    <s v="691 Main St"/>
    <s v="New York"/>
    <s v="NK"/>
    <x v="0"/>
    <n v="4.0599999999999996"/>
    <n v="57"/>
  </r>
  <r>
    <x v="691"/>
    <n v="25"/>
    <x v="0"/>
    <x v="4"/>
    <s v="Sales Executive"/>
    <x v="691"/>
    <x v="691"/>
    <d v="2002-07-25T00:00:00"/>
    <s v="555-01002"/>
    <s v="692 Main St"/>
    <s v="Paris"/>
    <s v="PA"/>
    <x v="1"/>
    <n v="4.33"/>
    <n v="88"/>
  </r>
  <r>
    <x v="692"/>
    <n v="28"/>
    <x v="0"/>
    <x v="3"/>
    <s v="HR Specialist"/>
    <x v="692"/>
    <x v="692"/>
    <d v="2011-08-17T00:00:00"/>
    <s v="555-01003"/>
    <s v="693 Main St"/>
    <s v="London"/>
    <s v="LN"/>
    <x v="2"/>
    <n v="3.11"/>
    <n v="132"/>
  </r>
  <r>
    <x v="693"/>
    <n v="49"/>
    <x v="1"/>
    <x v="3"/>
    <s v="Analyst"/>
    <x v="693"/>
    <x v="693"/>
    <d v="2015-05-16T00:00:00"/>
    <s v="555-01004"/>
    <s v="694 Main St"/>
    <s v="Dubai"/>
    <s v="DB"/>
    <x v="3"/>
    <n v="1.56"/>
    <n v="114"/>
  </r>
  <r>
    <x v="694"/>
    <n v="57"/>
    <x v="1"/>
    <x v="1"/>
    <s v="Analyst"/>
    <x v="694"/>
    <x v="694"/>
    <d v="2002-08-18T00:00:00"/>
    <s v="555-01005"/>
    <s v="695 Main St"/>
    <s v="Tokyo"/>
    <s v="TK"/>
    <x v="4"/>
    <n v="4.33"/>
    <n v="13"/>
  </r>
  <r>
    <x v="695"/>
    <n v="28"/>
    <x v="1"/>
    <x v="3"/>
    <s v="Project Manager"/>
    <x v="695"/>
    <x v="695"/>
    <d v="2017-03-31T00:00:00"/>
    <s v="555-01006"/>
    <s v="696 Main St"/>
    <s v="New York"/>
    <s v="NK"/>
    <x v="0"/>
    <n v="2.84"/>
    <n v="93"/>
  </r>
  <r>
    <x v="696"/>
    <n v="41"/>
    <x v="0"/>
    <x v="2"/>
    <s v="Analyst"/>
    <x v="696"/>
    <x v="696"/>
    <d v="2013-09-04T00:00:00"/>
    <s v="555-01007"/>
    <s v="697 Main St"/>
    <s v="Paris"/>
    <s v="PA"/>
    <x v="1"/>
    <n v="4.5999999999999996"/>
    <n v="132"/>
  </r>
  <r>
    <x v="697"/>
    <n v="56"/>
    <x v="2"/>
    <x v="4"/>
    <s v="Analyst"/>
    <x v="697"/>
    <x v="697"/>
    <d v="2021-11-25T00:00:00"/>
    <s v="555-01008"/>
    <s v="698 Main St"/>
    <s v="London"/>
    <s v="LN"/>
    <x v="2"/>
    <n v="4.49"/>
    <n v="41"/>
  </r>
  <r>
    <x v="698"/>
    <n v="60"/>
    <x v="2"/>
    <x v="3"/>
    <s v="HR Specialist"/>
    <x v="698"/>
    <x v="698"/>
    <d v="2007-02-01T00:00:00"/>
    <s v="555-01009"/>
    <s v="699 Main St"/>
    <s v="Dubai"/>
    <s v="DB"/>
    <x v="3"/>
    <n v="1.6"/>
    <n v="125"/>
  </r>
  <r>
    <x v="699"/>
    <n v="42"/>
    <x v="2"/>
    <x v="3"/>
    <s v="Software Engineer"/>
    <x v="699"/>
    <x v="699"/>
    <d v="2003-12-07T00:00:00"/>
    <s v="555-01000"/>
    <s v="700 Main St"/>
    <s v="Tokyo"/>
    <s v="TK"/>
    <x v="4"/>
    <n v="2.42"/>
    <n v="132"/>
  </r>
  <r>
    <x v="700"/>
    <n v="22"/>
    <x v="1"/>
    <x v="4"/>
    <s v="Project Manager"/>
    <x v="700"/>
    <x v="700"/>
    <d v="2021-05-05T00:00:00"/>
    <s v="555-01001"/>
    <s v="701 Main St"/>
    <s v="New York"/>
    <s v="NK"/>
    <x v="0"/>
    <n v="2.23"/>
    <n v="87"/>
  </r>
  <r>
    <x v="701"/>
    <n v="58"/>
    <x v="2"/>
    <x v="0"/>
    <s v="Sales Executive"/>
    <x v="701"/>
    <x v="701"/>
    <d v="2015-10-30T00:00:00"/>
    <s v="555-01002"/>
    <s v="702 Main St"/>
    <s v="Paris"/>
    <s v="PA"/>
    <x v="1"/>
    <n v="4.8099999999999996"/>
    <n v="161"/>
  </r>
  <r>
    <x v="702"/>
    <n v="63"/>
    <x v="1"/>
    <x v="1"/>
    <s v="HR Specialist"/>
    <x v="702"/>
    <x v="702"/>
    <d v="2008-09-12T00:00:00"/>
    <s v="555-01003"/>
    <s v="703 Main St"/>
    <s v="London"/>
    <s v="LN"/>
    <x v="2"/>
    <n v="3.26"/>
    <n v="152"/>
  </r>
  <r>
    <x v="703"/>
    <n v="24"/>
    <x v="0"/>
    <x v="2"/>
    <s v="Project Manager"/>
    <x v="703"/>
    <x v="703"/>
    <d v="2020-11-11T00:00:00"/>
    <s v="555-01004"/>
    <s v="704 Main St"/>
    <s v="Dubai"/>
    <s v="DB"/>
    <x v="3"/>
    <n v="4.93"/>
    <n v="35"/>
  </r>
  <r>
    <x v="704"/>
    <n v="55"/>
    <x v="2"/>
    <x v="4"/>
    <s v="HR Specialist"/>
    <x v="704"/>
    <x v="704"/>
    <d v="2020-02-04T00:00:00"/>
    <s v="555-01005"/>
    <s v="705 Main St"/>
    <s v="Tokyo"/>
    <s v="TK"/>
    <x v="4"/>
    <n v="2.46"/>
    <n v="122"/>
  </r>
  <r>
    <x v="705"/>
    <n v="34"/>
    <x v="1"/>
    <x v="0"/>
    <s v="Analyst"/>
    <x v="705"/>
    <x v="705"/>
    <d v="2002-09-10T00:00:00"/>
    <s v="555-01006"/>
    <s v="706 Main St"/>
    <s v="New York"/>
    <s v="NK"/>
    <x v="0"/>
    <n v="4.54"/>
    <n v="149"/>
  </r>
  <r>
    <x v="706"/>
    <n v="37"/>
    <x v="2"/>
    <x v="1"/>
    <s v="Sales Executive"/>
    <x v="706"/>
    <x v="706"/>
    <d v="2000-03-26T00:00:00"/>
    <s v="555-01007"/>
    <s v="707 Main St"/>
    <s v="Paris"/>
    <s v="PA"/>
    <x v="1"/>
    <n v="4.6500000000000004"/>
    <n v="193"/>
  </r>
  <r>
    <x v="707"/>
    <n v="55"/>
    <x v="0"/>
    <x v="0"/>
    <s v="Sales Executive"/>
    <x v="707"/>
    <x v="707"/>
    <d v="2011-08-29T00:00:00"/>
    <s v="555-01008"/>
    <s v="708 Main St"/>
    <s v="London"/>
    <s v="LN"/>
    <x v="2"/>
    <n v="4.7300000000000004"/>
    <n v="116"/>
  </r>
  <r>
    <x v="708"/>
    <n v="45"/>
    <x v="2"/>
    <x v="1"/>
    <s v="Software Engineer"/>
    <x v="708"/>
    <x v="708"/>
    <d v="2007-05-18T00:00:00"/>
    <s v="555-01009"/>
    <s v="709 Main St"/>
    <s v="Dubai"/>
    <s v="DB"/>
    <x v="3"/>
    <n v="2.4500000000000002"/>
    <n v="32"/>
  </r>
  <r>
    <x v="709"/>
    <n v="34"/>
    <x v="2"/>
    <x v="3"/>
    <s v="Project Manager"/>
    <x v="709"/>
    <x v="709"/>
    <d v="2008-03-24T00:00:00"/>
    <s v="555-01000"/>
    <s v="710 Main St"/>
    <s v="Tokyo"/>
    <s v="TK"/>
    <x v="4"/>
    <n v="2.23"/>
    <n v="104"/>
  </r>
  <r>
    <x v="710"/>
    <n v="27"/>
    <x v="0"/>
    <x v="4"/>
    <s v="Sales Executive"/>
    <x v="710"/>
    <x v="710"/>
    <d v="2006-05-18T00:00:00"/>
    <s v="555-01001"/>
    <s v="711 Main St"/>
    <s v="New York"/>
    <s v="NK"/>
    <x v="0"/>
    <n v="1.29"/>
    <n v="17"/>
  </r>
  <r>
    <x v="711"/>
    <n v="60"/>
    <x v="1"/>
    <x v="1"/>
    <s v="HR Specialist"/>
    <x v="711"/>
    <x v="711"/>
    <d v="2013-09-13T00:00:00"/>
    <s v="555-01002"/>
    <s v="712 Main St"/>
    <s v="Paris"/>
    <s v="PA"/>
    <x v="1"/>
    <n v="3.49"/>
    <n v="61"/>
  </r>
  <r>
    <x v="712"/>
    <n v="23"/>
    <x v="1"/>
    <x v="4"/>
    <s v="Project Manager"/>
    <x v="712"/>
    <x v="712"/>
    <d v="2015-03-25T00:00:00"/>
    <s v="555-01003"/>
    <s v="713 Main St"/>
    <s v="London"/>
    <s v="LN"/>
    <x v="2"/>
    <n v="1.28"/>
    <n v="108"/>
  </r>
  <r>
    <x v="713"/>
    <n v="32"/>
    <x v="1"/>
    <x v="4"/>
    <s v="Analyst"/>
    <x v="713"/>
    <x v="713"/>
    <d v="2018-08-11T00:00:00"/>
    <s v="555-01004"/>
    <s v="714 Main St"/>
    <s v="Dubai"/>
    <s v="DB"/>
    <x v="3"/>
    <n v="3.25"/>
    <n v="47"/>
  </r>
  <r>
    <x v="714"/>
    <n v="28"/>
    <x v="2"/>
    <x v="0"/>
    <s v="Software Engineer"/>
    <x v="714"/>
    <x v="714"/>
    <d v="2000-03-23T00:00:00"/>
    <s v="555-01005"/>
    <s v="715 Main St"/>
    <s v="Tokyo"/>
    <s v="TK"/>
    <x v="4"/>
    <n v="2.2999999999999998"/>
    <n v="127"/>
  </r>
  <r>
    <x v="715"/>
    <n v="28"/>
    <x v="2"/>
    <x v="2"/>
    <s v="Analyst"/>
    <x v="715"/>
    <x v="715"/>
    <d v="2002-06-12T00:00:00"/>
    <s v="555-01006"/>
    <s v="716 Main St"/>
    <s v="New York"/>
    <s v="NK"/>
    <x v="0"/>
    <n v="1.22"/>
    <n v="74"/>
  </r>
  <r>
    <x v="716"/>
    <n v="60"/>
    <x v="1"/>
    <x v="0"/>
    <s v="Sales Executive"/>
    <x v="716"/>
    <x v="716"/>
    <d v="2006-12-07T00:00:00"/>
    <s v="555-01007"/>
    <s v="717 Main St"/>
    <s v="Paris"/>
    <s v="PA"/>
    <x v="1"/>
    <n v="4.78"/>
    <n v="173"/>
  </r>
  <r>
    <x v="717"/>
    <n v="60"/>
    <x v="1"/>
    <x v="0"/>
    <s v="Analyst"/>
    <x v="717"/>
    <x v="717"/>
    <d v="2019-07-10T00:00:00"/>
    <s v="555-01008"/>
    <s v="718 Main St"/>
    <s v="London"/>
    <s v="LN"/>
    <x v="2"/>
    <n v="4.37"/>
    <n v="54"/>
  </r>
  <r>
    <x v="718"/>
    <n v="33"/>
    <x v="2"/>
    <x v="2"/>
    <s v="HR Specialist"/>
    <x v="718"/>
    <x v="718"/>
    <d v="2002-08-13T00:00:00"/>
    <s v="555-01009"/>
    <s v="719 Main St"/>
    <s v="Dubai"/>
    <s v="DB"/>
    <x v="3"/>
    <n v="4.07"/>
    <n v="16"/>
  </r>
  <r>
    <x v="719"/>
    <n v="43"/>
    <x v="1"/>
    <x v="2"/>
    <s v="HR Specialist"/>
    <x v="719"/>
    <x v="719"/>
    <d v="2022-12-03T00:00:00"/>
    <s v="555-01000"/>
    <s v="720 Main St"/>
    <s v="Tokyo"/>
    <s v="TK"/>
    <x v="4"/>
    <n v="4.33"/>
    <n v="38"/>
  </r>
  <r>
    <x v="720"/>
    <n v="24"/>
    <x v="1"/>
    <x v="0"/>
    <s v="Project Manager"/>
    <x v="720"/>
    <x v="720"/>
    <d v="2021-08-06T00:00:00"/>
    <s v="555-01001"/>
    <s v="721 Main St"/>
    <s v="New York"/>
    <s v="NK"/>
    <x v="0"/>
    <n v="2.65"/>
    <n v="66"/>
  </r>
  <r>
    <x v="721"/>
    <n v="34"/>
    <x v="2"/>
    <x v="4"/>
    <s v="Software Engineer"/>
    <x v="721"/>
    <x v="721"/>
    <d v="2017-01-31T00:00:00"/>
    <s v="555-01002"/>
    <s v="722 Main St"/>
    <s v="Paris"/>
    <s v="PA"/>
    <x v="1"/>
    <n v="1.96"/>
    <n v="144"/>
  </r>
  <r>
    <x v="722"/>
    <n v="51"/>
    <x v="0"/>
    <x v="3"/>
    <s v="Software Engineer"/>
    <x v="722"/>
    <x v="722"/>
    <d v="2010-05-05T00:00:00"/>
    <s v="555-01003"/>
    <s v="723 Main St"/>
    <s v="London"/>
    <s v="LN"/>
    <x v="2"/>
    <n v="1.68"/>
    <n v="117"/>
  </r>
  <r>
    <x v="723"/>
    <n v="31"/>
    <x v="2"/>
    <x v="2"/>
    <s v="HR Specialist"/>
    <x v="723"/>
    <x v="723"/>
    <d v="2006-05-09T00:00:00"/>
    <s v="555-01004"/>
    <s v="724 Main St"/>
    <s v="Dubai"/>
    <s v="DB"/>
    <x v="3"/>
    <n v="3.8"/>
    <n v="152"/>
  </r>
  <r>
    <x v="724"/>
    <n v="30"/>
    <x v="1"/>
    <x v="3"/>
    <s v="Analyst"/>
    <x v="724"/>
    <x v="724"/>
    <d v="2010-10-08T00:00:00"/>
    <s v="555-01005"/>
    <s v="725 Main St"/>
    <s v="Tokyo"/>
    <s v="TK"/>
    <x v="4"/>
    <n v="4.1399999999999997"/>
    <n v="198"/>
  </r>
  <r>
    <x v="725"/>
    <n v="27"/>
    <x v="1"/>
    <x v="4"/>
    <s v="Analyst"/>
    <x v="725"/>
    <x v="725"/>
    <d v="2007-04-07T00:00:00"/>
    <s v="555-01006"/>
    <s v="726 Main St"/>
    <s v="New York"/>
    <s v="NK"/>
    <x v="0"/>
    <n v="1.5"/>
    <n v="20"/>
  </r>
  <r>
    <x v="726"/>
    <n v="23"/>
    <x v="0"/>
    <x v="2"/>
    <s v="Project Manager"/>
    <x v="726"/>
    <x v="726"/>
    <d v="2020-01-29T00:00:00"/>
    <s v="555-01007"/>
    <s v="727 Main St"/>
    <s v="Paris"/>
    <s v="PA"/>
    <x v="1"/>
    <n v="4.83"/>
    <n v="130"/>
  </r>
  <r>
    <x v="727"/>
    <n v="37"/>
    <x v="0"/>
    <x v="1"/>
    <s v="Sales Executive"/>
    <x v="727"/>
    <x v="727"/>
    <d v="2015-10-10T00:00:00"/>
    <s v="555-01008"/>
    <s v="728 Main St"/>
    <s v="London"/>
    <s v="LN"/>
    <x v="2"/>
    <n v="3.4"/>
    <n v="188"/>
  </r>
  <r>
    <x v="728"/>
    <n v="34"/>
    <x v="2"/>
    <x v="1"/>
    <s v="Sales Executive"/>
    <x v="728"/>
    <x v="728"/>
    <d v="2001-11-19T00:00:00"/>
    <s v="555-01009"/>
    <s v="729 Main St"/>
    <s v="Dubai"/>
    <s v="DB"/>
    <x v="3"/>
    <n v="3.97"/>
    <n v="21"/>
  </r>
  <r>
    <x v="729"/>
    <n v="34"/>
    <x v="0"/>
    <x v="0"/>
    <s v="Project Manager"/>
    <x v="729"/>
    <x v="729"/>
    <d v="2009-04-07T00:00:00"/>
    <s v="555-01000"/>
    <s v="730 Main St"/>
    <s v="Tokyo"/>
    <s v="TK"/>
    <x v="4"/>
    <n v="1.81"/>
    <n v="135"/>
  </r>
  <r>
    <x v="730"/>
    <n v="43"/>
    <x v="1"/>
    <x v="3"/>
    <s v="Sales Executive"/>
    <x v="730"/>
    <x v="730"/>
    <d v="2010-02-11T00:00:00"/>
    <s v="555-01001"/>
    <s v="731 Main St"/>
    <s v="New York"/>
    <s v="NK"/>
    <x v="0"/>
    <n v="3.89"/>
    <n v="56"/>
  </r>
  <r>
    <x v="731"/>
    <n v="40"/>
    <x v="1"/>
    <x v="1"/>
    <s v="HR Specialist"/>
    <x v="731"/>
    <x v="731"/>
    <d v="2008-06-15T00:00:00"/>
    <s v="555-01002"/>
    <s v="732 Main St"/>
    <s v="Paris"/>
    <s v="PA"/>
    <x v="1"/>
    <n v="1.03"/>
    <n v="137"/>
  </r>
  <r>
    <x v="732"/>
    <n v="47"/>
    <x v="1"/>
    <x v="0"/>
    <s v="Software Engineer"/>
    <x v="732"/>
    <x v="732"/>
    <d v="2012-12-16T00:00:00"/>
    <s v="555-01003"/>
    <s v="733 Main St"/>
    <s v="London"/>
    <s v="LN"/>
    <x v="2"/>
    <n v="3.38"/>
    <n v="3"/>
  </r>
  <r>
    <x v="733"/>
    <n v="35"/>
    <x v="1"/>
    <x v="0"/>
    <s v="Software Engineer"/>
    <x v="733"/>
    <x v="733"/>
    <d v="2021-06-23T00:00:00"/>
    <s v="555-01004"/>
    <s v="734 Main St"/>
    <s v="Dubai"/>
    <s v="DB"/>
    <x v="3"/>
    <n v="4.2300000000000004"/>
    <n v="187"/>
  </r>
  <r>
    <x v="734"/>
    <n v="52"/>
    <x v="0"/>
    <x v="0"/>
    <s v="Sales Executive"/>
    <x v="734"/>
    <x v="734"/>
    <d v="2000-10-15T00:00:00"/>
    <s v="555-01005"/>
    <s v="735 Main St"/>
    <s v="Tokyo"/>
    <s v="TK"/>
    <x v="4"/>
    <n v="1.2"/>
    <n v="163"/>
  </r>
  <r>
    <x v="735"/>
    <n v="50"/>
    <x v="1"/>
    <x v="4"/>
    <s v="Sales Executive"/>
    <x v="735"/>
    <x v="735"/>
    <d v="2021-06-29T00:00:00"/>
    <s v="555-01006"/>
    <s v="736 Main St"/>
    <s v="New York"/>
    <s v="NK"/>
    <x v="0"/>
    <n v="2.48"/>
    <n v="111"/>
  </r>
  <r>
    <x v="736"/>
    <n v="63"/>
    <x v="1"/>
    <x v="3"/>
    <s v="Sales Executive"/>
    <x v="736"/>
    <x v="736"/>
    <d v="2013-02-18T00:00:00"/>
    <s v="555-01007"/>
    <s v="737 Main St"/>
    <s v="Paris"/>
    <s v="PA"/>
    <x v="1"/>
    <n v="1.59"/>
    <n v="112"/>
  </r>
  <r>
    <x v="737"/>
    <n v="43"/>
    <x v="1"/>
    <x v="2"/>
    <s v="Software Engineer"/>
    <x v="737"/>
    <x v="737"/>
    <d v="2017-03-13T00:00:00"/>
    <s v="555-01008"/>
    <s v="738 Main St"/>
    <s v="London"/>
    <s v="LN"/>
    <x v="2"/>
    <n v="3.77"/>
    <n v="144"/>
  </r>
  <r>
    <x v="738"/>
    <n v="28"/>
    <x v="2"/>
    <x v="0"/>
    <s v="Sales Executive"/>
    <x v="738"/>
    <x v="738"/>
    <d v="2016-03-03T00:00:00"/>
    <s v="555-01009"/>
    <s v="739 Main St"/>
    <s v="Dubai"/>
    <s v="DB"/>
    <x v="3"/>
    <n v="3.71"/>
    <n v="75"/>
  </r>
  <r>
    <x v="739"/>
    <n v="58"/>
    <x v="2"/>
    <x v="2"/>
    <s v="Analyst"/>
    <x v="739"/>
    <x v="739"/>
    <d v="2010-12-18T00:00:00"/>
    <s v="555-01000"/>
    <s v="740 Main St"/>
    <s v="Tokyo"/>
    <s v="TK"/>
    <x v="4"/>
    <n v="2.5499999999999998"/>
    <n v="177"/>
  </r>
  <r>
    <x v="740"/>
    <n v="62"/>
    <x v="1"/>
    <x v="1"/>
    <s v="Analyst"/>
    <x v="740"/>
    <x v="740"/>
    <d v="2019-02-23T00:00:00"/>
    <s v="555-01001"/>
    <s v="741 Main St"/>
    <s v="New York"/>
    <s v="NK"/>
    <x v="0"/>
    <n v="2.58"/>
    <n v="111"/>
  </r>
  <r>
    <x v="741"/>
    <n v="48"/>
    <x v="0"/>
    <x v="4"/>
    <s v="HR Specialist"/>
    <x v="741"/>
    <x v="741"/>
    <d v="2008-09-25T00:00:00"/>
    <s v="555-01002"/>
    <s v="742 Main St"/>
    <s v="Paris"/>
    <s v="PA"/>
    <x v="1"/>
    <n v="2.73"/>
    <n v="107"/>
  </r>
  <r>
    <x v="742"/>
    <n v="52"/>
    <x v="0"/>
    <x v="2"/>
    <s v="Project Manager"/>
    <x v="742"/>
    <x v="742"/>
    <d v="2000-10-08T00:00:00"/>
    <s v="555-01003"/>
    <s v="743 Main St"/>
    <s v="London"/>
    <s v="LN"/>
    <x v="2"/>
    <n v="4.83"/>
    <n v="121"/>
  </r>
  <r>
    <x v="743"/>
    <n v="27"/>
    <x v="2"/>
    <x v="0"/>
    <s v="HR Specialist"/>
    <x v="743"/>
    <x v="743"/>
    <d v="2017-12-10T00:00:00"/>
    <s v="555-01004"/>
    <s v="744 Main St"/>
    <s v="Dubai"/>
    <s v="DB"/>
    <x v="3"/>
    <n v="2.15"/>
    <n v="80"/>
  </r>
  <r>
    <x v="744"/>
    <n v="37"/>
    <x v="2"/>
    <x v="4"/>
    <s v="Software Engineer"/>
    <x v="744"/>
    <x v="744"/>
    <d v="2015-10-20T00:00:00"/>
    <s v="555-01005"/>
    <s v="745 Main St"/>
    <s v="Tokyo"/>
    <s v="TK"/>
    <x v="4"/>
    <n v="4.04"/>
    <n v="170"/>
  </r>
  <r>
    <x v="745"/>
    <n v="59"/>
    <x v="0"/>
    <x v="0"/>
    <s v="Analyst"/>
    <x v="745"/>
    <x v="745"/>
    <d v="2013-10-20T00:00:00"/>
    <s v="555-01006"/>
    <s v="746 Main St"/>
    <s v="New York"/>
    <s v="NK"/>
    <x v="0"/>
    <n v="4.2300000000000004"/>
    <n v="117"/>
  </r>
  <r>
    <x v="746"/>
    <n v="59"/>
    <x v="2"/>
    <x v="4"/>
    <s v="Project Manager"/>
    <x v="746"/>
    <x v="746"/>
    <d v="2003-11-24T00:00:00"/>
    <s v="555-01007"/>
    <s v="747 Main St"/>
    <s v="Paris"/>
    <s v="PA"/>
    <x v="1"/>
    <n v="2.84"/>
    <n v="59"/>
  </r>
  <r>
    <x v="747"/>
    <n v="53"/>
    <x v="2"/>
    <x v="2"/>
    <s v="Analyst"/>
    <x v="747"/>
    <x v="747"/>
    <d v="2005-07-03T00:00:00"/>
    <s v="555-01008"/>
    <s v="748 Main St"/>
    <s v="London"/>
    <s v="LN"/>
    <x v="2"/>
    <n v="3.67"/>
    <n v="167"/>
  </r>
  <r>
    <x v="748"/>
    <n v="54"/>
    <x v="1"/>
    <x v="2"/>
    <s v="Sales Executive"/>
    <x v="748"/>
    <x v="748"/>
    <d v="2011-12-29T00:00:00"/>
    <s v="555-01009"/>
    <s v="749 Main St"/>
    <s v="Dubai"/>
    <s v="DB"/>
    <x v="3"/>
    <n v="3.85"/>
    <n v="83"/>
  </r>
  <r>
    <x v="749"/>
    <n v="38"/>
    <x v="0"/>
    <x v="1"/>
    <s v="Software Engineer"/>
    <x v="749"/>
    <x v="749"/>
    <d v="2003-01-21T00:00:00"/>
    <s v="555-01000"/>
    <s v="750 Main St"/>
    <s v="Tokyo"/>
    <s v="TK"/>
    <x v="4"/>
    <n v="3.27"/>
    <n v="199"/>
  </r>
  <r>
    <x v="750"/>
    <n v="54"/>
    <x v="1"/>
    <x v="3"/>
    <s v="Project Manager"/>
    <x v="750"/>
    <x v="750"/>
    <d v="2019-06-21T00:00:00"/>
    <s v="555-01001"/>
    <s v="751 Main St"/>
    <s v="New York"/>
    <s v="NK"/>
    <x v="0"/>
    <n v="2.2200000000000002"/>
    <n v="34"/>
  </r>
  <r>
    <x v="751"/>
    <n v="32"/>
    <x v="2"/>
    <x v="0"/>
    <s v="HR Specialist"/>
    <x v="751"/>
    <x v="751"/>
    <d v="2000-12-13T00:00:00"/>
    <s v="555-01002"/>
    <s v="752 Main St"/>
    <s v="Paris"/>
    <s v="PA"/>
    <x v="1"/>
    <n v="3.13"/>
    <n v="96"/>
  </r>
  <r>
    <x v="752"/>
    <n v="34"/>
    <x v="2"/>
    <x v="0"/>
    <s v="Software Engineer"/>
    <x v="752"/>
    <x v="752"/>
    <d v="2012-05-06T00:00:00"/>
    <s v="555-01003"/>
    <s v="753 Main St"/>
    <s v="London"/>
    <s v="LN"/>
    <x v="2"/>
    <n v="1.73"/>
    <n v="185"/>
  </r>
  <r>
    <x v="753"/>
    <n v="51"/>
    <x v="2"/>
    <x v="1"/>
    <s v="HR Specialist"/>
    <x v="753"/>
    <x v="753"/>
    <d v="2018-08-08T00:00:00"/>
    <s v="555-01004"/>
    <s v="754 Main St"/>
    <s v="Dubai"/>
    <s v="DB"/>
    <x v="3"/>
    <n v="3.3"/>
    <n v="76"/>
  </r>
  <r>
    <x v="754"/>
    <n v="22"/>
    <x v="2"/>
    <x v="4"/>
    <s v="HR Specialist"/>
    <x v="754"/>
    <x v="754"/>
    <d v="2012-09-16T00:00:00"/>
    <s v="555-01005"/>
    <s v="755 Main St"/>
    <s v="Tokyo"/>
    <s v="TK"/>
    <x v="4"/>
    <n v="4.38"/>
    <n v="114"/>
  </r>
  <r>
    <x v="755"/>
    <n v="51"/>
    <x v="0"/>
    <x v="4"/>
    <s v="HR Specialist"/>
    <x v="755"/>
    <x v="755"/>
    <d v="2009-11-23T00:00:00"/>
    <s v="555-01006"/>
    <s v="756 Main St"/>
    <s v="New York"/>
    <s v="NK"/>
    <x v="0"/>
    <n v="1.58"/>
    <n v="28"/>
  </r>
  <r>
    <x v="756"/>
    <n v="48"/>
    <x v="0"/>
    <x v="2"/>
    <s v="Sales Executive"/>
    <x v="756"/>
    <x v="756"/>
    <d v="2005-10-03T00:00:00"/>
    <s v="555-01007"/>
    <s v="757 Main St"/>
    <s v="Paris"/>
    <s v="PA"/>
    <x v="1"/>
    <n v="2.66"/>
    <n v="24"/>
  </r>
  <r>
    <x v="757"/>
    <n v="61"/>
    <x v="0"/>
    <x v="2"/>
    <s v="HR Specialist"/>
    <x v="757"/>
    <x v="757"/>
    <d v="2012-11-10T00:00:00"/>
    <s v="555-01008"/>
    <s v="758 Main St"/>
    <s v="London"/>
    <s v="LN"/>
    <x v="2"/>
    <n v="2.14"/>
    <n v="44"/>
  </r>
  <r>
    <x v="758"/>
    <n v="44"/>
    <x v="0"/>
    <x v="0"/>
    <s v="Analyst"/>
    <x v="758"/>
    <x v="758"/>
    <d v="2021-08-22T00:00:00"/>
    <s v="555-01009"/>
    <s v="759 Main St"/>
    <s v="Dubai"/>
    <s v="DB"/>
    <x v="3"/>
    <n v="2.0699999999999998"/>
    <n v="117"/>
  </r>
  <r>
    <x v="759"/>
    <n v="41"/>
    <x v="1"/>
    <x v="3"/>
    <s v="Project Manager"/>
    <x v="759"/>
    <x v="759"/>
    <d v="2011-12-20T00:00:00"/>
    <s v="555-01000"/>
    <s v="760 Main St"/>
    <s v="Tokyo"/>
    <s v="TK"/>
    <x v="4"/>
    <n v="2.35"/>
    <n v="117"/>
  </r>
  <r>
    <x v="760"/>
    <n v="27"/>
    <x v="1"/>
    <x v="0"/>
    <s v="Project Manager"/>
    <x v="760"/>
    <x v="760"/>
    <d v="2009-01-14T00:00:00"/>
    <s v="555-01001"/>
    <s v="761 Main St"/>
    <s v="New York"/>
    <s v="NK"/>
    <x v="0"/>
    <n v="1.82"/>
    <n v="55"/>
  </r>
  <r>
    <x v="761"/>
    <n v="58"/>
    <x v="1"/>
    <x v="4"/>
    <s v="Software Engineer"/>
    <x v="761"/>
    <x v="761"/>
    <d v="2003-07-02T00:00:00"/>
    <s v="555-01002"/>
    <s v="762 Main St"/>
    <s v="Paris"/>
    <s v="PA"/>
    <x v="1"/>
    <n v="2.95"/>
    <n v="41"/>
  </r>
  <r>
    <x v="762"/>
    <n v="41"/>
    <x v="2"/>
    <x v="3"/>
    <s v="Analyst"/>
    <x v="762"/>
    <x v="762"/>
    <d v="2009-12-16T00:00:00"/>
    <s v="555-01003"/>
    <s v="763 Main St"/>
    <s v="London"/>
    <s v="LN"/>
    <x v="2"/>
    <n v="1.35"/>
    <n v="182"/>
  </r>
  <r>
    <x v="763"/>
    <n v="58"/>
    <x v="0"/>
    <x v="3"/>
    <s v="HR Specialist"/>
    <x v="763"/>
    <x v="763"/>
    <d v="2014-07-26T00:00:00"/>
    <s v="555-01004"/>
    <s v="764 Main St"/>
    <s v="Dubai"/>
    <s v="DB"/>
    <x v="3"/>
    <n v="4.5199999999999996"/>
    <n v="198"/>
  </r>
  <r>
    <x v="764"/>
    <n v="27"/>
    <x v="0"/>
    <x v="1"/>
    <s v="Analyst"/>
    <x v="764"/>
    <x v="764"/>
    <d v="2020-01-29T00:00:00"/>
    <s v="555-01005"/>
    <s v="765 Main St"/>
    <s v="Tokyo"/>
    <s v="TK"/>
    <x v="4"/>
    <n v="3.42"/>
    <n v="47"/>
  </r>
  <r>
    <x v="765"/>
    <n v="50"/>
    <x v="0"/>
    <x v="2"/>
    <s v="HR Specialist"/>
    <x v="765"/>
    <x v="765"/>
    <d v="2018-01-05T00:00:00"/>
    <s v="555-01006"/>
    <s v="766 Main St"/>
    <s v="New York"/>
    <s v="NK"/>
    <x v="0"/>
    <n v="4.62"/>
    <n v="125"/>
  </r>
  <r>
    <x v="766"/>
    <n v="34"/>
    <x v="1"/>
    <x v="3"/>
    <s v="HR Specialist"/>
    <x v="766"/>
    <x v="766"/>
    <d v="2012-07-05T00:00:00"/>
    <s v="555-01007"/>
    <s v="767 Main St"/>
    <s v="Paris"/>
    <s v="PA"/>
    <x v="1"/>
    <n v="1.61"/>
    <n v="131"/>
  </r>
  <r>
    <x v="767"/>
    <n v="48"/>
    <x v="2"/>
    <x v="0"/>
    <s v="Project Manager"/>
    <x v="767"/>
    <x v="767"/>
    <d v="2020-06-28T00:00:00"/>
    <s v="555-01008"/>
    <s v="768 Main St"/>
    <s v="London"/>
    <s v="LN"/>
    <x v="2"/>
    <n v="4.0999999999999996"/>
    <n v="33"/>
  </r>
  <r>
    <x v="768"/>
    <n v="41"/>
    <x v="2"/>
    <x v="4"/>
    <s v="Sales Executive"/>
    <x v="768"/>
    <x v="768"/>
    <d v="2007-05-05T00:00:00"/>
    <s v="555-01009"/>
    <s v="769 Main St"/>
    <s v="Dubai"/>
    <s v="DB"/>
    <x v="3"/>
    <n v="4.55"/>
    <n v="110"/>
  </r>
  <r>
    <x v="769"/>
    <n v="34"/>
    <x v="2"/>
    <x v="2"/>
    <s v="Software Engineer"/>
    <x v="769"/>
    <x v="769"/>
    <d v="2006-01-17T00:00:00"/>
    <s v="555-01000"/>
    <s v="770 Main St"/>
    <s v="Tokyo"/>
    <s v="TK"/>
    <x v="4"/>
    <n v="2.2799999999999998"/>
    <n v="81"/>
  </r>
  <r>
    <x v="770"/>
    <n v="60"/>
    <x v="1"/>
    <x v="0"/>
    <s v="Project Manager"/>
    <x v="770"/>
    <x v="770"/>
    <d v="2018-11-21T00:00:00"/>
    <s v="555-01001"/>
    <s v="771 Main St"/>
    <s v="New York"/>
    <s v="NK"/>
    <x v="0"/>
    <n v="4.3099999999999996"/>
    <n v="188"/>
  </r>
  <r>
    <x v="771"/>
    <n v="29"/>
    <x v="0"/>
    <x v="4"/>
    <s v="HR Specialist"/>
    <x v="771"/>
    <x v="771"/>
    <d v="2001-07-30T00:00:00"/>
    <s v="555-01002"/>
    <s v="772 Main St"/>
    <s v="Paris"/>
    <s v="PA"/>
    <x v="1"/>
    <n v="4.67"/>
    <n v="63"/>
  </r>
  <r>
    <x v="772"/>
    <n v="38"/>
    <x v="1"/>
    <x v="0"/>
    <s v="Software Engineer"/>
    <x v="772"/>
    <x v="772"/>
    <d v="2021-12-13T00:00:00"/>
    <s v="555-01003"/>
    <s v="773 Main St"/>
    <s v="London"/>
    <s v="LN"/>
    <x v="2"/>
    <n v="3.8"/>
    <n v="141"/>
  </r>
  <r>
    <x v="773"/>
    <n v="51"/>
    <x v="0"/>
    <x v="0"/>
    <s v="HR Specialist"/>
    <x v="773"/>
    <x v="773"/>
    <d v="2007-01-02T00:00:00"/>
    <s v="555-01004"/>
    <s v="774 Main St"/>
    <s v="Dubai"/>
    <s v="DB"/>
    <x v="3"/>
    <n v="2.3199999999999998"/>
    <n v="83"/>
  </r>
  <r>
    <x v="774"/>
    <n v="22"/>
    <x v="2"/>
    <x v="2"/>
    <s v="Project Manager"/>
    <x v="774"/>
    <x v="774"/>
    <d v="2021-08-11T00:00:00"/>
    <s v="555-01005"/>
    <s v="775 Main St"/>
    <s v="Tokyo"/>
    <s v="TK"/>
    <x v="4"/>
    <n v="3.38"/>
    <n v="23"/>
  </r>
  <r>
    <x v="775"/>
    <n v="45"/>
    <x v="0"/>
    <x v="4"/>
    <s v="HR Specialist"/>
    <x v="775"/>
    <x v="775"/>
    <d v="2003-09-08T00:00:00"/>
    <s v="555-01006"/>
    <s v="776 Main St"/>
    <s v="New York"/>
    <s v="NK"/>
    <x v="0"/>
    <n v="3.27"/>
    <n v="176"/>
  </r>
  <r>
    <x v="776"/>
    <n v="37"/>
    <x v="2"/>
    <x v="0"/>
    <s v="Software Engineer"/>
    <x v="776"/>
    <x v="776"/>
    <d v="2007-05-13T00:00:00"/>
    <s v="555-01007"/>
    <s v="777 Main St"/>
    <s v="Paris"/>
    <s v="PA"/>
    <x v="1"/>
    <n v="3.35"/>
    <n v="139"/>
  </r>
  <r>
    <x v="777"/>
    <n v="32"/>
    <x v="2"/>
    <x v="3"/>
    <s v="HR Specialist"/>
    <x v="777"/>
    <x v="777"/>
    <d v="2013-03-15T00:00:00"/>
    <s v="555-01008"/>
    <s v="778 Main St"/>
    <s v="London"/>
    <s v="LN"/>
    <x v="2"/>
    <n v="3.04"/>
    <n v="49"/>
  </r>
  <r>
    <x v="778"/>
    <n v="25"/>
    <x v="2"/>
    <x v="2"/>
    <s v="Project Manager"/>
    <x v="778"/>
    <x v="778"/>
    <d v="2017-12-05T00:00:00"/>
    <s v="555-01009"/>
    <s v="779 Main St"/>
    <s v="Dubai"/>
    <s v="DB"/>
    <x v="3"/>
    <n v="3.08"/>
    <n v="31"/>
  </r>
  <r>
    <x v="779"/>
    <n v="25"/>
    <x v="0"/>
    <x v="1"/>
    <s v="HR Specialist"/>
    <x v="779"/>
    <x v="779"/>
    <d v="2019-12-21T00:00:00"/>
    <s v="555-01000"/>
    <s v="780 Main St"/>
    <s v="Tokyo"/>
    <s v="TK"/>
    <x v="4"/>
    <n v="1.68"/>
    <n v="68"/>
  </r>
  <r>
    <x v="780"/>
    <n v="38"/>
    <x v="1"/>
    <x v="3"/>
    <s v="Software Engineer"/>
    <x v="780"/>
    <x v="780"/>
    <d v="2016-06-30T00:00:00"/>
    <s v="555-01001"/>
    <s v="781 Main St"/>
    <s v="New York"/>
    <s v="NK"/>
    <x v="0"/>
    <n v="3.71"/>
    <n v="137"/>
  </r>
  <r>
    <x v="781"/>
    <n v="31"/>
    <x v="2"/>
    <x v="4"/>
    <s v="Analyst"/>
    <x v="781"/>
    <x v="781"/>
    <d v="2007-02-18T00:00:00"/>
    <s v="555-01002"/>
    <s v="782 Main St"/>
    <s v="Paris"/>
    <s v="PA"/>
    <x v="1"/>
    <n v="2.41"/>
    <n v="176"/>
  </r>
  <r>
    <x v="782"/>
    <n v="42"/>
    <x v="0"/>
    <x v="3"/>
    <s v="Analyst"/>
    <x v="782"/>
    <x v="782"/>
    <d v="2011-05-22T00:00:00"/>
    <s v="555-01003"/>
    <s v="783 Main St"/>
    <s v="London"/>
    <s v="LN"/>
    <x v="2"/>
    <n v="3.41"/>
    <n v="158"/>
  </r>
  <r>
    <x v="783"/>
    <n v="59"/>
    <x v="2"/>
    <x v="0"/>
    <s v="Sales Executive"/>
    <x v="783"/>
    <x v="783"/>
    <d v="2012-12-03T00:00:00"/>
    <s v="555-01004"/>
    <s v="784 Main St"/>
    <s v="Dubai"/>
    <s v="DB"/>
    <x v="3"/>
    <n v="2.19"/>
    <n v="179"/>
  </r>
  <r>
    <x v="784"/>
    <n v="39"/>
    <x v="0"/>
    <x v="1"/>
    <s v="Sales Executive"/>
    <x v="784"/>
    <x v="784"/>
    <d v="2012-02-11T00:00:00"/>
    <s v="555-01005"/>
    <s v="785 Main St"/>
    <s v="Tokyo"/>
    <s v="TK"/>
    <x v="4"/>
    <n v="3.82"/>
    <n v="154"/>
  </r>
  <r>
    <x v="785"/>
    <n v="31"/>
    <x v="1"/>
    <x v="2"/>
    <s v="Project Manager"/>
    <x v="785"/>
    <x v="785"/>
    <d v="2002-06-06T00:00:00"/>
    <s v="555-01006"/>
    <s v="786 Main St"/>
    <s v="New York"/>
    <s v="NK"/>
    <x v="0"/>
    <n v="3.39"/>
    <n v="27"/>
  </r>
  <r>
    <x v="786"/>
    <n v="37"/>
    <x v="2"/>
    <x v="1"/>
    <s v="HR Specialist"/>
    <x v="786"/>
    <x v="786"/>
    <d v="2008-02-08T00:00:00"/>
    <s v="555-01007"/>
    <s v="787 Main St"/>
    <s v="Paris"/>
    <s v="PA"/>
    <x v="1"/>
    <n v="3.9"/>
    <n v="46"/>
  </r>
  <r>
    <x v="787"/>
    <n v="60"/>
    <x v="2"/>
    <x v="3"/>
    <s v="HR Specialist"/>
    <x v="787"/>
    <x v="787"/>
    <d v="2017-08-13T00:00:00"/>
    <s v="555-01008"/>
    <s v="788 Main St"/>
    <s v="London"/>
    <s v="LN"/>
    <x v="2"/>
    <n v="3.99"/>
    <n v="89"/>
  </r>
  <r>
    <x v="788"/>
    <n v="36"/>
    <x v="2"/>
    <x v="1"/>
    <s v="HR Specialist"/>
    <x v="788"/>
    <x v="788"/>
    <d v="2013-06-10T00:00:00"/>
    <s v="555-01009"/>
    <s v="789 Main St"/>
    <s v="Dubai"/>
    <s v="DB"/>
    <x v="3"/>
    <n v="3.91"/>
    <n v="77"/>
  </r>
  <r>
    <x v="789"/>
    <n v="55"/>
    <x v="1"/>
    <x v="4"/>
    <s v="Project Manager"/>
    <x v="789"/>
    <x v="789"/>
    <d v="2008-02-22T00:00:00"/>
    <s v="555-01000"/>
    <s v="790 Main St"/>
    <s v="Tokyo"/>
    <s v="TK"/>
    <x v="4"/>
    <n v="4.49"/>
    <n v="57"/>
  </r>
  <r>
    <x v="790"/>
    <n v="26"/>
    <x v="0"/>
    <x v="0"/>
    <s v="Project Manager"/>
    <x v="790"/>
    <x v="790"/>
    <d v="2000-06-12T00:00:00"/>
    <s v="555-01001"/>
    <s v="791 Main St"/>
    <s v="New York"/>
    <s v="NK"/>
    <x v="0"/>
    <n v="4.8499999999999996"/>
    <n v="36"/>
  </r>
  <r>
    <x v="791"/>
    <n v="38"/>
    <x v="2"/>
    <x v="0"/>
    <s v="HR Specialist"/>
    <x v="791"/>
    <x v="791"/>
    <d v="2000-07-01T00:00:00"/>
    <s v="555-01002"/>
    <s v="792 Main St"/>
    <s v="Paris"/>
    <s v="PA"/>
    <x v="1"/>
    <n v="2.87"/>
    <n v="167"/>
  </r>
  <r>
    <x v="792"/>
    <n v="58"/>
    <x v="2"/>
    <x v="4"/>
    <s v="Software Engineer"/>
    <x v="792"/>
    <x v="792"/>
    <d v="2013-09-06T00:00:00"/>
    <s v="555-01003"/>
    <s v="793 Main St"/>
    <s v="London"/>
    <s v="LN"/>
    <x v="2"/>
    <n v="2.09"/>
    <n v="67"/>
  </r>
  <r>
    <x v="793"/>
    <n v="29"/>
    <x v="1"/>
    <x v="0"/>
    <s v="Project Manager"/>
    <x v="793"/>
    <x v="793"/>
    <d v="2012-12-11T00:00:00"/>
    <s v="555-01004"/>
    <s v="794 Main St"/>
    <s v="Dubai"/>
    <s v="DB"/>
    <x v="3"/>
    <n v="3.01"/>
    <n v="169"/>
  </r>
  <r>
    <x v="794"/>
    <n v="45"/>
    <x v="0"/>
    <x v="2"/>
    <s v="Sales Executive"/>
    <x v="794"/>
    <x v="794"/>
    <d v="2002-08-30T00:00:00"/>
    <s v="555-01005"/>
    <s v="795 Main St"/>
    <s v="Tokyo"/>
    <s v="TK"/>
    <x v="4"/>
    <n v="1.34"/>
    <n v="74"/>
  </r>
  <r>
    <x v="795"/>
    <n v="49"/>
    <x v="1"/>
    <x v="0"/>
    <s v="Software Engineer"/>
    <x v="795"/>
    <x v="795"/>
    <d v="2000-03-31T00:00:00"/>
    <s v="555-01006"/>
    <s v="796 Main St"/>
    <s v="New York"/>
    <s v="NK"/>
    <x v="0"/>
    <n v="2.36"/>
    <n v="45"/>
  </r>
  <r>
    <x v="796"/>
    <n v="29"/>
    <x v="1"/>
    <x v="0"/>
    <s v="Analyst"/>
    <x v="796"/>
    <x v="796"/>
    <d v="2008-12-31T00:00:00"/>
    <s v="555-01007"/>
    <s v="797 Main St"/>
    <s v="Paris"/>
    <s v="PA"/>
    <x v="1"/>
    <n v="2.2599999999999998"/>
    <n v="139"/>
  </r>
  <r>
    <x v="797"/>
    <n v="44"/>
    <x v="2"/>
    <x v="3"/>
    <s v="HR Specialist"/>
    <x v="797"/>
    <x v="797"/>
    <d v="2003-07-01T00:00:00"/>
    <s v="555-01008"/>
    <s v="798 Main St"/>
    <s v="London"/>
    <s v="LN"/>
    <x v="2"/>
    <n v="3.38"/>
    <n v="18"/>
  </r>
  <r>
    <x v="798"/>
    <n v="56"/>
    <x v="0"/>
    <x v="1"/>
    <s v="Sales Executive"/>
    <x v="798"/>
    <x v="798"/>
    <d v="2005-02-01T00:00:00"/>
    <s v="555-01009"/>
    <s v="799 Main St"/>
    <s v="Dubai"/>
    <s v="DB"/>
    <x v="3"/>
    <n v="2.31"/>
    <n v="170"/>
  </r>
  <r>
    <x v="799"/>
    <n v="52"/>
    <x v="2"/>
    <x v="0"/>
    <s v="Sales Executive"/>
    <x v="799"/>
    <x v="799"/>
    <d v="2000-05-05T00:00:00"/>
    <s v="555-01000"/>
    <s v="800 Main St"/>
    <s v="Tokyo"/>
    <s v="TK"/>
    <x v="4"/>
    <n v="3.71"/>
    <n v="146"/>
  </r>
  <r>
    <x v="800"/>
    <n v="38"/>
    <x v="2"/>
    <x v="3"/>
    <s v="Sales Executive"/>
    <x v="800"/>
    <x v="800"/>
    <d v="2020-12-12T00:00:00"/>
    <s v="555-01001"/>
    <s v="801 Main St"/>
    <s v="New York"/>
    <s v="NK"/>
    <x v="0"/>
    <n v="2.96"/>
    <n v="17"/>
  </r>
  <r>
    <x v="801"/>
    <n v="49"/>
    <x v="1"/>
    <x v="4"/>
    <s v="Sales Executive"/>
    <x v="801"/>
    <x v="801"/>
    <d v="2001-07-17T00:00:00"/>
    <s v="555-01002"/>
    <s v="802 Main St"/>
    <s v="Paris"/>
    <s v="PA"/>
    <x v="1"/>
    <n v="4.58"/>
    <n v="161"/>
  </r>
  <r>
    <x v="802"/>
    <n v="33"/>
    <x v="1"/>
    <x v="2"/>
    <s v="HR Specialist"/>
    <x v="802"/>
    <x v="802"/>
    <d v="2017-07-09T00:00:00"/>
    <s v="555-01003"/>
    <s v="803 Main St"/>
    <s v="London"/>
    <s v="LN"/>
    <x v="2"/>
    <n v="1.49"/>
    <n v="102"/>
  </r>
  <r>
    <x v="803"/>
    <n v="45"/>
    <x v="2"/>
    <x v="4"/>
    <s v="Sales Executive"/>
    <x v="803"/>
    <x v="803"/>
    <d v="2018-05-20T00:00:00"/>
    <s v="555-01004"/>
    <s v="804 Main St"/>
    <s v="Dubai"/>
    <s v="DB"/>
    <x v="3"/>
    <n v="1.04"/>
    <n v="134"/>
  </r>
  <r>
    <x v="804"/>
    <n v="36"/>
    <x v="1"/>
    <x v="2"/>
    <s v="Sales Executive"/>
    <x v="804"/>
    <x v="804"/>
    <d v="2007-10-20T00:00:00"/>
    <s v="555-01005"/>
    <s v="805 Main St"/>
    <s v="Tokyo"/>
    <s v="TK"/>
    <x v="4"/>
    <n v="2.89"/>
    <n v="74"/>
  </r>
  <r>
    <x v="805"/>
    <n v="61"/>
    <x v="1"/>
    <x v="3"/>
    <s v="Software Engineer"/>
    <x v="805"/>
    <x v="805"/>
    <d v="2006-01-24T00:00:00"/>
    <s v="555-01006"/>
    <s v="806 Main St"/>
    <s v="New York"/>
    <s v="NK"/>
    <x v="0"/>
    <n v="2.04"/>
    <n v="134"/>
  </r>
  <r>
    <x v="806"/>
    <n v="52"/>
    <x v="0"/>
    <x v="4"/>
    <s v="Project Manager"/>
    <x v="806"/>
    <x v="806"/>
    <d v="2007-12-09T00:00:00"/>
    <s v="555-01007"/>
    <s v="807 Main St"/>
    <s v="Paris"/>
    <s v="PA"/>
    <x v="1"/>
    <n v="2.7"/>
    <n v="16"/>
  </r>
  <r>
    <x v="807"/>
    <n v="48"/>
    <x v="2"/>
    <x v="3"/>
    <s v="Analyst"/>
    <x v="807"/>
    <x v="807"/>
    <d v="2015-06-07T00:00:00"/>
    <s v="555-01008"/>
    <s v="808 Main St"/>
    <s v="London"/>
    <s v="LN"/>
    <x v="2"/>
    <n v="4.93"/>
    <n v="22"/>
  </r>
  <r>
    <x v="808"/>
    <n v="56"/>
    <x v="2"/>
    <x v="2"/>
    <s v="HR Specialist"/>
    <x v="808"/>
    <x v="808"/>
    <d v="2015-09-12T00:00:00"/>
    <s v="555-01009"/>
    <s v="809 Main St"/>
    <s v="Dubai"/>
    <s v="DB"/>
    <x v="3"/>
    <n v="4.7300000000000004"/>
    <n v="163"/>
  </r>
  <r>
    <x v="809"/>
    <n v="39"/>
    <x v="0"/>
    <x v="0"/>
    <s v="Analyst"/>
    <x v="809"/>
    <x v="809"/>
    <d v="2003-01-14T00:00:00"/>
    <s v="555-01000"/>
    <s v="810 Main St"/>
    <s v="Tokyo"/>
    <s v="TK"/>
    <x v="4"/>
    <n v="2.4500000000000002"/>
    <n v="167"/>
  </r>
  <r>
    <x v="810"/>
    <n v="57"/>
    <x v="1"/>
    <x v="3"/>
    <s v="Analyst"/>
    <x v="810"/>
    <x v="810"/>
    <d v="2008-06-04T00:00:00"/>
    <s v="555-01001"/>
    <s v="811 Main St"/>
    <s v="New York"/>
    <s v="NK"/>
    <x v="0"/>
    <n v="3.75"/>
    <n v="127"/>
  </r>
  <r>
    <x v="811"/>
    <n v="29"/>
    <x v="0"/>
    <x v="1"/>
    <s v="Project Manager"/>
    <x v="811"/>
    <x v="811"/>
    <d v="2022-05-14T00:00:00"/>
    <s v="555-01002"/>
    <s v="812 Main St"/>
    <s v="Paris"/>
    <s v="PA"/>
    <x v="1"/>
    <n v="2.34"/>
    <n v="161"/>
  </r>
  <r>
    <x v="812"/>
    <n v="59"/>
    <x v="0"/>
    <x v="0"/>
    <s v="HR Specialist"/>
    <x v="812"/>
    <x v="812"/>
    <d v="2015-10-23T00:00:00"/>
    <s v="555-01003"/>
    <s v="813 Main St"/>
    <s v="London"/>
    <s v="LN"/>
    <x v="2"/>
    <n v="2.65"/>
    <n v="23"/>
  </r>
  <r>
    <x v="813"/>
    <n v="26"/>
    <x v="0"/>
    <x v="0"/>
    <s v="Software Engineer"/>
    <x v="813"/>
    <x v="813"/>
    <d v="2003-11-15T00:00:00"/>
    <s v="555-01004"/>
    <s v="814 Main St"/>
    <s v="Dubai"/>
    <s v="DB"/>
    <x v="3"/>
    <n v="1.23"/>
    <n v="138"/>
  </r>
  <r>
    <x v="814"/>
    <n v="35"/>
    <x v="1"/>
    <x v="1"/>
    <s v="Project Manager"/>
    <x v="814"/>
    <x v="814"/>
    <d v="2022-09-23T00:00:00"/>
    <s v="555-01005"/>
    <s v="815 Main St"/>
    <s v="Tokyo"/>
    <s v="TK"/>
    <x v="4"/>
    <n v="1.52"/>
    <n v="16"/>
  </r>
  <r>
    <x v="815"/>
    <n v="59"/>
    <x v="0"/>
    <x v="4"/>
    <s v="Sales Executive"/>
    <x v="815"/>
    <x v="815"/>
    <d v="2008-12-31T00:00:00"/>
    <s v="555-01006"/>
    <s v="816 Main St"/>
    <s v="New York"/>
    <s v="NK"/>
    <x v="0"/>
    <n v="4.07"/>
    <n v="145"/>
  </r>
  <r>
    <x v="816"/>
    <n v="41"/>
    <x v="2"/>
    <x v="1"/>
    <s v="Sales Executive"/>
    <x v="816"/>
    <x v="816"/>
    <d v="2006-02-20T00:00:00"/>
    <s v="555-01007"/>
    <s v="817 Main St"/>
    <s v="Paris"/>
    <s v="PA"/>
    <x v="1"/>
    <n v="4.8899999999999997"/>
    <n v="155"/>
  </r>
  <r>
    <x v="817"/>
    <n v="30"/>
    <x v="1"/>
    <x v="0"/>
    <s v="Analyst"/>
    <x v="817"/>
    <x v="817"/>
    <d v="2013-03-15T00:00:00"/>
    <s v="555-01008"/>
    <s v="818 Main St"/>
    <s v="London"/>
    <s v="LN"/>
    <x v="2"/>
    <n v="4.08"/>
    <n v="108"/>
  </r>
  <r>
    <x v="818"/>
    <n v="54"/>
    <x v="0"/>
    <x v="4"/>
    <s v="Software Engineer"/>
    <x v="818"/>
    <x v="818"/>
    <d v="2011-10-14T00:00:00"/>
    <s v="555-01009"/>
    <s v="819 Main St"/>
    <s v="Dubai"/>
    <s v="DB"/>
    <x v="3"/>
    <n v="4.67"/>
    <n v="148"/>
  </r>
  <r>
    <x v="819"/>
    <n v="39"/>
    <x v="0"/>
    <x v="4"/>
    <s v="Analyst"/>
    <x v="819"/>
    <x v="819"/>
    <d v="2014-05-06T00:00:00"/>
    <s v="555-01000"/>
    <s v="820 Main St"/>
    <s v="Tokyo"/>
    <s v="TK"/>
    <x v="4"/>
    <n v="2.2400000000000002"/>
    <n v="1"/>
  </r>
  <r>
    <x v="820"/>
    <n v="27"/>
    <x v="0"/>
    <x v="2"/>
    <s v="Sales Executive"/>
    <x v="820"/>
    <x v="820"/>
    <d v="2002-12-08T00:00:00"/>
    <s v="555-01001"/>
    <s v="821 Main St"/>
    <s v="New York"/>
    <s v="NK"/>
    <x v="0"/>
    <n v="2.5"/>
    <n v="110"/>
  </r>
  <r>
    <x v="821"/>
    <n v="58"/>
    <x v="0"/>
    <x v="1"/>
    <s v="HR Specialist"/>
    <x v="821"/>
    <x v="821"/>
    <d v="2006-06-28T00:00:00"/>
    <s v="555-01002"/>
    <s v="822 Main St"/>
    <s v="Paris"/>
    <s v="PA"/>
    <x v="1"/>
    <n v="1.23"/>
    <n v="158"/>
  </r>
  <r>
    <x v="822"/>
    <n v="23"/>
    <x v="0"/>
    <x v="0"/>
    <s v="Project Manager"/>
    <x v="822"/>
    <x v="822"/>
    <d v="2019-04-22T00:00:00"/>
    <s v="555-01003"/>
    <s v="823 Main St"/>
    <s v="London"/>
    <s v="LN"/>
    <x v="2"/>
    <n v="1.23"/>
    <n v="3"/>
  </r>
  <r>
    <x v="823"/>
    <n v="51"/>
    <x v="0"/>
    <x v="3"/>
    <s v="Software Engineer"/>
    <x v="823"/>
    <x v="823"/>
    <d v="2008-11-25T00:00:00"/>
    <s v="555-01004"/>
    <s v="824 Main St"/>
    <s v="Dubai"/>
    <s v="DB"/>
    <x v="3"/>
    <n v="4.8099999999999996"/>
    <n v="189"/>
  </r>
  <r>
    <x v="824"/>
    <n v="27"/>
    <x v="2"/>
    <x v="2"/>
    <s v="Project Manager"/>
    <x v="824"/>
    <x v="824"/>
    <d v="2014-12-04T00:00:00"/>
    <s v="555-01005"/>
    <s v="825 Main St"/>
    <s v="Tokyo"/>
    <s v="TK"/>
    <x v="4"/>
    <n v="1.86"/>
    <n v="83"/>
  </r>
  <r>
    <x v="825"/>
    <n v="38"/>
    <x v="1"/>
    <x v="3"/>
    <s v="Project Manager"/>
    <x v="825"/>
    <x v="825"/>
    <d v="2014-04-13T00:00:00"/>
    <s v="555-01006"/>
    <s v="826 Main St"/>
    <s v="New York"/>
    <s v="NK"/>
    <x v="0"/>
    <n v="1.91"/>
    <n v="170"/>
  </r>
  <r>
    <x v="826"/>
    <n v="60"/>
    <x v="2"/>
    <x v="4"/>
    <s v="Analyst"/>
    <x v="826"/>
    <x v="826"/>
    <d v="2002-06-04T00:00:00"/>
    <s v="555-01007"/>
    <s v="827 Main St"/>
    <s v="Paris"/>
    <s v="PA"/>
    <x v="1"/>
    <n v="2.0699999999999998"/>
    <n v="22"/>
  </r>
  <r>
    <x v="827"/>
    <n v="62"/>
    <x v="0"/>
    <x v="0"/>
    <s v="Sales Executive"/>
    <x v="827"/>
    <x v="827"/>
    <d v="2019-07-07T00:00:00"/>
    <s v="555-01008"/>
    <s v="828 Main St"/>
    <s v="London"/>
    <s v="LN"/>
    <x v="2"/>
    <n v="2.2400000000000002"/>
    <n v="104"/>
  </r>
  <r>
    <x v="828"/>
    <n v="44"/>
    <x v="0"/>
    <x v="0"/>
    <s v="Software Engineer"/>
    <x v="828"/>
    <x v="828"/>
    <d v="2003-03-16T00:00:00"/>
    <s v="555-01009"/>
    <s v="829 Main St"/>
    <s v="Dubai"/>
    <s v="DB"/>
    <x v="3"/>
    <n v="2.98"/>
    <n v="179"/>
  </r>
  <r>
    <x v="829"/>
    <n v="52"/>
    <x v="0"/>
    <x v="1"/>
    <s v="Project Manager"/>
    <x v="829"/>
    <x v="829"/>
    <d v="2002-07-18T00:00:00"/>
    <s v="555-01000"/>
    <s v="830 Main St"/>
    <s v="Tokyo"/>
    <s v="TK"/>
    <x v="4"/>
    <n v="2.61"/>
    <n v="150"/>
  </r>
  <r>
    <x v="830"/>
    <n v="41"/>
    <x v="2"/>
    <x v="0"/>
    <s v="Software Engineer"/>
    <x v="830"/>
    <x v="830"/>
    <d v="2017-08-28T00:00:00"/>
    <s v="555-01001"/>
    <s v="831 Main St"/>
    <s v="New York"/>
    <s v="NK"/>
    <x v="0"/>
    <n v="1.21"/>
    <n v="198"/>
  </r>
  <r>
    <x v="831"/>
    <n v="26"/>
    <x v="0"/>
    <x v="0"/>
    <s v="Software Engineer"/>
    <x v="831"/>
    <x v="831"/>
    <d v="2007-10-31T00:00:00"/>
    <s v="555-01002"/>
    <s v="832 Main St"/>
    <s v="Paris"/>
    <s v="PA"/>
    <x v="1"/>
    <n v="2.17"/>
    <n v="115"/>
  </r>
  <r>
    <x v="832"/>
    <n v="42"/>
    <x v="2"/>
    <x v="1"/>
    <s v="Sales Executive"/>
    <x v="832"/>
    <x v="832"/>
    <d v="2017-08-13T00:00:00"/>
    <s v="555-01003"/>
    <s v="833 Main St"/>
    <s v="London"/>
    <s v="LN"/>
    <x v="2"/>
    <n v="2.9"/>
    <n v="65"/>
  </r>
  <r>
    <x v="833"/>
    <n v="64"/>
    <x v="1"/>
    <x v="1"/>
    <s v="Project Manager"/>
    <x v="833"/>
    <x v="833"/>
    <d v="2013-09-04T00:00:00"/>
    <s v="555-01004"/>
    <s v="834 Main St"/>
    <s v="Dubai"/>
    <s v="DB"/>
    <x v="3"/>
    <n v="4.34"/>
    <n v="72"/>
  </r>
  <r>
    <x v="834"/>
    <n v="32"/>
    <x v="2"/>
    <x v="0"/>
    <s v="Software Engineer"/>
    <x v="834"/>
    <x v="834"/>
    <d v="2002-04-20T00:00:00"/>
    <s v="555-01005"/>
    <s v="835 Main St"/>
    <s v="Tokyo"/>
    <s v="TK"/>
    <x v="4"/>
    <n v="4.91"/>
    <n v="74"/>
  </r>
  <r>
    <x v="835"/>
    <n v="25"/>
    <x v="2"/>
    <x v="0"/>
    <s v="Software Engineer"/>
    <x v="835"/>
    <x v="835"/>
    <d v="2013-11-05T00:00:00"/>
    <s v="555-01006"/>
    <s v="836 Main St"/>
    <s v="New York"/>
    <s v="NK"/>
    <x v="0"/>
    <n v="1.52"/>
    <n v="84"/>
  </r>
  <r>
    <x v="836"/>
    <n v="44"/>
    <x v="1"/>
    <x v="2"/>
    <s v="Project Manager"/>
    <x v="836"/>
    <x v="836"/>
    <d v="2013-07-14T00:00:00"/>
    <s v="555-01007"/>
    <s v="837 Main St"/>
    <s v="Paris"/>
    <s v="PA"/>
    <x v="1"/>
    <n v="2.23"/>
    <n v="179"/>
  </r>
  <r>
    <x v="837"/>
    <n v="59"/>
    <x v="0"/>
    <x v="3"/>
    <s v="Project Manager"/>
    <x v="837"/>
    <x v="837"/>
    <d v="2021-03-05T00:00:00"/>
    <s v="555-01008"/>
    <s v="838 Main St"/>
    <s v="London"/>
    <s v="LN"/>
    <x v="2"/>
    <n v="1.17"/>
    <n v="125"/>
  </r>
  <r>
    <x v="838"/>
    <n v="51"/>
    <x v="2"/>
    <x v="2"/>
    <s v="Project Manager"/>
    <x v="838"/>
    <x v="838"/>
    <d v="2008-05-25T00:00:00"/>
    <s v="555-01009"/>
    <s v="839 Main St"/>
    <s v="Dubai"/>
    <s v="DB"/>
    <x v="3"/>
    <n v="1.7"/>
    <n v="136"/>
  </r>
  <r>
    <x v="839"/>
    <n v="63"/>
    <x v="1"/>
    <x v="2"/>
    <s v="Analyst"/>
    <x v="839"/>
    <x v="839"/>
    <d v="2003-08-18T00:00:00"/>
    <s v="555-01000"/>
    <s v="840 Main St"/>
    <s v="Tokyo"/>
    <s v="TK"/>
    <x v="4"/>
    <n v="3.88"/>
    <n v="185"/>
  </r>
  <r>
    <x v="840"/>
    <n v="62"/>
    <x v="2"/>
    <x v="4"/>
    <s v="Project Manager"/>
    <x v="840"/>
    <x v="840"/>
    <d v="2008-07-21T00:00:00"/>
    <s v="555-01001"/>
    <s v="841 Main St"/>
    <s v="New York"/>
    <s v="NK"/>
    <x v="0"/>
    <n v="4.29"/>
    <n v="151"/>
  </r>
  <r>
    <x v="841"/>
    <n v="39"/>
    <x v="2"/>
    <x v="0"/>
    <s v="Sales Executive"/>
    <x v="841"/>
    <x v="841"/>
    <d v="2021-05-15T00:00:00"/>
    <s v="555-01002"/>
    <s v="842 Main St"/>
    <s v="Paris"/>
    <s v="PA"/>
    <x v="1"/>
    <n v="1.3"/>
    <n v="73"/>
  </r>
  <r>
    <x v="842"/>
    <n v="62"/>
    <x v="1"/>
    <x v="2"/>
    <s v="Software Engineer"/>
    <x v="842"/>
    <x v="842"/>
    <d v="2008-05-21T00:00:00"/>
    <s v="555-01003"/>
    <s v="843 Main St"/>
    <s v="London"/>
    <s v="LN"/>
    <x v="2"/>
    <n v="3.94"/>
    <n v="65"/>
  </r>
  <r>
    <x v="843"/>
    <n v="64"/>
    <x v="2"/>
    <x v="0"/>
    <s v="Analyst"/>
    <x v="843"/>
    <x v="843"/>
    <d v="2007-08-24T00:00:00"/>
    <s v="555-01004"/>
    <s v="844 Main St"/>
    <s v="Dubai"/>
    <s v="DB"/>
    <x v="3"/>
    <n v="2.68"/>
    <n v="150"/>
  </r>
  <r>
    <x v="844"/>
    <n v="52"/>
    <x v="1"/>
    <x v="2"/>
    <s v="Project Manager"/>
    <x v="844"/>
    <x v="844"/>
    <d v="2001-01-31T00:00:00"/>
    <s v="555-01005"/>
    <s v="845 Main St"/>
    <s v="Tokyo"/>
    <s v="TK"/>
    <x v="4"/>
    <n v="2.59"/>
    <n v="49"/>
  </r>
  <r>
    <x v="845"/>
    <n v="51"/>
    <x v="2"/>
    <x v="4"/>
    <s v="HR Specialist"/>
    <x v="845"/>
    <x v="845"/>
    <d v="2017-12-03T00:00:00"/>
    <s v="555-01006"/>
    <s v="846 Main St"/>
    <s v="New York"/>
    <s v="NK"/>
    <x v="0"/>
    <n v="4.95"/>
    <n v="77"/>
  </r>
  <r>
    <x v="846"/>
    <n v="55"/>
    <x v="0"/>
    <x v="0"/>
    <s v="Analyst"/>
    <x v="846"/>
    <x v="846"/>
    <d v="2010-10-06T00:00:00"/>
    <s v="555-01007"/>
    <s v="847 Main St"/>
    <s v="Paris"/>
    <s v="PA"/>
    <x v="1"/>
    <n v="2.4700000000000002"/>
    <n v="148"/>
  </r>
  <r>
    <x v="847"/>
    <n v="52"/>
    <x v="1"/>
    <x v="3"/>
    <s v="Analyst"/>
    <x v="847"/>
    <x v="847"/>
    <d v="2020-12-04T00:00:00"/>
    <s v="555-01008"/>
    <s v="848 Main St"/>
    <s v="London"/>
    <s v="LN"/>
    <x v="2"/>
    <n v="1.4"/>
    <n v="152"/>
  </r>
  <r>
    <x v="848"/>
    <n v="59"/>
    <x v="0"/>
    <x v="4"/>
    <s v="Analyst"/>
    <x v="848"/>
    <x v="848"/>
    <d v="2019-09-07T00:00:00"/>
    <s v="555-01009"/>
    <s v="849 Main St"/>
    <s v="Dubai"/>
    <s v="DB"/>
    <x v="3"/>
    <n v="1.75"/>
    <n v="51"/>
  </r>
  <r>
    <x v="849"/>
    <n v="46"/>
    <x v="2"/>
    <x v="1"/>
    <s v="Analyst"/>
    <x v="849"/>
    <x v="849"/>
    <d v="2000-05-24T00:00:00"/>
    <s v="555-01000"/>
    <s v="850 Main St"/>
    <s v="Tokyo"/>
    <s v="TK"/>
    <x v="4"/>
    <n v="3.51"/>
    <n v="117"/>
  </r>
  <r>
    <x v="850"/>
    <n v="38"/>
    <x v="0"/>
    <x v="3"/>
    <s v="Software Engineer"/>
    <x v="850"/>
    <x v="850"/>
    <d v="2015-11-16T00:00:00"/>
    <s v="555-01001"/>
    <s v="851 Main St"/>
    <s v="New York"/>
    <s v="NK"/>
    <x v="0"/>
    <n v="3.94"/>
    <n v="98"/>
  </r>
  <r>
    <x v="851"/>
    <n v="57"/>
    <x v="1"/>
    <x v="2"/>
    <s v="Software Engineer"/>
    <x v="851"/>
    <x v="851"/>
    <d v="2003-05-05T00:00:00"/>
    <s v="555-01002"/>
    <s v="852 Main St"/>
    <s v="Paris"/>
    <s v="PA"/>
    <x v="1"/>
    <n v="3.46"/>
    <n v="109"/>
  </r>
  <r>
    <x v="852"/>
    <n v="61"/>
    <x v="2"/>
    <x v="0"/>
    <s v="Analyst"/>
    <x v="852"/>
    <x v="852"/>
    <d v="2021-10-16T00:00:00"/>
    <s v="555-01003"/>
    <s v="853 Main St"/>
    <s v="London"/>
    <s v="LN"/>
    <x v="2"/>
    <n v="4.0199999999999996"/>
    <n v="95"/>
  </r>
  <r>
    <x v="853"/>
    <n v="51"/>
    <x v="1"/>
    <x v="0"/>
    <s v="HR Specialist"/>
    <x v="853"/>
    <x v="853"/>
    <d v="2002-06-30T00:00:00"/>
    <s v="555-01004"/>
    <s v="854 Main St"/>
    <s v="Dubai"/>
    <s v="DB"/>
    <x v="3"/>
    <n v="3.01"/>
    <n v="141"/>
  </r>
  <r>
    <x v="854"/>
    <n v="23"/>
    <x v="2"/>
    <x v="3"/>
    <s v="Project Manager"/>
    <x v="854"/>
    <x v="854"/>
    <d v="2000-04-18T00:00:00"/>
    <s v="555-01005"/>
    <s v="855 Main St"/>
    <s v="Tokyo"/>
    <s v="TK"/>
    <x v="4"/>
    <n v="3.54"/>
    <n v="36"/>
  </r>
  <r>
    <x v="855"/>
    <n v="45"/>
    <x v="0"/>
    <x v="1"/>
    <s v="Analyst"/>
    <x v="855"/>
    <x v="855"/>
    <d v="2006-11-12T00:00:00"/>
    <s v="555-01006"/>
    <s v="856 Main St"/>
    <s v="New York"/>
    <s v="NK"/>
    <x v="0"/>
    <n v="1.01"/>
    <n v="48"/>
  </r>
  <r>
    <x v="856"/>
    <n v="30"/>
    <x v="0"/>
    <x v="0"/>
    <s v="Analyst"/>
    <x v="856"/>
    <x v="856"/>
    <d v="2016-06-17T00:00:00"/>
    <s v="555-01007"/>
    <s v="857 Main St"/>
    <s v="Paris"/>
    <s v="PA"/>
    <x v="1"/>
    <n v="1.1000000000000001"/>
    <n v="161"/>
  </r>
  <r>
    <x v="857"/>
    <n v="22"/>
    <x v="1"/>
    <x v="1"/>
    <s v="Project Manager"/>
    <x v="857"/>
    <x v="857"/>
    <d v="2004-12-30T00:00:00"/>
    <s v="555-01008"/>
    <s v="858 Main St"/>
    <s v="London"/>
    <s v="LN"/>
    <x v="2"/>
    <n v="2.34"/>
    <n v="111"/>
  </r>
  <r>
    <x v="858"/>
    <n v="45"/>
    <x v="1"/>
    <x v="1"/>
    <s v="Software Engineer"/>
    <x v="858"/>
    <x v="858"/>
    <d v="2015-02-16T00:00:00"/>
    <s v="555-01009"/>
    <s v="859 Main St"/>
    <s v="Dubai"/>
    <s v="DB"/>
    <x v="3"/>
    <n v="2.0699999999999998"/>
    <n v="158"/>
  </r>
  <r>
    <x v="859"/>
    <n v="59"/>
    <x v="2"/>
    <x v="4"/>
    <s v="Analyst"/>
    <x v="859"/>
    <x v="859"/>
    <d v="2012-02-17T00:00:00"/>
    <s v="555-01000"/>
    <s v="860 Main St"/>
    <s v="Tokyo"/>
    <s v="TK"/>
    <x v="4"/>
    <n v="2.65"/>
    <n v="158"/>
  </r>
  <r>
    <x v="860"/>
    <n v="48"/>
    <x v="1"/>
    <x v="3"/>
    <s v="Analyst"/>
    <x v="860"/>
    <x v="860"/>
    <d v="2020-11-24T00:00:00"/>
    <s v="555-01001"/>
    <s v="861 Main St"/>
    <s v="New York"/>
    <s v="NK"/>
    <x v="0"/>
    <n v="3.08"/>
    <n v="37"/>
  </r>
  <r>
    <x v="861"/>
    <n v="47"/>
    <x v="1"/>
    <x v="3"/>
    <s v="Analyst"/>
    <x v="861"/>
    <x v="861"/>
    <d v="2011-11-03T00:00:00"/>
    <s v="555-01002"/>
    <s v="862 Main St"/>
    <s v="Paris"/>
    <s v="PA"/>
    <x v="1"/>
    <n v="1.76"/>
    <n v="43"/>
  </r>
  <r>
    <x v="862"/>
    <n v="47"/>
    <x v="0"/>
    <x v="3"/>
    <s v="Analyst"/>
    <x v="862"/>
    <x v="862"/>
    <d v="2018-03-04T00:00:00"/>
    <s v="555-01003"/>
    <s v="863 Main St"/>
    <s v="London"/>
    <s v="LN"/>
    <x v="2"/>
    <n v="4.5199999999999996"/>
    <n v="185"/>
  </r>
  <r>
    <x v="863"/>
    <n v="28"/>
    <x v="1"/>
    <x v="2"/>
    <s v="Project Manager"/>
    <x v="863"/>
    <x v="863"/>
    <d v="2004-06-30T00:00:00"/>
    <s v="555-01004"/>
    <s v="864 Main St"/>
    <s v="Dubai"/>
    <s v="DB"/>
    <x v="3"/>
    <n v="2.76"/>
    <n v="181"/>
  </r>
  <r>
    <x v="864"/>
    <n v="46"/>
    <x v="1"/>
    <x v="3"/>
    <s v="Software Engineer"/>
    <x v="864"/>
    <x v="864"/>
    <d v="2001-04-30T00:00:00"/>
    <s v="555-01005"/>
    <s v="865 Main St"/>
    <s v="Tokyo"/>
    <s v="TK"/>
    <x v="4"/>
    <n v="2.96"/>
    <n v="30"/>
  </r>
  <r>
    <x v="865"/>
    <n v="37"/>
    <x v="2"/>
    <x v="0"/>
    <s v="HR Specialist"/>
    <x v="865"/>
    <x v="865"/>
    <d v="2020-05-28T00:00:00"/>
    <s v="555-01006"/>
    <s v="866 Main St"/>
    <s v="New York"/>
    <s v="NK"/>
    <x v="0"/>
    <n v="1.35"/>
    <n v="179"/>
  </r>
  <r>
    <x v="866"/>
    <n v="59"/>
    <x v="0"/>
    <x v="0"/>
    <s v="Project Manager"/>
    <x v="866"/>
    <x v="866"/>
    <d v="2006-12-05T00:00:00"/>
    <s v="555-01007"/>
    <s v="867 Main St"/>
    <s v="Paris"/>
    <s v="PA"/>
    <x v="1"/>
    <n v="1.99"/>
    <n v="71"/>
  </r>
  <r>
    <x v="867"/>
    <n v="63"/>
    <x v="0"/>
    <x v="3"/>
    <s v="HR Specialist"/>
    <x v="867"/>
    <x v="867"/>
    <d v="2005-10-16T00:00:00"/>
    <s v="555-01008"/>
    <s v="868 Main St"/>
    <s v="London"/>
    <s v="LN"/>
    <x v="2"/>
    <n v="4.17"/>
    <n v="85"/>
  </r>
  <r>
    <x v="868"/>
    <n v="39"/>
    <x v="2"/>
    <x v="0"/>
    <s v="HR Specialist"/>
    <x v="868"/>
    <x v="868"/>
    <d v="2015-10-21T00:00:00"/>
    <s v="555-01009"/>
    <s v="869 Main St"/>
    <s v="Dubai"/>
    <s v="DB"/>
    <x v="3"/>
    <n v="2.95"/>
    <n v="83"/>
  </r>
  <r>
    <x v="869"/>
    <n v="38"/>
    <x v="0"/>
    <x v="4"/>
    <s v="Project Manager"/>
    <x v="869"/>
    <x v="869"/>
    <d v="2006-03-25T00:00:00"/>
    <s v="555-01000"/>
    <s v="870 Main St"/>
    <s v="Tokyo"/>
    <s v="TK"/>
    <x v="4"/>
    <n v="2.0299999999999998"/>
    <n v="68"/>
  </r>
  <r>
    <x v="870"/>
    <n v="27"/>
    <x v="2"/>
    <x v="2"/>
    <s v="Software Engineer"/>
    <x v="870"/>
    <x v="870"/>
    <d v="2009-12-01T00:00:00"/>
    <s v="555-01001"/>
    <s v="871 Main St"/>
    <s v="New York"/>
    <s v="NK"/>
    <x v="0"/>
    <n v="1.34"/>
    <n v="74"/>
  </r>
  <r>
    <x v="871"/>
    <n v="41"/>
    <x v="2"/>
    <x v="2"/>
    <s v="Software Engineer"/>
    <x v="871"/>
    <x v="871"/>
    <d v="2012-03-28T00:00:00"/>
    <s v="555-01002"/>
    <s v="872 Main St"/>
    <s v="Paris"/>
    <s v="PA"/>
    <x v="1"/>
    <n v="4.32"/>
    <n v="76"/>
  </r>
  <r>
    <x v="872"/>
    <n v="44"/>
    <x v="1"/>
    <x v="1"/>
    <s v="Software Engineer"/>
    <x v="872"/>
    <x v="872"/>
    <d v="2013-06-09T00:00:00"/>
    <s v="555-01003"/>
    <s v="873 Main St"/>
    <s v="London"/>
    <s v="LN"/>
    <x v="2"/>
    <n v="4.26"/>
    <n v="188"/>
  </r>
  <r>
    <x v="873"/>
    <n v="33"/>
    <x v="1"/>
    <x v="1"/>
    <s v="Project Manager"/>
    <x v="873"/>
    <x v="873"/>
    <d v="2000-07-29T00:00:00"/>
    <s v="555-01004"/>
    <s v="874 Main St"/>
    <s v="Dubai"/>
    <s v="DB"/>
    <x v="3"/>
    <n v="2.63"/>
    <n v="107"/>
  </r>
  <r>
    <x v="874"/>
    <n v="33"/>
    <x v="2"/>
    <x v="2"/>
    <s v="Project Manager"/>
    <x v="874"/>
    <x v="874"/>
    <d v="2022-08-26T00:00:00"/>
    <s v="555-01005"/>
    <s v="875 Main St"/>
    <s v="Tokyo"/>
    <s v="TK"/>
    <x v="4"/>
    <n v="1.71"/>
    <n v="13"/>
  </r>
  <r>
    <x v="875"/>
    <n v="55"/>
    <x v="1"/>
    <x v="3"/>
    <s v="Sales Executive"/>
    <x v="875"/>
    <x v="875"/>
    <d v="2008-02-25T00:00:00"/>
    <s v="555-01006"/>
    <s v="876 Main St"/>
    <s v="New York"/>
    <s v="NK"/>
    <x v="0"/>
    <n v="2.81"/>
    <n v="120"/>
  </r>
  <r>
    <x v="876"/>
    <n v="29"/>
    <x v="1"/>
    <x v="3"/>
    <s v="Project Manager"/>
    <x v="876"/>
    <x v="876"/>
    <d v="2010-06-14T00:00:00"/>
    <s v="555-01007"/>
    <s v="877 Main St"/>
    <s v="Paris"/>
    <s v="PA"/>
    <x v="1"/>
    <n v="2.15"/>
    <n v="56"/>
  </r>
  <r>
    <x v="877"/>
    <n v="48"/>
    <x v="0"/>
    <x v="4"/>
    <s v="Sales Executive"/>
    <x v="877"/>
    <x v="877"/>
    <d v="2008-07-26T00:00:00"/>
    <s v="555-01008"/>
    <s v="878 Main St"/>
    <s v="London"/>
    <s v="LN"/>
    <x v="2"/>
    <n v="3.04"/>
    <n v="42"/>
  </r>
  <r>
    <x v="878"/>
    <n v="29"/>
    <x v="0"/>
    <x v="2"/>
    <s v="HR Specialist"/>
    <x v="878"/>
    <x v="878"/>
    <d v="2017-03-16T00:00:00"/>
    <s v="555-01009"/>
    <s v="879 Main St"/>
    <s v="Dubai"/>
    <s v="DB"/>
    <x v="3"/>
    <n v="2.68"/>
    <n v="51"/>
  </r>
  <r>
    <x v="879"/>
    <n v="54"/>
    <x v="1"/>
    <x v="0"/>
    <s v="Project Manager"/>
    <x v="879"/>
    <x v="879"/>
    <d v="2000-07-24T00:00:00"/>
    <s v="555-01000"/>
    <s v="880 Main St"/>
    <s v="Tokyo"/>
    <s v="TK"/>
    <x v="4"/>
    <n v="3.2"/>
    <n v="120"/>
  </r>
  <r>
    <x v="880"/>
    <n v="58"/>
    <x v="2"/>
    <x v="0"/>
    <s v="Sales Executive"/>
    <x v="880"/>
    <x v="880"/>
    <d v="2005-08-12T00:00:00"/>
    <s v="555-01001"/>
    <s v="881 Main St"/>
    <s v="New York"/>
    <s v="NK"/>
    <x v="0"/>
    <n v="3.58"/>
    <n v="155"/>
  </r>
  <r>
    <x v="881"/>
    <n v="40"/>
    <x v="2"/>
    <x v="1"/>
    <s v="Software Engineer"/>
    <x v="881"/>
    <x v="881"/>
    <d v="2011-06-19T00:00:00"/>
    <s v="555-01002"/>
    <s v="882 Main St"/>
    <s v="Paris"/>
    <s v="PA"/>
    <x v="1"/>
    <n v="2.0099999999999998"/>
    <n v="91"/>
  </r>
  <r>
    <x v="882"/>
    <n v="45"/>
    <x v="1"/>
    <x v="2"/>
    <s v="HR Specialist"/>
    <x v="882"/>
    <x v="882"/>
    <d v="2008-12-08T00:00:00"/>
    <s v="555-01003"/>
    <s v="883 Main St"/>
    <s v="London"/>
    <s v="LN"/>
    <x v="2"/>
    <n v="2.74"/>
    <n v="138"/>
  </r>
  <r>
    <x v="883"/>
    <n v="43"/>
    <x v="1"/>
    <x v="1"/>
    <s v="Project Manager"/>
    <x v="883"/>
    <x v="883"/>
    <d v="2018-11-10T00:00:00"/>
    <s v="555-01004"/>
    <s v="884 Main St"/>
    <s v="Dubai"/>
    <s v="DB"/>
    <x v="3"/>
    <n v="3.17"/>
    <n v="132"/>
  </r>
  <r>
    <x v="884"/>
    <n v="24"/>
    <x v="2"/>
    <x v="4"/>
    <s v="Analyst"/>
    <x v="884"/>
    <x v="884"/>
    <d v="2009-01-19T00:00:00"/>
    <s v="555-01005"/>
    <s v="885 Main St"/>
    <s v="Tokyo"/>
    <s v="TK"/>
    <x v="4"/>
    <n v="1.62"/>
    <n v="145"/>
  </r>
  <r>
    <x v="885"/>
    <n v="30"/>
    <x v="0"/>
    <x v="1"/>
    <s v="HR Specialist"/>
    <x v="885"/>
    <x v="885"/>
    <d v="2014-01-28T00:00:00"/>
    <s v="555-01006"/>
    <s v="886 Main St"/>
    <s v="New York"/>
    <s v="NK"/>
    <x v="0"/>
    <n v="2.77"/>
    <n v="194"/>
  </r>
  <r>
    <x v="886"/>
    <n v="32"/>
    <x v="0"/>
    <x v="4"/>
    <s v="HR Specialist"/>
    <x v="886"/>
    <x v="886"/>
    <d v="2001-01-08T00:00:00"/>
    <s v="555-01007"/>
    <s v="887 Main St"/>
    <s v="Paris"/>
    <s v="PA"/>
    <x v="1"/>
    <n v="2.2999999999999998"/>
    <n v="110"/>
  </r>
  <r>
    <x v="887"/>
    <n v="27"/>
    <x v="2"/>
    <x v="2"/>
    <s v="Sales Executive"/>
    <x v="887"/>
    <x v="887"/>
    <d v="2009-11-16T00:00:00"/>
    <s v="555-01008"/>
    <s v="888 Main St"/>
    <s v="London"/>
    <s v="LN"/>
    <x v="2"/>
    <n v="4.03"/>
    <n v="170"/>
  </r>
  <r>
    <x v="888"/>
    <n v="60"/>
    <x v="1"/>
    <x v="4"/>
    <s v="Project Manager"/>
    <x v="888"/>
    <x v="888"/>
    <d v="2014-03-29T00:00:00"/>
    <s v="555-01009"/>
    <s v="889 Main St"/>
    <s v="Dubai"/>
    <s v="DB"/>
    <x v="3"/>
    <n v="2.4700000000000002"/>
    <n v="161"/>
  </r>
  <r>
    <x v="889"/>
    <n v="60"/>
    <x v="0"/>
    <x v="1"/>
    <s v="Sales Executive"/>
    <x v="889"/>
    <x v="889"/>
    <d v="2021-06-16T00:00:00"/>
    <s v="555-01000"/>
    <s v="890 Main St"/>
    <s v="Tokyo"/>
    <s v="TK"/>
    <x v="4"/>
    <n v="1.79"/>
    <n v="186"/>
  </r>
  <r>
    <x v="890"/>
    <n v="58"/>
    <x v="2"/>
    <x v="2"/>
    <s v="HR Specialist"/>
    <x v="890"/>
    <x v="890"/>
    <d v="2013-03-27T00:00:00"/>
    <s v="555-01001"/>
    <s v="891 Main St"/>
    <s v="New York"/>
    <s v="NK"/>
    <x v="0"/>
    <n v="1.87"/>
    <n v="173"/>
  </r>
  <r>
    <x v="891"/>
    <n v="23"/>
    <x v="1"/>
    <x v="1"/>
    <s v="Software Engineer"/>
    <x v="891"/>
    <x v="891"/>
    <d v="2006-01-12T00:00:00"/>
    <s v="555-01002"/>
    <s v="892 Main St"/>
    <s v="Paris"/>
    <s v="PA"/>
    <x v="1"/>
    <n v="2.57"/>
    <n v="116"/>
  </r>
  <r>
    <x v="892"/>
    <n v="58"/>
    <x v="1"/>
    <x v="0"/>
    <s v="Project Manager"/>
    <x v="892"/>
    <x v="892"/>
    <d v="2004-08-29T00:00:00"/>
    <s v="555-01003"/>
    <s v="893 Main St"/>
    <s v="London"/>
    <s v="LN"/>
    <x v="2"/>
    <n v="3.1"/>
    <n v="87"/>
  </r>
  <r>
    <x v="893"/>
    <n v="27"/>
    <x v="0"/>
    <x v="3"/>
    <s v="Project Manager"/>
    <x v="893"/>
    <x v="893"/>
    <d v="2020-04-19T00:00:00"/>
    <s v="555-01004"/>
    <s v="894 Main St"/>
    <s v="Dubai"/>
    <s v="DB"/>
    <x v="3"/>
    <n v="3.06"/>
    <n v="185"/>
  </r>
  <r>
    <x v="894"/>
    <n v="27"/>
    <x v="1"/>
    <x v="4"/>
    <s v="Project Manager"/>
    <x v="894"/>
    <x v="894"/>
    <d v="2009-11-02T00:00:00"/>
    <s v="555-01005"/>
    <s v="895 Main St"/>
    <s v="Tokyo"/>
    <s v="TK"/>
    <x v="4"/>
    <n v="2.78"/>
    <n v="108"/>
  </r>
  <r>
    <x v="895"/>
    <n v="60"/>
    <x v="2"/>
    <x v="4"/>
    <s v="Software Engineer"/>
    <x v="895"/>
    <x v="895"/>
    <d v="2013-10-08T00:00:00"/>
    <s v="555-01006"/>
    <s v="896 Main St"/>
    <s v="New York"/>
    <s v="NK"/>
    <x v="0"/>
    <n v="3.82"/>
    <n v="6"/>
  </r>
  <r>
    <x v="896"/>
    <n v="57"/>
    <x v="2"/>
    <x v="3"/>
    <s v="HR Specialist"/>
    <x v="896"/>
    <x v="896"/>
    <d v="2022-05-19T00:00:00"/>
    <s v="555-01007"/>
    <s v="897 Main St"/>
    <s v="Paris"/>
    <s v="PA"/>
    <x v="1"/>
    <n v="2.64"/>
    <n v="158"/>
  </r>
  <r>
    <x v="897"/>
    <n v="46"/>
    <x v="2"/>
    <x v="4"/>
    <s v="Analyst"/>
    <x v="897"/>
    <x v="897"/>
    <d v="2005-09-10T00:00:00"/>
    <s v="555-01008"/>
    <s v="898 Main St"/>
    <s v="London"/>
    <s v="LN"/>
    <x v="2"/>
    <n v="1.52"/>
    <n v="107"/>
  </r>
  <r>
    <x v="898"/>
    <n v="37"/>
    <x v="2"/>
    <x v="4"/>
    <s v="HR Specialist"/>
    <x v="898"/>
    <x v="898"/>
    <d v="2001-11-23T00:00:00"/>
    <s v="555-01009"/>
    <s v="899 Main St"/>
    <s v="Dubai"/>
    <s v="DB"/>
    <x v="3"/>
    <n v="1.58"/>
    <n v="89"/>
  </r>
  <r>
    <x v="899"/>
    <n v="42"/>
    <x v="1"/>
    <x v="0"/>
    <s v="Software Engineer"/>
    <x v="899"/>
    <x v="899"/>
    <d v="2019-09-06T00:00:00"/>
    <s v="555-01000"/>
    <s v="900 Main St"/>
    <s v="Tokyo"/>
    <s v="TK"/>
    <x v="4"/>
    <n v="3.7"/>
    <n v="146"/>
  </r>
  <r>
    <x v="900"/>
    <n v="31"/>
    <x v="2"/>
    <x v="2"/>
    <s v="Sales Executive"/>
    <x v="900"/>
    <x v="900"/>
    <d v="2020-01-08T00:00:00"/>
    <s v="555-01001"/>
    <s v="901 Main St"/>
    <s v="New York"/>
    <s v="NK"/>
    <x v="0"/>
    <n v="3.55"/>
    <n v="36"/>
  </r>
  <r>
    <x v="901"/>
    <n v="26"/>
    <x v="0"/>
    <x v="4"/>
    <s v="Sales Executive"/>
    <x v="901"/>
    <x v="901"/>
    <d v="2000-02-16T00:00:00"/>
    <s v="555-01002"/>
    <s v="902 Main St"/>
    <s v="Paris"/>
    <s v="PA"/>
    <x v="1"/>
    <n v="3.79"/>
    <n v="44"/>
  </r>
  <r>
    <x v="902"/>
    <n v="46"/>
    <x v="1"/>
    <x v="0"/>
    <s v="Analyst"/>
    <x v="902"/>
    <x v="902"/>
    <d v="2000-03-24T00:00:00"/>
    <s v="555-01003"/>
    <s v="903 Main St"/>
    <s v="London"/>
    <s v="LN"/>
    <x v="2"/>
    <n v="1.79"/>
    <n v="180"/>
  </r>
  <r>
    <x v="903"/>
    <n v="52"/>
    <x v="1"/>
    <x v="4"/>
    <s v="Sales Executive"/>
    <x v="903"/>
    <x v="903"/>
    <d v="2005-04-20T00:00:00"/>
    <s v="555-01004"/>
    <s v="904 Main St"/>
    <s v="Dubai"/>
    <s v="DB"/>
    <x v="3"/>
    <n v="2.7"/>
    <n v="76"/>
  </r>
  <r>
    <x v="904"/>
    <n v="24"/>
    <x v="1"/>
    <x v="2"/>
    <s v="Software Engineer"/>
    <x v="904"/>
    <x v="904"/>
    <d v="2002-12-29T00:00:00"/>
    <s v="555-01005"/>
    <s v="905 Main St"/>
    <s v="Tokyo"/>
    <s v="TK"/>
    <x v="4"/>
    <n v="1.78"/>
    <n v="192"/>
  </r>
  <r>
    <x v="905"/>
    <n v="41"/>
    <x v="2"/>
    <x v="0"/>
    <s v="Analyst"/>
    <x v="905"/>
    <x v="905"/>
    <d v="2021-10-11T00:00:00"/>
    <s v="555-01006"/>
    <s v="906 Main St"/>
    <s v="New York"/>
    <s v="NK"/>
    <x v="0"/>
    <n v="2.23"/>
    <n v="185"/>
  </r>
  <r>
    <x v="906"/>
    <n v="25"/>
    <x v="1"/>
    <x v="4"/>
    <s v="Software Engineer"/>
    <x v="906"/>
    <x v="906"/>
    <d v="2001-07-23T00:00:00"/>
    <s v="555-01007"/>
    <s v="907 Main St"/>
    <s v="Paris"/>
    <s v="PA"/>
    <x v="1"/>
    <n v="1.93"/>
    <n v="148"/>
  </r>
  <r>
    <x v="907"/>
    <n v="35"/>
    <x v="2"/>
    <x v="0"/>
    <s v="Project Manager"/>
    <x v="907"/>
    <x v="907"/>
    <d v="2010-01-06T00:00:00"/>
    <s v="555-01008"/>
    <s v="908 Main St"/>
    <s v="London"/>
    <s v="LN"/>
    <x v="2"/>
    <n v="1.1200000000000001"/>
    <n v="95"/>
  </r>
  <r>
    <x v="908"/>
    <n v="33"/>
    <x v="2"/>
    <x v="3"/>
    <s v="Sales Executive"/>
    <x v="908"/>
    <x v="908"/>
    <d v="2010-09-15T00:00:00"/>
    <s v="555-01009"/>
    <s v="909 Main St"/>
    <s v="Dubai"/>
    <s v="DB"/>
    <x v="3"/>
    <n v="2.93"/>
    <n v="149"/>
  </r>
  <r>
    <x v="909"/>
    <n v="35"/>
    <x v="1"/>
    <x v="4"/>
    <s v="Project Manager"/>
    <x v="909"/>
    <x v="909"/>
    <d v="2017-08-17T00:00:00"/>
    <s v="555-01000"/>
    <s v="910 Main St"/>
    <s v="Tokyo"/>
    <s v="TK"/>
    <x v="4"/>
    <n v="2.92"/>
    <n v="168"/>
  </r>
  <r>
    <x v="910"/>
    <n v="58"/>
    <x v="1"/>
    <x v="1"/>
    <s v="HR Specialist"/>
    <x v="910"/>
    <x v="910"/>
    <d v="2004-07-17T00:00:00"/>
    <s v="555-01001"/>
    <s v="911 Main St"/>
    <s v="New York"/>
    <s v="NK"/>
    <x v="0"/>
    <n v="2.5499999999999998"/>
    <n v="145"/>
  </r>
  <r>
    <x v="911"/>
    <n v="39"/>
    <x v="2"/>
    <x v="2"/>
    <s v="Project Manager"/>
    <x v="911"/>
    <x v="911"/>
    <d v="2008-09-07T00:00:00"/>
    <s v="555-01002"/>
    <s v="912 Main St"/>
    <s v="Paris"/>
    <s v="PA"/>
    <x v="1"/>
    <n v="1.39"/>
    <n v="37"/>
  </r>
  <r>
    <x v="912"/>
    <n v="48"/>
    <x v="1"/>
    <x v="4"/>
    <s v="Sales Executive"/>
    <x v="912"/>
    <x v="912"/>
    <d v="2016-02-19T00:00:00"/>
    <s v="555-01003"/>
    <s v="913 Main St"/>
    <s v="London"/>
    <s v="LN"/>
    <x v="2"/>
    <n v="2.87"/>
    <n v="86"/>
  </r>
  <r>
    <x v="913"/>
    <n v="28"/>
    <x v="1"/>
    <x v="4"/>
    <s v="HR Specialist"/>
    <x v="913"/>
    <x v="913"/>
    <d v="2013-04-10T00:00:00"/>
    <s v="555-01004"/>
    <s v="914 Main St"/>
    <s v="Dubai"/>
    <s v="DB"/>
    <x v="3"/>
    <n v="3.29"/>
    <n v="127"/>
  </r>
  <r>
    <x v="914"/>
    <n v="56"/>
    <x v="2"/>
    <x v="1"/>
    <s v="Sales Executive"/>
    <x v="914"/>
    <x v="914"/>
    <d v="2017-10-01T00:00:00"/>
    <s v="555-01005"/>
    <s v="915 Main St"/>
    <s v="Tokyo"/>
    <s v="TK"/>
    <x v="4"/>
    <n v="2.12"/>
    <n v="171"/>
  </r>
  <r>
    <x v="915"/>
    <n v="43"/>
    <x v="2"/>
    <x v="0"/>
    <s v="Sales Executive"/>
    <x v="915"/>
    <x v="915"/>
    <d v="2004-03-10T00:00:00"/>
    <s v="555-01006"/>
    <s v="916 Main St"/>
    <s v="New York"/>
    <s v="NK"/>
    <x v="0"/>
    <n v="4.8499999999999996"/>
    <n v="65"/>
  </r>
  <r>
    <x v="916"/>
    <n v="42"/>
    <x v="1"/>
    <x v="2"/>
    <s v="Sales Executive"/>
    <x v="916"/>
    <x v="916"/>
    <d v="2015-05-08T00:00:00"/>
    <s v="555-01007"/>
    <s v="917 Main St"/>
    <s v="Paris"/>
    <s v="PA"/>
    <x v="1"/>
    <n v="2.37"/>
    <n v="83"/>
  </r>
  <r>
    <x v="917"/>
    <n v="64"/>
    <x v="2"/>
    <x v="1"/>
    <s v="Software Engineer"/>
    <x v="917"/>
    <x v="917"/>
    <d v="2020-03-27T00:00:00"/>
    <s v="555-01008"/>
    <s v="918 Main St"/>
    <s v="London"/>
    <s v="LN"/>
    <x v="2"/>
    <n v="1.47"/>
    <n v="20"/>
  </r>
  <r>
    <x v="918"/>
    <n v="39"/>
    <x v="2"/>
    <x v="2"/>
    <s v="Sales Executive"/>
    <x v="918"/>
    <x v="918"/>
    <d v="2008-08-15T00:00:00"/>
    <s v="555-01009"/>
    <s v="919 Main St"/>
    <s v="Dubai"/>
    <s v="DB"/>
    <x v="3"/>
    <n v="1.84"/>
    <n v="187"/>
  </r>
  <r>
    <x v="919"/>
    <n v="59"/>
    <x v="0"/>
    <x v="4"/>
    <s v="HR Specialist"/>
    <x v="919"/>
    <x v="919"/>
    <d v="2002-02-20T00:00:00"/>
    <s v="555-01000"/>
    <s v="920 Main St"/>
    <s v="Tokyo"/>
    <s v="TK"/>
    <x v="4"/>
    <n v="4.63"/>
    <n v="13"/>
  </r>
  <r>
    <x v="920"/>
    <n v="47"/>
    <x v="1"/>
    <x v="2"/>
    <s v="HR Specialist"/>
    <x v="920"/>
    <x v="920"/>
    <d v="2009-12-27T00:00:00"/>
    <s v="555-01001"/>
    <s v="921 Main St"/>
    <s v="New York"/>
    <s v="NK"/>
    <x v="0"/>
    <n v="3.04"/>
    <n v="94"/>
  </r>
  <r>
    <x v="921"/>
    <n v="43"/>
    <x v="1"/>
    <x v="0"/>
    <s v="Analyst"/>
    <x v="921"/>
    <x v="921"/>
    <d v="2016-04-30T00:00:00"/>
    <s v="555-01002"/>
    <s v="922 Main St"/>
    <s v="Paris"/>
    <s v="PA"/>
    <x v="1"/>
    <n v="4.99"/>
    <n v="129"/>
  </r>
  <r>
    <x v="922"/>
    <n v="58"/>
    <x v="1"/>
    <x v="3"/>
    <s v="Sales Executive"/>
    <x v="922"/>
    <x v="922"/>
    <d v="2003-05-10T00:00:00"/>
    <s v="555-01003"/>
    <s v="923 Main St"/>
    <s v="London"/>
    <s v="LN"/>
    <x v="2"/>
    <n v="4.92"/>
    <n v="199"/>
  </r>
  <r>
    <x v="923"/>
    <n v="26"/>
    <x v="1"/>
    <x v="2"/>
    <s v="Software Engineer"/>
    <x v="923"/>
    <x v="923"/>
    <d v="2019-11-16T00:00:00"/>
    <s v="555-01004"/>
    <s v="924 Main St"/>
    <s v="Dubai"/>
    <s v="DB"/>
    <x v="3"/>
    <n v="3.01"/>
    <n v="107"/>
  </r>
  <r>
    <x v="924"/>
    <n v="56"/>
    <x v="1"/>
    <x v="3"/>
    <s v="Sales Executive"/>
    <x v="924"/>
    <x v="924"/>
    <d v="2020-12-27T00:00:00"/>
    <s v="555-01005"/>
    <s v="925 Main St"/>
    <s v="Tokyo"/>
    <s v="TK"/>
    <x v="4"/>
    <n v="3.54"/>
    <n v="20"/>
  </r>
  <r>
    <x v="925"/>
    <n v="33"/>
    <x v="2"/>
    <x v="0"/>
    <s v="HR Specialist"/>
    <x v="925"/>
    <x v="925"/>
    <d v="2017-12-24T00:00:00"/>
    <s v="555-01006"/>
    <s v="926 Main St"/>
    <s v="New York"/>
    <s v="NK"/>
    <x v="0"/>
    <n v="2.4300000000000002"/>
    <n v="138"/>
  </r>
  <r>
    <x v="926"/>
    <n v="56"/>
    <x v="1"/>
    <x v="1"/>
    <s v="Project Manager"/>
    <x v="926"/>
    <x v="926"/>
    <d v="2016-04-12T00:00:00"/>
    <s v="555-01007"/>
    <s v="927 Main St"/>
    <s v="Paris"/>
    <s v="PA"/>
    <x v="1"/>
    <n v="4.13"/>
    <n v="145"/>
  </r>
  <r>
    <x v="927"/>
    <n v="55"/>
    <x v="1"/>
    <x v="2"/>
    <s v="Sales Executive"/>
    <x v="927"/>
    <x v="927"/>
    <d v="2011-03-11T00:00:00"/>
    <s v="555-01008"/>
    <s v="928 Main St"/>
    <s v="London"/>
    <s v="LN"/>
    <x v="2"/>
    <n v="3.02"/>
    <n v="143"/>
  </r>
  <r>
    <x v="928"/>
    <n v="41"/>
    <x v="0"/>
    <x v="2"/>
    <s v="Software Engineer"/>
    <x v="928"/>
    <x v="928"/>
    <d v="2014-01-22T00:00:00"/>
    <s v="555-01009"/>
    <s v="929 Main St"/>
    <s v="Dubai"/>
    <s v="DB"/>
    <x v="3"/>
    <n v="3.26"/>
    <n v="62"/>
  </r>
  <r>
    <x v="929"/>
    <n v="33"/>
    <x v="2"/>
    <x v="2"/>
    <s v="HR Specialist"/>
    <x v="929"/>
    <x v="929"/>
    <d v="2022-09-01T00:00:00"/>
    <s v="555-01000"/>
    <s v="930 Main St"/>
    <s v="Tokyo"/>
    <s v="TK"/>
    <x v="4"/>
    <n v="3.63"/>
    <n v="115"/>
  </r>
  <r>
    <x v="930"/>
    <n v="55"/>
    <x v="1"/>
    <x v="2"/>
    <s v="Sales Executive"/>
    <x v="930"/>
    <x v="930"/>
    <d v="2005-03-02T00:00:00"/>
    <s v="555-01001"/>
    <s v="931 Main St"/>
    <s v="New York"/>
    <s v="NK"/>
    <x v="0"/>
    <n v="3.37"/>
    <n v="194"/>
  </r>
  <r>
    <x v="931"/>
    <n v="47"/>
    <x v="1"/>
    <x v="3"/>
    <s v="Analyst"/>
    <x v="931"/>
    <x v="931"/>
    <d v="2010-04-13T00:00:00"/>
    <s v="555-01002"/>
    <s v="932 Main St"/>
    <s v="Paris"/>
    <s v="PA"/>
    <x v="1"/>
    <n v="2.2999999999999998"/>
    <n v="30"/>
  </r>
  <r>
    <x v="932"/>
    <n v="55"/>
    <x v="1"/>
    <x v="0"/>
    <s v="Project Manager"/>
    <x v="932"/>
    <x v="932"/>
    <d v="2006-11-19T00:00:00"/>
    <s v="555-01003"/>
    <s v="933 Main St"/>
    <s v="London"/>
    <s v="LN"/>
    <x v="2"/>
    <n v="1.99"/>
    <n v="50"/>
  </r>
  <r>
    <x v="933"/>
    <n v="53"/>
    <x v="1"/>
    <x v="3"/>
    <s v="HR Specialist"/>
    <x v="933"/>
    <x v="933"/>
    <d v="2001-07-20T00:00:00"/>
    <s v="555-01004"/>
    <s v="934 Main St"/>
    <s v="Dubai"/>
    <s v="DB"/>
    <x v="3"/>
    <n v="1.7"/>
    <n v="148"/>
  </r>
  <r>
    <x v="934"/>
    <n v="28"/>
    <x v="2"/>
    <x v="4"/>
    <s v="Analyst"/>
    <x v="934"/>
    <x v="934"/>
    <d v="2010-07-06T00:00:00"/>
    <s v="555-01005"/>
    <s v="935 Main St"/>
    <s v="Tokyo"/>
    <s v="TK"/>
    <x v="4"/>
    <n v="4.0999999999999996"/>
    <n v="22"/>
  </r>
  <r>
    <x v="935"/>
    <n v="47"/>
    <x v="0"/>
    <x v="4"/>
    <s v="HR Specialist"/>
    <x v="935"/>
    <x v="935"/>
    <d v="2009-05-23T00:00:00"/>
    <s v="555-01006"/>
    <s v="936 Main St"/>
    <s v="New York"/>
    <s v="NK"/>
    <x v="0"/>
    <n v="1.68"/>
    <n v="59"/>
  </r>
  <r>
    <x v="936"/>
    <n v="46"/>
    <x v="0"/>
    <x v="1"/>
    <s v="Project Manager"/>
    <x v="936"/>
    <x v="936"/>
    <d v="2002-05-16T00:00:00"/>
    <s v="555-01007"/>
    <s v="937 Main St"/>
    <s v="Paris"/>
    <s v="PA"/>
    <x v="1"/>
    <n v="2.92"/>
    <n v="153"/>
  </r>
  <r>
    <x v="937"/>
    <n v="60"/>
    <x v="1"/>
    <x v="1"/>
    <s v="Analyst"/>
    <x v="937"/>
    <x v="937"/>
    <d v="2006-06-22T00:00:00"/>
    <s v="555-01008"/>
    <s v="938 Main St"/>
    <s v="London"/>
    <s v="LN"/>
    <x v="2"/>
    <n v="2.3199999999999998"/>
    <n v="109"/>
  </r>
  <r>
    <x v="938"/>
    <n v="38"/>
    <x v="0"/>
    <x v="2"/>
    <s v="Analyst"/>
    <x v="938"/>
    <x v="938"/>
    <d v="2006-08-30T00:00:00"/>
    <s v="555-01009"/>
    <s v="939 Main St"/>
    <s v="Dubai"/>
    <s v="DB"/>
    <x v="3"/>
    <n v="2.21"/>
    <n v="85"/>
  </r>
  <r>
    <x v="939"/>
    <n v="45"/>
    <x v="0"/>
    <x v="4"/>
    <s v="Project Manager"/>
    <x v="939"/>
    <x v="939"/>
    <d v="2011-11-23T00:00:00"/>
    <s v="555-01000"/>
    <s v="940 Main St"/>
    <s v="Tokyo"/>
    <s v="TK"/>
    <x v="4"/>
    <n v="1.95"/>
    <n v="116"/>
  </r>
  <r>
    <x v="940"/>
    <n v="48"/>
    <x v="0"/>
    <x v="3"/>
    <s v="Project Manager"/>
    <x v="940"/>
    <x v="940"/>
    <d v="2022-07-11T00:00:00"/>
    <s v="555-01001"/>
    <s v="941 Main St"/>
    <s v="New York"/>
    <s v="NK"/>
    <x v="0"/>
    <n v="1.08"/>
    <n v="39"/>
  </r>
  <r>
    <x v="941"/>
    <n v="25"/>
    <x v="0"/>
    <x v="0"/>
    <s v="Project Manager"/>
    <x v="941"/>
    <x v="941"/>
    <d v="2019-02-06T00:00:00"/>
    <s v="555-01002"/>
    <s v="942 Main St"/>
    <s v="Paris"/>
    <s v="PA"/>
    <x v="1"/>
    <n v="2.87"/>
    <n v="70"/>
  </r>
  <r>
    <x v="942"/>
    <n v="48"/>
    <x v="0"/>
    <x v="4"/>
    <s v="HR Specialist"/>
    <x v="942"/>
    <x v="942"/>
    <d v="2007-10-14T00:00:00"/>
    <s v="555-01003"/>
    <s v="943 Main St"/>
    <s v="London"/>
    <s v="LN"/>
    <x v="2"/>
    <n v="1.91"/>
    <n v="82"/>
  </r>
  <r>
    <x v="943"/>
    <n v="51"/>
    <x v="2"/>
    <x v="4"/>
    <s v="HR Specialist"/>
    <x v="943"/>
    <x v="943"/>
    <d v="2021-06-01T00:00:00"/>
    <s v="555-01004"/>
    <s v="944 Main St"/>
    <s v="Dubai"/>
    <s v="DB"/>
    <x v="3"/>
    <n v="3.93"/>
    <n v="137"/>
  </r>
  <r>
    <x v="944"/>
    <n v="24"/>
    <x v="2"/>
    <x v="3"/>
    <s v="Software Engineer"/>
    <x v="944"/>
    <x v="944"/>
    <d v="2005-11-12T00:00:00"/>
    <s v="555-01005"/>
    <s v="945 Main St"/>
    <s v="Tokyo"/>
    <s v="TK"/>
    <x v="4"/>
    <n v="4.99"/>
    <n v="175"/>
  </r>
  <r>
    <x v="945"/>
    <n v="27"/>
    <x v="2"/>
    <x v="4"/>
    <s v="Analyst"/>
    <x v="945"/>
    <x v="945"/>
    <d v="2015-10-18T00:00:00"/>
    <s v="555-01006"/>
    <s v="946 Main St"/>
    <s v="New York"/>
    <s v="NK"/>
    <x v="0"/>
    <n v="3.51"/>
    <n v="96"/>
  </r>
  <r>
    <x v="946"/>
    <n v="29"/>
    <x v="0"/>
    <x v="3"/>
    <s v="Analyst"/>
    <x v="946"/>
    <x v="946"/>
    <d v="2002-06-26T00:00:00"/>
    <s v="555-01007"/>
    <s v="947 Main St"/>
    <s v="Paris"/>
    <s v="PA"/>
    <x v="1"/>
    <n v="3.28"/>
    <n v="108"/>
  </r>
  <r>
    <x v="947"/>
    <n v="37"/>
    <x v="2"/>
    <x v="3"/>
    <s v="Sales Executive"/>
    <x v="947"/>
    <x v="947"/>
    <d v="2002-09-12T00:00:00"/>
    <s v="555-01008"/>
    <s v="948 Main St"/>
    <s v="London"/>
    <s v="LN"/>
    <x v="2"/>
    <n v="4.1500000000000004"/>
    <n v="95"/>
  </r>
  <r>
    <x v="948"/>
    <n v="36"/>
    <x v="0"/>
    <x v="3"/>
    <s v="Analyst"/>
    <x v="948"/>
    <x v="948"/>
    <d v="2000-03-28T00:00:00"/>
    <s v="555-01009"/>
    <s v="949 Main St"/>
    <s v="Dubai"/>
    <s v="DB"/>
    <x v="3"/>
    <n v="1.23"/>
    <n v="86"/>
  </r>
  <r>
    <x v="949"/>
    <n v="57"/>
    <x v="0"/>
    <x v="3"/>
    <s v="Software Engineer"/>
    <x v="949"/>
    <x v="949"/>
    <d v="2005-03-23T00:00:00"/>
    <s v="555-01000"/>
    <s v="950 Main St"/>
    <s v="Tokyo"/>
    <s v="TK"/>
    <x v="4"/>
    <n v="2.66"/>
    <n v="166"/>
  </r>
  <r>
    <x v="950"/>
    <n v="61"/>
    <x v="2"/>
    <x v="4"/>
    <s v="Software Engineer"/>
    <x v="950"/>
    <x v="950"/>
    <d v="2012-11-16T00:00:00"/>
    <s v="555-01001"/>
    <s v="951 Main St"/>
    <s v="New York"/>
    <s v="NK"/>
    <x v="0"/>
    <n v="2.46"/>
    <n v="48"/>
  </r>
  <r>
    <x v="951"/>
    <n v="29"/>
    <x v="1"/>
    <x v="4"/>
    <s v="Project Manager"/>
    <x v="951"/>
    <x v="951"/>
    <d v="2022-04-11T00:00:00"/>
    <s v="555-01002"/>
    <s v="952 Main St"/>
    <s v="Paris"/>
    <s v="PA"/>
    <x v="1"/>
    <n v="4.99"/>
    <n v="119"/>
  </r>
  <r>
    <x v="952"/>
    <n v="60"/>
    <x v="0"/>
    <x v="0"/>
    <s v="Analyst"/>
    <x v="952"/>
    <x v="952"/>
    <d v="2004-08-09T00:00:00"/>
    <s v="555-01003"/>
    <s v="953 Main St"/>
    <s v="London"/>
    <s v="LN"/>
    <x v="2"/>
    <n v="3.79"/>
    <n v="55"/>
  </r>
  <r>
    <x v="953"/>
    <n v="51"/>
    <x v="0"/>
    <x v="1"/>
    <s v="Software Engineer"/>
    <x v="953"/>
    <x v="953"/>
    <d v="2015-10-25T00:00:00"/>
    <s v="555-01004"/>
    <s v="954 Main St"/>
    <s v="Dubai"/>
    <s v="DB"/>
    <x v="3"/>
    <n v="3.83"/>
    <n v="51"/>
  </r>
  <r>
    <x v="954"/>
    <n v="33"/>
    <x v="2"/>
    <x v="0"/>
    <s v="Project Manager"/>
    <x v="954"/>
    <x v="954"/>
    <d v="2001-02-02T00:00:00"/>
    <s v="555-01005"/>
    <s v="955 Main St"/>
    <s v="Tokyo"/>
    <s v="TK"/>
    <x v="4"/>
    <n v="2.5"/>
    <n v="4"/>
  </r>
  <r>
    <x v="955"/>
    <n v="25"/>
    <x v="0"/>
    <x v="3"/>
    <s v="Software Engineer"/>
    <x v="955"/>
    <x v="955"/>
    <d v="2011-12-02T00:00:00"/>
    <s v="555-01006"/>
    <s v="956 Main St"/>
    <s v="New York"/>
    <s v="NK"/>
    <x v="0"/>
    <n v="4.29"/>
    <n v="140"/>
  </r>
  <r>
    <x v="956"/>
    <n v="35"/>
    <x v="0"/>
    <x v="2"/>
    <s v="Analyst"/>
    <x v="956"/>
    <x v="956"/>
    <d v="2009-12-22T00:00:00"/>
    <s v="555-01007"/>
    <s v="957 Main St"/>
    <s v="Paris"/>
    <s v="PA"/>
    <x v="1"/>
    <n v="2.41"/>
    <n v="128"/>
  </r>
  <r>
    <x v="957"/>
    <n v="46"/>
    <x v="0"/>
    <x v="0"/>
    <s v="Analyst"/>
    <x v="957"/>
    <x v="957"/>
    <d v="2018-02-05T00:00:00"/>
    <s v="555-01008"/>
    <s v="958 Main St"/>
    <s v="London"/>
    <s v="LN"/>
    <x v="2"/>
    <n v="1.17"/>
    <n v="160"/>
  </r>
  <r>
    <x v="958"/>
    <n v="26"/>
    <x v="2"/>
    <x v="2"/>
    <s v="Project Manager"/>
    <x v="958"/>
    <x v="958"/>
    <d v="2013-09-27T00:00:00"/>
    <s v="555-01009"/>
    <s v="959 Main St"/>
    <s v="Dubai"/>
    <s v="DB"/>
    <x v="3"/>
    <n v="2.3199999999999998"/>
    <n v="112"/>
  </r>
  <r>
    <x v="959"/>
    <n v="44"/>
    <x v="1"/>
    <x v="2"/>
    <s v="Analyst"/>
    <x v="959"/>
    <x v="959"/>
    <d v="2015-01-15T00:00:00"/>
    <s v="555-01000"/>
    <s v="960 Main St"/>
    <s v="Tokyo"/>
    <s v="TK"/>
    <x v="4"/>
    <n v="2.41"/>
    <n v="147"/>
  </r>
  <r>
    <x v="960"/>
    <n v="51"/>
    <x v="1"/>
    <x v="4"/>
    <s v="Project Manager"/>
    <x v="960"/>
    <x v="960"/>
    <d v="2009-03-23T00:00:00"/>
    <s v="555-01001"/>
    <s v="961 Main St"/>
    <s v="New York"/>
    <s v="NK"/>
    <x v="0"/>
    <n v="3.95"/>
    <n v="27"/>
  </r>
  <r>
    <x v="961"/>
    <n v="60"/>
    <x v="2"/>
    <x v="3"/>
    <s v="Analyst"/>
    <x v="961"/>
    <x v="961"/>
    <d v="2013-02-05T00:00:00"/>
    <s v="555-01002"/>
    <s v="962 Main St"/>
    <s v="Paris"/>
    <s v="PA"/>
    <x v="1"/>
    <n v="4.57"/>
    <n v="165"/>
  </r>
  <r>
    <x v="962"/>
    <n v="33"/>
    <x v="0"/>
    <x v="1"/>
    <s v="Sales Executive"/>
    <x v="962"/>
    <x v="962"/>
    <d v="2006-03-08T00:00:00"/>
    <s v="555-01003"/>
    <s v="963 Main St"/>
    <s v="London"/>
    <s v="LN"/>
    <x v="2"/>
    <n v="3.2"/>
    <n v="123"/>
  </r>
  <r>
    <x v="963"/>
    <n v="36"/>
    <x v="1"/>
    <x v="1"/>
    <s v="Project Manager"/>
    <x v="963"/>
    <x v="963"/>
    <d v="2017-11-17T00:00:00"/>
    <s v="555-01004"/>
    <s v="964 Main St"/>
    <s v="Dubai"/>
    <s v="DB"/>
    <x v="3"/>
    <n v="1.68"/>
    <n v="106"/>
  </r>
  <r>
    <x v="964"/>
    <n v="40"/>
    <x v="2"/>
    <x v="1"/>
    <s v="Sales Executive"/>
    <x v="964"/>
    <x v="964"/>
    <d v="2001-06-18T00:00:00"/>
    <s v="555-01005"/>
    <s v="965 Main St"/>
    <s v="Tokyo"/>
    <s v="TK"/>
    <x v="4"/>
    <n v="1.0900000000000001"/>
    <n v="185"/>
  </r>
  <r>
    <x v="965"/>
    <n v="47"/>
    <x v="2"/>
    <x v="1"/>
    <s v="Analyst"/>
    <x v="965"/>
    <x v="965"/>
    <d v="2018-03-20T00:00:00"/>
    <s v="555-01006"/>
    <s v="966 Main St"/>
    <s v="New York"/>
    <s v="NK"/>
    <x v="0"/>
    <n v="4.07"/>
    <n v="63"/>
  </r>
  <r>
    <x v="966"/>
    <n v="25"/>
    <x v="0"/>
    <x v="1"/>
    <s v="HR Specialist"/>
    <x v="966"/>
    <x v="966"/>
    <d v="2016-11-06T00:00:00"/>
    <s v="555-01007"/>
    <s v="967 Main St"/>
    <s v="Paris"/>
    <s v="PA"/>
    <x v="1"/>
    <n v="3.18"/>
    <n v="22"/>
  </r>
  <r>
    <x v="967"/>
    <n v="59"/>
    <x v="0"/>
    <x v="2"/>
    <s v="Analyst"/>
    <x v="967"/>
    <x v="967"/>
    <d v="2004-09-04T00:00:00"/>
    <s v="555-01008"/>
    <s v="968 Main St"/>
    <s v="London"/>
    <s v="LN"/>
    <x v="2"/>
    <n v="3.1"/>
    <n v="95"/>
  </r>
  <r>
    <x v="968"/>
    <n v="29"/>
    <x v="2"/>
    <x v="2"/>
    <s v="HR Specialist"/>
    <x v="968"/>
    <x v="968"/>
    <d v="2019-12-12T00:00:00"/>
    <s v="555-01009"/>
    <s v="969 Main St"/>
    <s v="Dubai"/>
    <s v="DB"/>
    <x v="3"/>
    <n v="3.72"/>
    <n v="66"/>
  </r>
  <r>
    <x v="969"/>
    <n v="51"/>
    <x v="2"/>
    <x v="2"/>
    <s v="Analyst"/>
    <x v="969"/>
    <x v="969"/>
    <d v="2000-04-11T00:00:00"/>
    <s v="555-01000"/>
    <s v="970 Main St"/>
    <s v="Tokyo"/>
    <s v="TK"/>
    <x v="4"/>
    <n v="2.29"/>
    <n v="182"/>
  </r>
  <r>
    <x v="970"/>
    <n v="36"/>
    <x v="2"/>
    <x v="3"/>
    <s v="Project Manager"/>
    <x v="970"/>
    <x v="970"/>
    <d v="2018-09-04T00:00:00"/>
    <s v="555-01001"/>
    <s v="971 Main St"/>
    <s v="New York"/>
    <s v="NK"/>
    <x v="0"/>
    <n v="4.5599999999999996"/>
    <n v="156"/>
  </r>
  <r>
    <x v="971"/>
    <n v="33"/>
    <x v="1"/>
    <x v="0"/>
    <s v="Software Engineer"/>
    <x v="971"/>
    <x v="971"/>
    <d v="2002-04-29T00:00:00"/>
    <s v="555-01002"/>
    <s v="972 Main St"/>
    <s v="Paris"/>
    <s v="PA"/>
    <x v="1"/>
    <n v="1.46"/>
    <n v="45"/>
  </r>
  <r>
    <x v="972"/>
    <n v="31"/>
    <x v="0"/>
    <x v="4"/>
    <s v="Project Manager"/>
    <x v="972"/>
    <x v="972"/>
    <d v="2004-05-20T00:00:00"/>
    <s v="555-01003"/>
    <s v="973 Main St"/>
    <s v="London"/>
    <s v="LN"/>
    <x v="2"/>
    <n v="1.81"/>
    <n v="14"/>
  </r>
  <r>
    <x v="973"/>
    <n v="33"/>
    <x v="2"/>
    <x v="2"/>
    <s v="HR Specialist"/>
    <x v="973"/>
    <x v="973"/>
    <d v="2009-02-15T00:00:00"/>
    <s v="555-01004"/>
    <s v="974 Main St"/>
    <s v="Dubai"/>
    <s v="DB"/>
    <x v="3"/>
    <n v="4.24"/>
    <n v="147"/>
  </r>
  <r>
    <x v="974"/>
    <n v="38"/>
    <x v="0"/>
    <x v="3"/>
    <s v="Analyst"/>
    <x v="974"/>
    <x v="974"/>
    <d v="2019-04-19T00:00:00"/>
    <s v="555-01005"/>
    <s v="975 Main St"/>
    <s v="Tokyo"/>
    <s v="TK"/>
    <x v="4"/>
    <n v="4.2699999999999996"/>
    <n v="118"/>
  </r>
  <r>
    <x v="975"/>
    <n v="61"/>
    <x v="1"/>
    <x v="3"/>
    <s v="Analyst"/>
    <x v="975"/>
    <x v="975"/>
    <d v="2005-10-26T00:00:00"/>
    <s v="555-01006"/>
    <s v="976 Main St"/>
    <s v="New York"/>
    <s v="NK"/>
    <x v="0"/>
    <n v="1.1599999999999999"/>
    <n v="68"/>
  </r>
  <r>
    <x v="976"/>
    <n v="23"/>
    <x v="2"/>
    <x v="4"/>
    <s v="Analyst"/>
    <x v="976"/>
    <x v="976"/>
    <d v="2021-10-17T00:00:00"/>
    <s v="555-01007"/>
    <s v="977 Main St"/>
    <s v="Paris"/>
    <s v="PA"/>
    <x v="1"/>
    <n v="3.42"/>
    <n v="23"/>
  </r>
  <r>
    <x v="977"/>
    <n v="40"/>
    <x v="0"/>
    <x v="1"/>
    <s v="Software Engineer"/>
    <x v="977"/>
    <x v="977"/>
    <d v="2008-09-24T00:00:00"/>
    <s v="555-01008"/>
    <s v="978 Main St"/>
    <s v="London"/>
    <s v="LN"/>
    <x v="2"/>
    <n v="3.75"/>
    <n v="124"/>
  </r>
  <r>
    <x v="978"/>
    <n v="50"/>
    <x v="1"/>
    <x v="3"/>
    <s v="Software Engineer"/>
    <x v="978"/>
    <x v="978"/>
    <d v="2003-01-07T00:00:00"/>
    <s v="555-01009"/>
    <s v="979 Main St"/>
    <s v="Dubai"/>
    <s v="DB"/>
    <x v="3"/>
    <n v="1.72"/>
    <n v="112"/>
  </r>
  <r>
    <x v="979"/>
    <n v="22"/>
    <x v="2"/>
    <x v="0"/>
    <s v="Project Manager"/>
    <x v="979"/>
    <x v="979"/>
    <d v="2003-08-05T00:00:00"/>
    <s v="555-01000"/>
    <s v="980 Main St"/>
    <s v="Tokyo"/>
    <s v="TK"/>
    <x v="4"/>
    <n v="2.61"/>
    <n v="20"/>
  </r>
  <r>
    <x v="980"/>
    <n v="43"/>
    <x v="0"/>
    <x v="0"/>
    <s v="Project Manager"/>
    <x v="980"/>
    <x v="980"/>
    <d v="2011-11-29T00:00:00"/>
    <s v="555-01001"/>
    <s v="981 Main St"/>
    <s v="New York"/>
    <s v="NK"/>
    <x v="0"/>
    <n v="3.56"/>
    <n v="120"/>
  </r>
  <r>
    <x v="981"/>
    <n v="46"/>
    <x v="2"/>
    <x v="0"/>
    <s v="HR Specialist"/>
    <x v="981"/>
    <x v="981"/>
    <d v="2000-11-11T00:00:00"/>
    <s v="555-01002"/>
    <s v="982 Main St"/>
    <s v="Paris"/>
    <s v="PA"/>
    <x v="1"/>
    <n v="1.29"/>
    <n v="55"/>
  </r>
  <r>
    <x v="982"/>
    <n v="31"/>
    <x v="0"/>
    <x v="3"/>
    <s v="Software Engineer"/>
    <x v="982"/>
    <x v="982"/>
    <d v="2004-11-17T00:00:00"/>
    <s v="555-01003"/>
    <s v="983 Main St"/>
    <s v="London"/>
    <s v="LN"/>
    <x v="2"/>
    <n v="3.23"/>
    <n v="145"/>
  </r>
  <r>
    <x v="983"/>
    <n v="30"/>
    <x v="0"/>
    <x v="3"/>
    <s v="Sales Executive"/>
    <x v="983"/>
    <x v="983"/>
    <d v="2001-11-02T00:00:00"/>
    <s v="555-01004"/>
    <s v="984 Main St"/>
    <s v="Dubai"/>
    <s v="DB"/>
    <x v="3"/>
    <n v="2.78"/>
    <n v="144"/>
  </r>
  <r>
    <x v="984"/>
    <n v="40"/>
    <x v="1"/>
    <x v="3"/>
    <s v="Project Manager"/>
    <x v="984"/>
    <x v="984"/>
    <d v="2001-08-20T00:00:00"/>
    <s v="555-01005"/>
    <s v="985 Main St"/>
    <s v="Tokyo"/>
    <s v="TK"/>
    <x v="4"/>
    <n v="2.52"/>
    <n v="176"/>
  </r>
  <r>
    <x v="985"/>
    <n v="33"/>
    <x v="1"/>
    <x v="3"/>
    <s v="Sales Executive"/>
    <x v="985"/>
    <x v="985"/>
    <d v="2004-08-06T00:00:00"/>
    <s v="555-01006"/>
    <s v="986 Main St"/>
    <s v="New York"/>
    <s v="NK"/>
    <x v="0"/>
    <n v="2.09"/>
    <n v="159"/>
  </r>
  <r>
    <x v="986"/>
    <n v="50"/>
    <x v="1"/>
    <x v="0"/>
    <s v="Project Manager"/>
    <x v="986"/>
    <x v="986"/>
    <d v="2007-05-05T00:00:00"/>
    <s v="555-01007"/>
    <s v="987 Main St"/>
    <s v="Paris"/>
    <s v="PA"/>
    <x v="1"/>
    <n v="4.0199999999999996"/>
    <n v="1"/>
  </r>
  <r>
    <x v="987"/>
    <n v="39"/>
    <x v="1"/>
    <x v="4"/>
    <s v="Sales Executive"/>
    <x v="987"/>
    <x v="987"/>
    <d v="2012-04-30T00:00:00"/>
    <s v="555-01008"/>
    <s v="988 Main St"/>
    <s v="London"/>
    <s v="LN"/>
    <x v="2"/>
    <n v="3.58"/>
    <n v="171"/>
  </r>
  <r>
    <x v="988"/>
    <n v="37"/>
    <x v="1"/>
    <x v="4"/>
    <s v="Sales Executive"/>
    <x v="988"/>
    <x v="988"/>
    <d v="2017-09-19T00:00:00"/>
    <s v="555-01009"/>
    <s v="989 Main St"/>
    <s v="Dubai"/>
    <s v="DB"/>
    <x v="3"/>
    <n v="3.33"/>
    <n v="124"/>
  </r>
  <r>
    <x v="989"/>
    <n v="25"/>
    <x v="0"/>
    <x v="3"/>
    <s v="Project Manager"/>
    <x v="989"/>
    <x v="989"/>
    <d v="2006-08-03T00:00:00"/>
    <s v="555-01000"/>
    <s v="990 Main St"/>
    <s v="Tokyo"/>
    <s v="TK"/>
    <x v="4"/>
    <n v="4.04"/>
    <n v="17"/>
  </r>
  <r>
    <x v="990"/>
    <n v="64"/>
    <x v="1"/>
    <x v="0"/>
    <s v="Software Engineer"/>
    <x v="990"/>
    <x v="990"/>
    <d v="2018-09-07T00:00:00"/>
    <s v="555-01001"/>
    <s v="991 Main St"/>
    <s v="New York"/>
    <s v="NK"/>
    <x v="0"/>
    <n v="1.26"/>
    <n v="61"/>
  </r>
  <r>
    <x v="991"/>
    <n v="46"/>
    <x v="0"/>
    <x v="4"/>
    <s v="Project Manager"/>
    <x v="991"/>
    <x v="991"/>
    <d v="2016-02-09T00:00:00"/>
    <s v="555-01002"/>
    <s v="992 Main St"/>
    <s v="Paris"/>
    <s v="PA"/>
    <x v="1"/>
    <n v="1.91"/>
    <n v="106"/>
  </r>
  <r>
    <x v="992"/>
    <n v="43"/>
    <x v="0"/>
    <x v="0"/>
    <s v="Software Engineer"/>
    <x v="992"/>
    <x v="992"/>
    <d v="2015-04-18T00:00:00"/>
    <s v="555-01003"/>
    <s v="993 Main St"/>
    <s v="London"/>
    <s v="LN"/>
    <x v="2"/>
    <n v="2.82"/>
    <n v="128"/>
  </r>
  <r>
    <x v="993"/>
    <n v="50"/>
    <x v="2"/>
    <x v="3"/>
    <s v="Analyst"/>
    <x v="993"/>
    <x v="993"/>
    <d v="2016-10-24T00:00:00"/>
    <s v="555-01004"/>
    <s v="994 Main St"/>
    <s v="Dubai"/>
    <s v="DB"/>
    <x v="3"/>
    <n v="3.1"/>
    <n v="175"/>
  </r>
  <r>
    <x v="994"/>
    <n v="43"/>
    <x v="0"/>
    <x v="3"/>
    <s v="Analyst"/>
    <x v="994"/>
    <x v="994"/>
    <d v="2016-12-09T00:00:00"/>
    <s v="555-01005"/>
    <s v="995 Main St"/>
    <s v="Tokyo"/>
    <s v="TK"/>
    <x v="4"/>
    <n v="3.2"/>
    <n v="193"/>
  </r>
  <r>
    <x v="995"/>
    <n v="36"/>
    <x v="0"/>
    <x v="2"/>
    <s v="Analyst"/>
    <x v="995"/>
    <x v="995"/>
    <d v="2012-06-06T00:00:00"/>
    <s v="555-01006"/>
    <s v="996 Main St"/>
    <s v="New York"/>
    <s v="NK"/>
    <x v="0"/>
    <n v="3.05"/>
    <n v="118"/>
  </r>
  <r>
    <x v="996"/>
    <n v="23"/>
    <x v="1"/>
    <x v="3"/>
    <s v="Analyst"/>
    <x v="996"/>
    <x v="996"/>
    <d v="2011-09-01T00:00:00"/>
    <s v="555-01007"/>
    <s v="997 Main St"/>
    <s v="Paris"/>
    <s v="PA"/>
    <x v="1"/>
    <n v="2.5099999999999998"/>
    <n v="107"/>
  </r>
  <r>
    <x v="997"/>
    <n v="34"/>
    <x v="0"/>
    <x v="0"/>
    <s v="HR Specialist"/>
    <x v="997"/>
    <x v="997"/>
    <d v="2022-09-10T00:00:00"/>
    <s v="555-01008"/>
    <s v="998 Main St"/>
    <s v="London"/>
    <s v="LN"/>
    <x v="2"/>
    <n v="1.1599999999999999"/>
    <n v="111"/>
  </r>
  <r>
    <x v="998"/>
    <n v="33"/>
    <x v="1"/>
    <x v="3"/>
    <s v="HR Specialist"/>
    <x v="998"/>
    <x v="998"/>
    <d v="2020-10-07T00:00:00"/>
    <s v="555-01009"/>
    <s v="999 Main St"/>
    <s v="Dubai"/>
    <s v="DB"/>
    <x v="3"/>
    <n v="4.47"/>
    <n v="1"/>
  </r>
  <r>
    <x v="999"/>
    <n v="47"/>
    <x v="0"/>
    <x v="1"/>
    <s v="Project Manager"/>
    <x v="999"/>
    <x v="999"/>
    <d v="2016-05-19T00:00:00"/>
    <s v="555-01000"/>
    <s v="1000 Main St"/>
    <s v="Tokyo"/>
    <s v="TK"/>
    <x v="4"/>
    <n v="2.39"/>
    <n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3ABD7-F8E1-40CF-838C-E01A04F1CD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103" firstHeaderRow="0" firstDataRow="1" firstDataCol="1"/>
  <pivotFields count="15">
    <pivotField showAll="0">
      <items count="1001">
        <item x="56"/>
        <item x="900"/>
        <item x="620"/>
        <item x="72"/>
        <item x="515"/>
        <item x="0"/>
        <item x="1"/>
        <item x="2"/>
        <item x="3"/>
        <item x="4"/>
        <item x="5"/>
        <item x="6"/>
        <item x="7"/>
        <item x="8"/>
        <item x="9"/>
        <item x="12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40"/>
        <item x="439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50"/>
        <item x="549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2"/>
        <item x="671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12"/>
        <item x="809"/>
        <item x="810"/>
        <item x="8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5"/>
        <item x="874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4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9"/>
        <item x="988"/>
        <item x="990"/>
        <item x="991"/>
        <item x="992"/>
        <item x="993"/>
        <item x="994"/>
        <item x="995"/>
        <item x="996"/>
        <item x="999"/>
        <item x="997"/>
        <item x="998"/>
        <item t="default"/>
      </items>
    </pivotField>
    <pivotField showAll="0"/>
    <pivotField axis="axisRow" dataField="1" showAll="0">
      <items count="4">
        <item x="0"/>
        <item x="2"/>
        <item x="1"/>
        <item t="default"/>
      </items>
    </pivotField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showAll="0">
      <items count="1001">
        <item x="767"/>
        <item x="697"/>
        <item x="390"/>
        <item x="710"/>
        <item x="37"/>
        <item x="88"/>
        <item x="746"/>
        <item x="753"/>
        <item x="160"/>
        <item x="937"/>
        <item x="927"/>
        <item x="129"/>
        <item x="478"/>
        <item x="445"/>
        <item x="980"/>
        <item x="906"/>
        <item x="835"/>
        <item x="135"/>
        <item x="569"/>
        <item x="973"/>
        <item x="101"/>
        <item x="361"/>
        <item x="740"/>
        <item x="934"/>
        <item x="139"/>
        <item x="935"/>
        <item x="748"/>
        <item x="248"/>
        <item x="792"/>
        <item x="582"/>
        <item x="261"/>
        <item x="596"/>
        <item x="994"/>
        <item x="269"/>
        <item x="25"/>
        <item x="228"/>
        <item x="936"/>
        <item x="545"/>
        <item x="367"/>
        <item x="458"/>
        <item x="661"/>
        <item x="476"/>
        <item x="848"/>
        <item x="741"/>
        <item x="544"/>
        <item x="385"/>
        <item x="102"/>
        <item x="732"/>
        <item x="410"/>
        <item x="400"/>
        <item x="920"/>
        <item x="999"/>
        <item x="942"/>
        <item x="735"/>
        <item x="242"/>
        <item x="110"/>
        <item x="299"/>
        <item x="285"/>
        <item x="832"/>
        <item x="816"/>
        <item x="725"/>
        <item x="856"/>
        <item x="750"/>
        <item x="354"/>
        <item x="518"/>
        <item x="230"/>
        <item x="123"/>
        <item x="577"/>
        <item x="666"/>
        <item x="417"/>
        <item x="645"/>
        <item x="450"/>
        <item x="764"/>
        <item x="304"/>
        <item x="252"/>
        <item x="20"/>
        <item x="178"/>
        <item x="828"/>
        <item x="944"/>
        <item x="990"/>
        <item x="688"/>
        <item x="234"/>
        <item x="167"/>
        <item x="39"/>
        <item x="850"/>
        <item x="892"/>
        <item x="838"/>
        <item x="433"/>
        <item x="36"/>
        <item x="418"/>
        <item x="305"/>
        <item x="672"/>
        <item x="636"/>
        <item x="817"/>
        <item x="651"/>
        <item x="529"/>
        <item x="514"/>
        <item x="581"/>
        <item x="511"/>
        <item x="521"/>
        <item x="879"/>
        <item x="585"/>
        <item x="395"/>
        <item x="608"/>
        <item x="502"/>
        <item x="323"/>
        <item x="811"/>
        <item x="674"/>
        <item x="967"/>
        <item x="485"/>
        <item x="899"/>
        <item x="956"/>
        <item x="116"/>
        <item x="726"/>
        <item x="136"/>
        <item x="960"/>
        <item x="94"/>
        <item x="736"/>
        <item x="708"/>
        <item x="533"/>
        <item x="3"/>
        <item x="366"/>
        <item x="763"/>
        <item x="637"/>
        <item x="685"/>
        <item x="326"/>
        <item x="393"/>
        <item x="105"/>
        <item x="583"/>
        <item x="446"/>
        <item x="747"/>
        <item x="109"/>
        <item x="263"/>
        <item x="483"/>
        <item x="144"/>
        <item x="707"/>
        <item x="812"/>
        <item x="64"/>
        <item x="790"/>
        <item x="692"/>
        <item x="876"/>
        <item x="200"/>
        <item x="953"/>
        <item x="548"/>
        <item x="878"/>
        <item x="671"/>
        <item x="406"/>
        <item x="768"/>
        <item x="435"/>
        <item x="335"/>
        <item x="744"/>
        <item x="319"/>
        <item x="444"/>
        <item x="218"/>
        <item x="270"/>
        <item x="925"/>
        <item x="509"/>
        <item x="901"/>
        <item x="201"/>
        <item x="504"/>
        <item x="469"/>
        <item x="223"/>
        <item x="561"/>
        <item x="554"/>
        <item x="902"/>
        <item x="470"/>
        <item x="90"/>
        <item x="535"/>
        <item x="211"/>
        <item x="498"/>
        <item x="523"/>
        <item x="656"/>
        <item x="369"/>
        <item x="282"/>
        <item x="567"/>
        <item x="958"/>
        <item x="266"/>
        <item x="604"/>
        <item x="642"/>
        <item x="81"/>
        <item x="673"/>
        <item x="966"/>
        <item x="404"/>
        <item x="997"/>
        <item x="803"/>
        <item x="542"/>
        <item x="540"/>
        <item x="757"/>
        <item x="419"/>
        <item x="309"/>
        <item x="837"/>
        <item x="175"/>
        <item x="911"/>
        <item x="407"/>
        <item x="556"/>
        <item x="684"/>
        <item x="374"/>
        <item x="881"/>
        <item x="168"/>
        <item x="555"/>
        <item x="382"/>
        <item x="701"/>
        <item x="616"/>
        <item x="615"/>
        <item x="479"/>
        <item x="60"/>
        <item x="166"/>
        <item x="38"/>
        <item x="220"/>
        <item x="891"/>
        <item x="405"/>
        <item x="80"/>
        <item x="29"/>
        <item x="226"/>
        <item x="318"/>
        <item x="938"/>
        <item x="957"/>
        <item x="492"/>
        <item x="151"/>
        <item x="186"/>
        <item x="940"/>
        <item x="712"/>
        <item x="301"/>
        <item x="703"/>
        <item x="659"/>
        <item x="985"/>
        <item x="152"/>
        <item x="235"/>
        <item x="384"/>
        <item x="705"/>
        <item x="169"/>
        <item x="464"/>
        <item x="840"/>
        <item x="959"/>
        <item x="931"/>
        <item x="241"/>
        <item x="620"/>
        <item x="2"/>
        <item x="82"/>
        <item x="121"/>
        <item x="605"/>
        <item x="598"/>
        <item x="709"/>
        <item x="23"/>
        <item x="243"/>
        <item x="453"/>
        <item x="619"/>
        <item x="61"/>
        <item x="992"/>
        <item x="257"/>
        <item x="380"/>
        <item x="19"/>
        <item x="46"/>
        <item x="503"/>
        <item x="700"/>
        <item x="332"/>
        <item x="884"/>
        <item x="624"/>
        <item x="148"/>
        <item x="273"/>
        <item x="918"/>
        <item x="531"/>
        <item x="904"/>
        <item x="477"/>
        <item x="420"/>
        <item x="952"/>
        <item x="212"/>
        <item x="947"/>
        <item x="83"/>
        <item x="667"/>
        <item x="839"/>
        <item x="572"/>
        <item x="213"/>
        <item x="79"/>
        <item x="411"/>
        <item x="443"/>
        <item x="723"/>
        <item x="371"/>
        <item x="532"/>
        <item x="414"/>
        <item x="644"/>
        <item x="773"/>
        <item x="522"/>
        <item x="408"/>
        <item x="847"/>
        <item x="993"/>
        <item x="868"/>
        <item x="551"/>
        <item x="138"/>
        <item x="397"/>
        <item x="171"/>
        <item x="320"/>
        <item x="945"/>
        <item x="363"/>
        <item x="244"/>
        <item x="783"/>
        <item x="575"/>
        <item x="329"/>
        <item x="631"/>
        <item x="357"/>
        <item x="321"/>
        <item x="120"/>
        <item x="599"/>
        <item x="829"/>
        <item x="983"/>
        <item x="553"/>
        <item x="334"/>
        <item x="597"/>
        <item x="728"/>
        <item x="341"/>
        <item x="877"/>
        <item x="316"/>
        <item x="785"/>
        <item x="516"/>
        <item x="126"/>
        <item x="122"/>
        <item x="943"/>
        <item x="388"/>
        <item x="500"/>
        <item x="584"/>
        <item x="519"/>
        <item x="45"/>
        <item x="286"/>
        <item x="962"/>
        <item x="295"/>
        <item x="970"/>
        <item x="73"/>
        <item x="383"/>
        <item x="527"/>
        <item x="630"/>
        <item x="428"/>
        <item x="865"/>
        <item x="489"/>
        <item x="219"/>
        <item x="798"/>
        <item x="268"/>
        <item x="210"/>
        <item x="342"/>
        <item x="463"/>
        <item x="401"/>
        <item x="240"/>
        <item x="810"/>
        <item x="373"/>
        <item x="844"/>
        <item x="302"/>
        <item x="207"/>
        <item x="68"/>
        <item x="647"/>
        <item x="695"/>
        <item x="670"/>
        <item x="180"/>
        <item x="415"/>
        <item x="336"/>
        <item x="564"/>
        <item x="292"/>
        <item x="125"/>
        <item x="486"/>
        <item x="279"/>
        <item x="941"/>
        <item x="300"/>
        <item x="429"/>
        <item x="566"/>
        <item x="766"/>
        <item x="778"/>
        <item x="98"/>
        <item x="815"/>
        <item x="30"/>
        <item x="33"/>
        <item x="117"/>
        <item x="745"/>
        <item x="854"/>
        <item x="431"/>
        <item x="108"/>
        <item x="16"/>
        <item x="149"/>
        <item x="247"/>
        <item x="154"/>
        <item x="147"/>
        <item x="853"/>
        <item x="614"/>
        <item x="381"/>
        <item x="762"/>
        <item x="676"/>
        <item x="298"/>
        <item x="776"/>
        <item x="570"/>
        <item x="76"/>
        <item x="394"/>
        <item x="534"/>
        <item x="284"/>
        <item x="781"/>
        <item x="493"/>
        <item x="275"/>
        <item x="719"/>
        <item x="202"/>
        <item x="677"/>
        <item x="91"/>
        <item x="664"/>
        <item x="163"/>
        <item x="897"/>
        <item x="706"/>
        <item x="791"/>
        <item x="602"/>
        <item x="494"/>
        <item x="686"/>
        <item x="289"/>
        <item x="262"/>
        <item x="104"/>
        <item x="579"/>
        <item x="634"/>
        <item x="929"/>
        <item x="267"/>
        <item x="546"/>
        <item x="715"/>
        <item x="455"/>
        <item x="638"/>
        <item x="221"/>
        <item x="236"/>
        <item x="153"/>
        <item x="807"/>
        <item x="97"/>
        <item x="643"/>
        <item x="961"/>
        <item x="412"/>
        <item x="562"/>
        <item x="193"/>
        <item x="203"/>
        <item x="294"/>
        <item x="468"/>
        <item x="473"/>
        <item x="239"/>
        <item x="895"/>
        <item x="702"/>
        <item x="799"/>
        <item x="742"/>
        <item x="696"/>
        <item x="84"/>
        <item x="17"/>
        <item x="530"/>
        <item x="852"/>
        <item x="576"/>
        <item x="713"/>
        <item x="471"/>
        <item x="782"/>
        <item x="271"/>
        <item x="350"/>
        <item x="24"/>
        <item x="510"/>
        <item x="903"/>
        <item x="132"/>
        <item x="851"/>
        <item x="612"/>
        <item x="665"/>
        <item x="155"/>
        <item x="987"/>
        <item x="50"/>
        <item x="277"/>
        <item x="653"/>
        <item x="951"/>
        <item x="67"/>
        <item x="115"/>
        <item x="779"/>
        <item x="424"/>
        <item x="173"/>
        <item x="34"/>
        <item x="229"/>
        <item x="538"/>
        <item x="734"/>
        <item x="480"/>
        <item x="954"/>
        <item x="580"/>
        <item x="264"/>
        <item x="143"/>
        <item x="6"/>
        <item x="308"/>
        <item x="834"/>
        <item x="887"/>
        <item x="475"/>
        <item x="402"/>
        <item x="375"/>
        <item x="824"/>
        <item x="699"/>
        <item x="249"/>
        <item x="256"/>
        <item x="322"/>
        <item x="481"/>
        <item x="225"/>
        <item x="26"/>
        <item x="727"/>
        <item x="621"/>
        <item x="525"/>
        <item x="606"/>
        <item x="578"/>
        <item x="288"/>
        <item x="31"/>
        <item x="738"/>
        <item x="355"/>
        <item x="22"/>
        <item x="774"/>
        <item x="914"/>
        <item x="188"/>
        <item x="574"/>
        <item x="687"/>
        <item x="978"/>
        <item x="457"/>
        <item x="194"/>
        <item x="681"/>
        <item x="41"/>
        <item x="804"/>
        <item x="191"/>
        <item x="134"/>
        <item x="743"/>
        <item x="437"/>
        <item x="281"/>
        <item x="989"/>
        <item x="303"/>
        <item x="501"/>
        <item x="7"/>
        <item x="724"/>
        <item x="827"/>
        <item x="975"/>
        <item x="416"/>
        <item x="802"/>
        <item x="465"/>
        <item x="971"/>
        <item x="77"/>
        <item x="595"/>
        <item x="441"/>
        <item x="314"/>
        <item x="601"/>
        <item x="452"/>
        <item x="362"/>
        <item x="537"/>
        <item x="648"/>
        <item x="421"/>
        <item x="654"/>
        <item x="187"/>
        <item x="722"/>
        <item x="5"/>
        <item x="793"/>
        <item x="345"/>
        <item x="238"/>
        <item x="119"/>
        <item x="172"/>
        <item x="894"/>
        <item x="680"/>
        <item x="558"/>
        <item x="907"/>
        <item x="392"/>
        <item x="922"/>
        <item x="195"/>
        <item x="843"/>
        <item x="568"/>
        <item x="4"/>
        <item x="422"/>
        <item x="689"/>
        <item x="232"/>
        <item x="86"/>
        <item x="127"/>
        <item x="364"/>
        <item x="996"/>
        <item x="337"/>
        <item x="795"/>
        <item x="174"/>
        <item x="823"/>
        <item x="440"/>
        <item x="396"/>
        <item x="217"/>
        <item x="58"/>
        <item x="800"/>
        <item x="183"/>
        <item x="216"/>
        <item x="436"/>
        <item x="758"/>
        <item x="591"/>
        <item x="594"/>
        <item x="293"/>
        <item x="995"/>
        <item x="343"/>
        <item x="885"/>
        <item x="48"/>
        <item x="820"/>
        <item x="622"/>
        <item x="192"/>
        <item x="751"/>
        <item x="439"/>
        <item x="306"/>
        <item x="721"/>
        <item x="890"/>
        <item x="864"/>
        <item x="100"/>
        <item x="222"/>
        <item x="165"/>
        <item x="693"/>
        <item x="488"/>
        <item x="18"/>
        <item x="819"/>
        <item x="347"/>
        <item x="889"/>
        <item x="629"/>
        <item x="550"/>
        <item x="276"/>
        <item x="372"/>
        <item x="946"/>
        <item x="649"/>
        <item x="756"/>
        <item x="142"/>
        <item x="950"/>
        <item x="74"/>
        <item x="818"/>
        <item x="133"/>
        <item x="162"/>
        <item x="588"/>
        <item x="771"/>
        <item x="65"/>
        <item x="752"/>
        <item x="883"/>
        <item x="454"/>
        <item x="484"/>
        <item x="683"/>
        <item x="898"/>
        <item x="867"/>
        <item x="739"/>
        <item x="170"/>
        <item x="208"/>
        <item x="254"/>
        <item x="333"/>
        <item x="618"/>
        <item x="356"/>
        <item x="54"/>
        <item x="47"/>
        <item x="965"/>
        <item x="711"/>
        <item x="880"/>
        <item x="8"/>
        <item x="156"/>
        <item x="360"/>
        <item x="772"/>
        <item x="296"/>
        <item x="358"/>
        <item x="808"/>
        <item x="118"/>
        <item x="963"/>
        <item x="777"/>
        <item x="765"/>
        <item x="137"/>
        <item x="761"/>
        <item x="754"/>
        <item x="15"/>
        <item x="233"/>
        <item x="955"/>
        <item x="128"/>
        <item x="274"/>
        <item x="873"/>
        <item x="831"/>
        <item x="227"/>
        <item x="948"/>
        <item x="112"/>
        <item x="589"/>
        <item x="291"/>
        <item x="543"/>
        <item x="905"/>
        <item x="449"/>
        <item x="981"/>
        <item x="869"/>
        <item x="312"/>
        <item x="328"/>
        <item x="27"/>
        <item x="860"/>
        <item x="327"/>
        <item x="814"/>
        <item x="111"/>
        <item x="164"/>
        <item x="611"/>
        <item x="62"/>
        <item x="459"/>
        <item x="348"/>
        <item x="447"/>
        <item x="311"/>
        <item x="93"/>
        <item x="389"/>
        <item x="461"/>
        <item x="114"/>
        <item x="353"/>
        <item x="338"/>
        <item x="28"/>
        <item x="13"/>
        <item x="71"/>
        <item x="496"/>
        <item x="923"/>
        <item x="603"/>
        <item x="949"/>
        <item x="559"/>
        <item x="836"/>
        <item x="968"/>
        <item x="331"/>
        <item x="487"/>
        <item x="260"/>
        <item x="875"/>
        <item x="625"/>
        <item x="662"/>
        <item x="565"/>
        <item x="283"/>
        <item x="932"/>
        <item x="600"/>
        <item x="912"/>
        <item x="528"/>
        <item x="862"/>
        <item x="490"/>
        <item x="340"/>
        <item x="641"/>
        <item x="988"/>
        <item x="507"/>
        <item x="438"/>
        <item x="913"/>
        <item x="253"/>
        <item x="563"/>
        <item x="821"/>
        <item x="658"/>
        <item x="536"/>
        <item x="760"/>
        <item x="491"/>
        <item x="398"/>
        <item x="571"/>
        <item x="513"/>
        <item x="124"/>
        <item x="467"/>
        <item x="632"/>
        <item x="146"/>
        <item x="434"/>
        <item x="131"/>
        <item x="430"/>
        <item x="21"/>
        <item x="974"/>
        <item x="682"/>
        <item x="130"/>
        <item x="456"/>
        <item x="863"/>
        <item x="351"/>
        <item x="759"/>
        <item x="769"/>
        <item x="691"/>
        <item x="541"/>
        <item x="497"/>
        <item x="231"/>
        <item x="11"/>
        <item x="425"/>
        <item x="917"/>
        <item x="607"/>
        <item x="861"/>
        <item x="426"/>
        <item x="886"/>
        <item x="460"/>
        <item x="717"/>
        <item x="668"/>
        <item x="448"/>
        <item x="805"/>
        <item x="378"/>
        <item x="984"/>
        <item x="998"/>
        <item x="639"/>
        <item x="635"/>
        <item x="403"/>
        <item x="107"/>
        <item x="626"/>
        <item x="573"/>
        <item x="976"/>
        <item x="365"/>
        <item x="593"/>
        <item x="251"/>
        <item x="841"/>
        <item x="801"/>
        <item x="786"/>
        <item x="870"/>
        <item x="99"/>
        <item x="75"/>
        <item x="657"/>
        <item x="14"/>
        <item x="177"/>
        <item x="55"/>
        <item x="515"/>
        <item x="910"/>
        <item x="113"/>
        <item x="679"/>
        <item x="720"/>
        <item x="278"/>
        <item x="52"/>
        <item x="833"/>
        <item x="806"/>
        <item x="549"/>
        <item x="845"/>
        <item x="85"/>
        <item x="859"/>
        <item x="610"/>
        <item x="770"/>
        <item x="196"/>
        <item x="557"/>
        <item x="346"/>
        <item x="846"/>
        <item x="391"/>
        <item x="423"/>
        <item x="915"/>
        <item x="205"/>
        <item x="259"/>
        <item x="716"/>
        <item x="182"/>
        <item x="893"/>
        <item x="586"/>
        <item x="552"/>
        <item x="788"/>
        <item x="377"/>
        <item x="451"/>
        <item x="916"/>
        <item x="387"/>
        <item x="442"/>
        <item x="505"/>
        <item x="896"/>
        <item x="215"/>
        <item x="780"/>
        <item x="972"/>
        <item x="245"/>
        <item x="826"/>
        <item x="376"/>
        <item x="57"/>
        <item x="508"/>
        <item x="42"/>
        <item x="737"/>
        <item x="189"/>
        <item x="991"/>
        <item x="272"/>
        <item x="313"/>
        <item x="633"/>
        <item x="103"/>
        <item x="246"/>
        <item x="939"/>
        <item x="694"/>
        <item x="466"/>
        <item x="813"/>
        <item x="714"/>
        <item x="855"/>
        <item x="872"/>
        <item x="613"/>
        <item x="908"/>
        <item x="224"/>
        <item x="733"/>
        <item x="969"/>
        <item x="784"/>
        <item x="184"/>
        <item x="198"/>
        <item x="646"/>
        <item x="432"/>
        <item x="675"/>
        <item x="924"/>
        <item x="352"/>
        <item x="339"/>
        <item x="237"/>
        <item x="92"/>
        <item x="857"/>
        <item x="344"/>
        <item x="678"/>
        <item x="609"/>
        <item x="755"/>
        <item x="842"/>
        <item x="287"/>
        <item x="933"/>
        <item x="255"/>
        <item x="87"/>
        <item x="96"/>
        <item x="520"/>
        <item x="822"/>
        <item x="849"/>
        <item x="176"/>
        <item x="979"/>
        <item x="526"/>
        <item x="161"/>
        <item x="349"/>
        <item x="258"/>
        <item x="830"/>
        <item x="66"/>
        <item x="718"/>
        <item x="796"/>
        <item x="587"/>
        <item x="63"/>
        <item x="370"/>
        <item x="592"/>
        <item x="307"/>
        <item x="53"/>
        <item x="698"/>
        <item x="789"/>
        <item x="56"/>
        <item x="1"/>
        <item x="977"/>
        <item x="663"/>
        <item x="858"/>
        <item x="539"/>
        <item x="628"/>
        <item x="731"/>
        <item x="69"/>
        <item x="749"/>
        <item x="874"/>
        <item x="495"/>
        <item x="627"/>
        <item x="72"/>
        <item x="209"/>
        <item x="379"/>
        <item x="825"/>
        <item x="140"/>
        <item x="179"/>
        <item x="40"/>
        <item x="524"/>
        <item x="106"/>
        <item x="324"/>
        <item x="157"/>
        <item x="560"/>
        <item x="926"/>
        <item x="623"/>
        <item x="704"/>
        <item x="472"/>
        <item x="315"/>
        <item x="250"/>
        <item x="330"/>
        <item x="49"/>
        <item x="214"/>
        <item x="185"/>
        <item x="12"/>
        <item x="265"/>
        <item x="729"/>
        <item x="964"/>
        <item x="359"/>
        <item x="888"/>
        <item x="10"/>
        <item x="290"/>
        <item x="617"/>
        <item x="0"/>
        <item x="95"/>
        <item x="871"/>
        <item x="462"/>
        <item x="640"/>
        <item x="141"/>
        <item x="43"/>
        <item x="59"/>
        <item x="517"/>
        <item x="650"/>
        <item x="512"/>
        <item x="882"/>
        <item x="150"/>
        <item x="919"/>
        <item x="506"/>
        <item x="399"/>
        <item x="787"/>
        <item x="310"/>
        <item x="386"/>
        <item x="928"/>
        <item x="145"/>
        <item x="413"/>
        <item x="70"/>
        <item x="474"/>
        <item x="317"/>
        <item x="775"/>
        <item x="158"/>
        <item x="89"/>
        <item x="159"/>
        <item x="909"/>
        <item x="9"/>
        <item x="199"/>
        <item x="206"/>
        <item x="730"/>
        <item x="44"/>
        <item x="32"/>
        <item x="280"/>
        <item x="190"/>
        <item x="325"/>
        <item x="204"/>
        <item x="590"/>
        <item x="427"/>
        <item x="660"/>
        <item x="690"/>
        <item x="181"/>
        <item x="921"/>
        <item x="652"/>
        <item x="986"/>
        <item x="866"/>
        <item x="297"/>
        <item x="669"/>
        <item x="197"/>
        <item x="900"/>
        <item x="982"/>
        <item x="499"/>
        <item x="797"/>
        <item x="482"/>
        <item x="51"/>
        <item x="655"/>
        <item x="409"/>
        <item x="547"/>
        <item x="809"/>
        <item x="930"/>
        <item x="35"/>
        <item x="368"/>
        <item x="794"/>
        <item x="78"/>
        <item t="default"/>
      </items>
    </pivotField>
    <pivotField numFmtId="164" showAll="0"/>
    <pivotField showAll="0"/>
    <pivotField showAll="0"/>
    <pivotField showAll="0"/>
    <pivotField showAll="0"/>
    <pivotField axis="axisRow" showAll="0">
      <items count="7">
        <item x="5"/>
        <item x="1"/>
        <item x="4"/>
        <item x="3"/>
        <item x="2"/>
        <item x="0"/>
        <item t="default"/>
      </items>
    </pivotField>
    <pivotField showAll="0"/>
    <pivotField showAll="0"/>
  </pivotFields>
  <rowFields count="3">
    <field x="2"/>
    <field x="3"/>
    <field x="12"/>
  </rowFields>
  <rowItems count="99">
    <i>
      <x/>
    </i>
    <i r="1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 v="1"/>
    </i>
    <i r="2">
      <x v="2"/>
    </i>
    <i r="2">
      <x v="3"/>
    </i>
    <i r="2">
      <x v="4"/>
    </i>
    <i r="2">
      <x v="5"/>
    </i>
    <i r="1">
      <x v="2"/>
    </i>
    <i r="2">
      <x v="1"/>
    </i>
    <i r="2">
      <x v="2"/>
    </i>
    <i r="2">
      <x v="3"/>
    </i>
    <i r="2">
      <x v="4"/>
    </i>
    <i r="2">
      <x v="5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 v="1"/>
    </i>
    <i r="2">
      <x v="2"/>
    </i>
    <i r="2">
      <x v="3"/>
    </i>
    <i r="2">
      <x v="4"/>
    </i>
    <i r="2">
      <x v="5"/>
    </i>
    <i r="1">
      <x v="2"/>
    </i>
    <i r="2">
      <x v="1"/>
    </i>
    <i r="2">
      <x v="2"/>
    </i>
    <i r="2">
      <x v="3"/>
    </i>
    <i r="2">
      <x v="4"/>
    </i>
    <i r="2">
      <x v="5"/>
    </i>
    <i r="1">
      <x v="3"/>
    </i>
    <i r="2">
      <x v="1"/>
    </i>
    <i r="2">
      <x v="2"/>
    </i>
    <i r="2">
      <x v="3"/>
    </i>
    <i r="2">
      <x v="4"/>
    </i>
    <i r="2">
      <x v="5"/>
    </i>
    <i r="1">
      <x v="4"/>
    </i>
    <i r="2">
      <x v="1"/>
    </i>
    <i r="2">
      <x v="2"/>
    </i>
    <i r="2">
      <x v="3"/>
    </i>
    <i r="2">
      <x v="4"/>
    </i>
    <i r="2">
      <x v="5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 v="1"/>
    </i>
    <i r="2">
      <x v="2"/>
    </i>
    <i r="2">
      <x v="3"/>
    </i>
    <i r="2">
      <x v="4"/>
    </i>
    <i r="2">
      <x v="5"/>
    </i>
    <i r="1">
      <x v="3"/>
    </i>
    <i r="2">
      <x v="1"/>
    </i>
    <i r="2">
      <x v="2"/>
    </i>
    <i r="2">
      <x v="3"/>
    </i>
    <i r="2">
      <x v="4"/>
    </i>
    <i r="2">
      <x v="5"/>
    </i>
    <i r="1">
      <x v="4"/>
    </i>
    <i r="2">
      <x v="1"/>
    </i>
    <i r="2">
      <x v="2"/>
    </i>
    <i r="2">
      <x v="3"/>
    </i>
    <i r="2">
      <x v="4"/>
    </i>
    <i r="2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6" baseField="0" baseItem="0"/>
    <dataField name="Count of 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638B8-17E9-49DD-81A6-FFFC070A5A8C}" name="Table1" displayName="Table1" ref="D3:E7" totalsRowShown="0">
  <autoFilter ref="D3:E7" xr:uid="{E90638B8-17E9-49DD-81A6-FFFC070A5A8C}"/>
  <tableColumns count="2">
    <tableColumn id="1" xr3:uid="{88BBF43C-6268-4B88-BB2C-D9903E382F76}" name="Column1"/>
    <tableColumn id="2" xr3:uid="{66372C9F-F750-421E-B240-C2A0BCCA2A66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33EF0F-7176-4592-BCB9-5318DB02A6C2}" name="Table2" displayName="Table2" ref="A3:B5" totalsRowShown="0">
  <autoFilter ref="A3:B5" xr:uid="{EA33EF0F-7176-4592-BCB9-5318DB02A6C2}"/>
  <tableColumns count="2">
    <tableColumn id="1" xr3:uid="{0A1776D4-AE6E-419F-830B-EA1657C29CE9}" name="Column2" dataDxfId="4"/>
    <tableColumn id="2" xr3:uid="{99C54016-D044-433D-9BA2-7DFBBCD5EABC}" name="Column1">
      <calculatedColumnFormula>COUNTIF('Main Data'!C2:C1001,"Female")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FBBF64-011E-4420-9B91-73E3F04442AF}" name="Table3" displayName="Table3" ref="G3:G4" totalsRowShown="0" headerRowDxfId="3">
  <autoFilter ref="G3:G4" xr:uid="{EFFBBF64-011E-4420-9B91-73E3F04442AF}"/>
  <tableColumns count="1">
    <tableColumn id="1" xr3:uid="{BF74B01D-D201-4D87-A915-127FEA799760}" name="SUM Salary">
      <calculatedColumnFormula>SUM('Main Data'!G2:G1001)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E04265-F469-4556-AB0D-D9FCA31A074F}" name="Table4" displayName="Table4" ref="G6:G7" totalsRowShown="0" headerRowDxfId="2">
  <autoFilter ref="G6:G7" xr:uid="{5CE04265-F469-4556-AB0D-D9FCA31A074F}"/>
  <tableColumns count="1">
    <tableColumn id="1" xr3:uid="{5A8FC603-FB41-46FD-A2B7-670C00D37E39}" name="AVERAGE Of Salary">
      <calculatedColumnFormula>AVERAGE('Main Data'!G2:G1001)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B834F9-0496-4E7E-B20E-6F6AC27F689B}" name="Table5" displayName="Table5" ref="I3:I4" totalsRowShown="0" headerRowDxfId="1">
  <autoFilter ref="I3:I4" xr:uid="{42B834F9-0496-4E7E-B20E-6F6AC27F689B}"/>
  <tableColumns count="1">
    <tableColumn id="1" xr3:uid="{69C5E3D6-C3FF-476A-AB9D-AF2EDF383B64}" name="Highest Salary">
      <calculatedColumnFormula>MAX('Main Data'!G2:G1001)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847005-3F5F-40C2-9DCD-D07F7F96D4BF}" name="Table6" displayName="Table6" ref="I6:I7" totalsRowShown="0" headerRowDxfId="0">
  <autoFilter ref="I6:I7" xr:uid="{A8847005-3F5F-40C2-9DCD-D07F7F96D4BF}"/>
  <tableColumns count="1">
    <tableColumn id="1" xr3:uid="{70E50C68-436A-4C09-93A7-128EA41943C9}" name="Lowest Salary">
      <calculatedColumnFormula>MIN('Main Data'!G2:G1001)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workbookViewId="0">
      <pane ySplit="1" topLeftCell="A2" activePane="bottomLeft" state="frozen"/>
      <selection pane="bottomLeft" activeCell="D1002" sqref="D1002"/>
    </sheetView>
  </sheetViews>
  <sheetFormatPr defaultColWidth="12.5546875" defaultRowHeight="15" customHeight="1" x14ac:dyDescent="0.3"/>
  <cols>
    <col min="1" max="1" width="11.33203125" customWidth="1"/>
    <col min="2" max="2" width="7.44140625" customWidth="1"/>
    <col min="3" max="3" width="7.88671875" customWidth="1"/>
    <col min="4" max="4" width="12.44140625" customWidth="1"/>
    <col min="5" max="5" width="16.44140625" customWidth="1"/>
    <col min="6" max="6" width="12.33203125" customWidth="1"/>
    <col min="7" max="7" width="11.109375" customWidth="1"/>
    <col min="8" max="8" width="19.44140625" customWidth="1"/>
    <col min="9" max="9" width="14.33203125" customWidth="1"/>
    <col min="10" max="10" width="12.109375" customWidth="1"/>
    <col min="11" max="11" width="8.88671875" customWidth="1"/>
    <col min="12" max="12" width="6" customWidth="1"/>
    <col min="13" max="13" width="8.44140625" customWidth="1"/>
    <col min="14" max="14" width="19" customWidth="1"/>
    <col min="15" max="15" width="11" customWidth="1"/>
    <col min="16" max="26" width="8.5546875" customWidth="1"/>
  </cols>
  <sheetData>
    <row r="1" spans="1:15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ht="14.25" customHeight="1" x14ac:dyDescent="0.3">
      <c r="A2" s="4" t="s">
        <v>15</v>
      </c>
      <c r="B2" s="4">
        <v>22</v>
      </c>
      <c r="C2" s="4" t="s">
        <v>16</v>
      </c>
      <c r="D2" s="4" t="s">
        <v>17</v>
      </c>
      <c r="E2" s="4" t="s">
        <v>18</v>
      </c>
      <c r="F2" s="4">
        <v>1001</v>
      </c>
      <c r="G2" s="4">
        <v>186978.16</v>
      </c>
      <c r="H2" s="5">
        <v>43595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>
        <v>2.94</v>
      </c>
      <c r="O2" s="4">
        <v>182</v>
      </c>
    </row>
    <row r="3" spans="1:15" ht="14.25" customHeight="1" x14ac:dyDescent="0.3">
      <c r="A3" s="6" t="s">
        <v>24</v>
      </c>
      <c r="B3" s="6">
        <v>25</v>
      </c>
      <c r="C3" s="6" t="s">
        <v>25</v>
      </c>
      <c r="D3" s="6" t="s">
        <v>26</v>
      </c>
      <c r="E3" s="6" t="s">
        <v>27</v>
      </c>
      <c r="F3" s="6">
        <v>1002</v>
      </c>
      <c r="G3" s="6">
        <v>180610.63</v>
      </c>
      <c r="H3" s="7">
        <v>44927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>
        <v>3.75</v>
      </c>
      <c r="O3" s="6">
        <v>86</v>
      </c>
    </row>
    <row r="4" spans="1:15" ht="14.25" customHeight="1" x14ac:dyDescent="0.3">
      <c r="A4" s="6" t="s">
        <v>33</v>
      </c>
      <c r="B4" s="6">
        <v>25</v>
      </c>
      <c r="C4" s="6" t="s">
        <v>25</v>
      </c>
      <c r="D4" s="6" t="s">
        <v>17</v>
      </c>
      <c r="E4" s="6" t="s">
        <v>34</v>
      </c>
      <c r="F4" s="6">
        <v>1003</v>
      </c>
      <c r="G4" s="6">
        <v>85152.37</v>
      </c>
      <c r="H4" s="7">
        <v>44012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>
        <v>3.93</v>
      </c>
      <c r="O4" s="6">
        <v>49</v>
      </c>
    </row>
    <row r="5" spans="1:15" ht="14.25" customHeight="1" x14ac:dyDescent="0.3">
      <c r="A5" s="6" t="s">
        <v>40</v>
      </c>
      <c r="B5" s="6">
        <v>61</v>
      </c>
      <c r="C5" s="6" t="s">
        <v>25</v>
      </c>
      <c r="D5" s="6" t="s">
        <v>17</v>
      </c>
      <c r="E5" s="6" t="s">
        <v>18</v>
      </c>
      <c r="F5" s="6">
        <v>1004</v>
      </c>
      <c r="G5" s="6">
        <v>68024.81</v>
      </c>
      <c r="H5" s="7">
        <v>40924</v>
      </c>
      <c r="I5" s="6" t="s">
        <v>41</v>
      </c>
      <c r="J5" s="6" t="s">
        <v>42</v>
      </c>
      <c r="K5" s="6" t="s">
        <v>43</v>
      </c>
      <c r="L5" s="6" t="s">
        <v>44</v>
      </c>
      <c r="M5" s="6" t="s">
        <v>45</v>
      </c>
      <c r="N5" s="6">
        <v>4.38</v>
      </c>
      <c r="O5" s="6">
        <v>165</v>
      </c>
    </row>
    <row r="6" spans="1:15" ht="14.25" customHeight="1" x14ac:dyDescent="0.3">
      <c r="A6" s="6" t="s">
        <v>46</v>
      </c>
      <c r="B6" s="6">
        <v>31</v>
      </c>
      <c r="C6" s="6" t="s">
        <v>25</v>
      </c>
      <c r="D6" s="6" t="s">
        <v>47</v>
      </c>
      <c r="E6" s="6" t="s">
        <v>48</v>
      </c>
      <c r="F6" s="6">
        <v>1005</v>
      </c>
      <c r="G6" s="6">
        <v>130122.92</v>
      </c>
      <c r="H6" s="7">
        <v>43338</v>
      </c>
      <c r="I6" s="6" t="s">
        <v>49</v>
      </c>
      <c r="J6" s="6" t="s">
        <v>50</v>
      </c>
      <c r="K6" s="6" t="s">
        <v>51</v>
      </c>
      <c r="L6" s="6" t="s">
        <v>52</v>
      </c>
      <c r="M6" s="6" t="s">
        <v>53</v>
      </c>
      <c r="N6" s="6">
        <v>2.77</v>
      </c>
      <c r="O6" s="6">
        <v>130</v>
      </c>
    </row>
    <row r="7" spans="1:15" ht="14.25" customHeight="1" x14ac:dyDescent="0.3">
      <c r="A7" s="6" t="s">
        <v>54</v>
      </c>
      <c r="B7" s="6">
        <v>41</v>
      </c>
      <c r="C7" s="6" t="s">
        <v>16</v>
      </c>
      <c r="D7" s="6" t="s">
        <v>55</v>
      </c>
      <c r="E7" s="6" t="s">
        <v>48</v>
      </c>
      <c r="F7" s="6">
        <v>1006</v>
      </c>
      <c r="G7" s="6">
        <v>128330.48</v>
      </c>
      <c r="H7" s="7">
        <v>44314</v>
      </c>
      <c r="I7" s="6" t="s">
        <v>56</v>
      </c>
      <c r="J7" s="6" t="s">
        <v>57</v>
      </c>
      <c r="K7" s="6" t="s">
        <v>58</v>
      </c>
      <c r="L7" s="6" t="s">
        <v>59</v>
      </c>
      <c r="M7" s="6" t="s">
        <v>60</v>
      </c>
      <c r="N7" s="6">
        <v>1.34</v>
      </c>
      <c r="O7" s="6">
        <v>56</v>
      </c>
    </row>
    <row r="8" spans="1:15" ht="14.25" customHeight="1" x14ac:dyDescent="0.3">
      <c r="A8" s="6" t="s">
        <v>61</v>
      </c>
      <c r="B8" s="6">
        <v>43</v>
      </c>
      <c r="C8" s="6" t="s">
        <v>62</v>
      </c>
      <c r="D8" s="6" t="s">
        <v>26</v>
      </c>
      <c r="E8" s="6" t="s">
        <v>48</v>
      </c>
      <c r="F8" s="6">
        <v>1007</v>
      </c>
      <c r="G8" s="6">
        <v>119762.64</v>
      </c>
      <c r="H8" s="7">
        <v>39611</v>
      </c>
      <c r="I8" s="6" t="s">
        <v>63</v>
      </c>
      <c r="J8" s="6" t="s">
        <v>64</v>
      </c>
      <c r="K8" s="4" t="s">
        <v>21</v>
      </c>
      <c r="L8" s="4" t="s">
        <v>22</v>
      </c>
      <c r="M8" s="6" t="s">
        <v>23</v>
      </c>
      <c r="N8" s="6">
        <v>4.3600000000000003</v>
      </c>
      <c r="O8" s="6">
        <v>87</v>
      </c>
    </row>
    <row r="9" spans="1:15" ht="14.25" customHeight="1" x14ac:dyDescent="0.3">
      <c r="A9" s="6" t="s">
        <v>65</v>
      </c>
      <c r="B9" s="6">
        <v>58</v>
      </c>
      <c r="C9" s="6" t="s">
        <v>25</v>
      </c>
      <c r="D9" s="6" t="s">
        <v>17</v>
      </c>
      <c r="E9" s="6" t="s">
        <v>27</v>
      </c>
      <c r="F9" s="6">
        <v>1008</v>
      </c>
      <c r="G9" s="6">
        <v>126188.66</v>
      </c>
      <c r="H9" s="7">
        <v>41122</v>
      </c>
      <c r="I9" s="6" t="s">
        <v>66</v>
      </c>
      <c r="J9" s="6" t="s">
        <v>67</v>
      </c>
      <c r="K9" s="6" t="s">
        <v>30</v>
      </c>
      <c r="L9" s="6" t="s">
        <v>31</v>
      </c>
      <c r="M9" s="6" t="s">
        <v>32</v>
      </c>
      <c r="N9" s="6">
        <v>4.99</v>
      </c>
      <c r="O9" s="6">
        <v>190</v>
      </c>
    </row>
    <row r="10" spans="1:15" ht="14.25" customHeight="1" x14ac:dyDescent="0.3">
      <c r="A10" s="6" t="s">
        <v>68</v>
      </c>
      <c r="B10" s="6">
        <v>45</v>
      </c>
      <c r="C10" s="6" t="s">
        <v>62</v>
      </c>
      <c r="D10" s="6" t="s">
        <v>69</v>
      </c>
      <c r="E10" s="6" t="s">
        <v>34</v>
      </c>
      <c r="F10" s="6">
        <v>1009</v>
      </c>
      <c r="G10" s="6">
        <v>140463.31</v>
      </c>
      <c r="H10" s="7">
        <v>44175</v>
      </c>
      <c r="I10" s="6" t="s">
        <v>70</v>
      </c>
      <c r="J10" s="6" t="s">
        <v>71</v>
      </c>
      <c r="K10" s="6" t="s">
        <v>37</v>
      </c>
      <c r="L10" s="6" t="s">
        <v>38</v>
      </c>
      <c r="M10" s="6" t="s">
        <v>39</v>
      </c>
      <c r="N10" s="6">
        <v>2.91</v>
      </c>
      <c r="O10" s="6">
        <v>175</v>
      </c>
    </row>
    <row r="11" spans="1:15" ht="14.25" customHeight="1" x14ac:dyDescent="0.3">
      <c r="A11" s="6" t="s">
        <v>72</v>
      </c>
      <c r="B11" s="6">
        <v>28</v>
      </c>
      <c r="C11" s="6" t="s">
        <v>25</v>
      </c>
      <c r="D11" s="6" t="s">
        <v>55</v>
      </c>
      <c r="E11" s="6" t="s">
        <v>48</v>
      </c>
      <c r="F11" s="6">
        <v>1010</v>
      </c>
      <c r="G11" s="6">
        <v>192474.29</v>
      </c>
      <c r="H11" s="7">
        <v>41994</v>
      </c>
      <c r="I11" s="6" t="s">
        <v>73</v>
      </c>
      <c r="J11" s="6" t="s">
        <v>74</v>
      </c>
      <c r="K11" s="6" t="s">
        <v>43</v>
      </c>
      <c r="L11" s="6" t="s">
        <v>44</v>
      </c>
      <c r="M11" s="6" t="s">
        <v>45</v>
      </c>
      <c r="N11" s="6">
        <v>3.14</v>
      </c>
      <c r="O11" s="6">
        <v>74</v>
      </c>
    </row>
    <row r="12" spans="1:15" ht="14.25" customHeight="1" x14ac:dyDescent="0.3">
      <c r="A12" s="6" t="s">
        <v>75</v>
      </c>
      <c r="B12" s="6">
        <v>46</v>
      </c>
      <c r="C12" s="6" t="s">
        <v>25</v>
      </c>
      <c r="D12" s="6" t="s">
        <v>26</v>
      </c>
      <c r="E12" s="6" t="s">
        <v>34</v>
      </c>
      <c r="F12" s="6">
        <v>1011</v>
      </c>
      <c r="G12" s="6">
        <v>186296.33</v>
      </c>
      <c r="H12" s="7">
        <v>38409</v>
      </c>
      <c r="I12" s="6" t="s">
        <v>19</v>
      </c>
      <c r="J12" s="6" t="s">
        <v>76</v>
      </c>
      <c r="K12" s="6" t="s">
        <v>51</v>
      </c>
      <c r="L12" s="6" t="s">
        <v>52</v>
      </c>
      <c r="M12" s="6" t="s">
        <v>53</v>
      </c>
      <c r="N12" s="6">
        <v>4.5199999999999996</v>
      </c>
      <c r="O12" s="6">
        <v>13</v>
      </c>
    </row>
    <row r="13" spans="1:15" ht="14.25" customHeight="1" x14ac:dyDescent="0.3">
      <c r="A13" s="6" t="s">
        <v>77</v>
      </c>
      <c r="B13" s="6">
        <v>46</v>
      </c>
      <c r="C13" s="6" t="s">
        <v>25</v>
      </c>
      <c r="D13" s="6" t="s">
        <v>17</v>
      </c>
      <c r="E13" s="6" t="s">
        <v>48</v>
      </c>
      <c r="F13" s="6">
        <v>1012</v>
      </c>
      <c r="G13" s="6">
        <v>155436.01999999999</v>
      </c>
      <c r="H13" s="7">
        <v>44747</v>
      </c>
      <c r="I13" s="6" t="s">
        <v>28</v>
      </c>
      <c r="J13" s="6" t="s">
        <v>78</v>
      </c>
      <c r="K13" s="6" t="s">
        <v>58</v>
      </c>
      <c r="L13" s="6" t="s">
        <v>59</v>
      </c>
      <c r="M13" s="6" t="s">
        <v>60</v>
      </c>
      <c r="N13" s="6">
        <v>4.82</v>
      </c>
      <c r="O13" s="6">
        <v>189</v>
      </c>
    </row>
    <row r="14" spans="1:15" ht="14.25" customHeight="1" x14ac:dyDescent="0.3">
      <c r="A14" s="6" t="s">
        <v>79</v>
      </c>
      <c r="B14" s="6">
        <v>34</v>
      </c>
      <c r="C14" s="6" t="s">
        <v>62</v>
      </c>
      <c r="D14" s="6" t="s">
        <v>17</v>
      </c>
      <c r="E14" s="6" t="s">
        <v>80</v>
      </c>
      <c r="F14" s="6">
        <v>1013</v>
      </c>
      <c r="G14" s="6">
        <v>185303.25</v>
      </c>
      <c r="H14" s="7">
        <v>40629</v>
      </c>
      <c r="I14" s="6" t="s">
        <v>35</v>
      </c>
      <c r="J14" s="6" t="s">
        <v>81</v>
      </c>
      <c r="K14" s="4" t="s">
        <v>21</v>
      </c>
      <c r="L14" s="4" t="s">
        <v>22</v>
      </c>
      <c r="M14" s="6" t="s">
        <v>23</v>
      </c>
      <c r="N14" s="6">
        <v>2.02</v>
      </c>
      <c r="O14" s="6">
        <v>92</v>
      </c>
    </row>
    <row r="15" spans="1:15" ht="14.25" customHeight="1" x14ac:dyDescent="0.3">
      <c r="A15" s="6" t="s">
        <v>82</v>
      </c>
      <c r="B15" s="6">
        <v>23</v>
      </c>
      <c r="C15" s="6" t="s">
        <v>62</v>
      </c>
      <c r="D15" s="6" t="s">
        <v>55</v>
      </c>
      <c r="E15" s="6" t="s">
        <v>18</v>
      </c>
      <c r="F15" s="6">
        <v>1014</v>
      </c>
      <c r="G15" s="6">
        <v>147402.04999999999</v>
      </c>
      <c r="H15" s="7">
        <v>43144</v>
      </c>
      <c r="I15" s="6" t="s">
        <v>41</v>
      </c>
      <c r="J15" s="6" t="s">
        <v>83</v>
      </c>
      <c r="K15" s="6" t="s">
        <v>30</v>
      </c>
      <c r="L15" s="6" t="s">
        <v>31</v>
      </c>
      <c r="M15" s="6" t="s">
        <v>32</v>
      </c>
      <c r="N15" s="6">
        <v>1.51</v>
      </c>
      <c r="O15" s="6">
        <v>4</v>
      </c>
    </row>
    <row r="16" spans="1:15" ht="14.25" customHeight="1" x14ac:dyDescent="0.3">
      <c r="A16" s="6" t="s">
        <v>84</v>
      </c>
      <c r="B16" s="6">
        <v>60</v>
      </c>
      <c r="C16" s="6" t="s">
        <v>62</v>
      </c>
      <c r="D16" s="6" t="s">
        <v>69</v>
      </c>
      <c r="E16" s="6" t="s">
        <v>27</v>
      </c>
      <c r="F16" s="6">
        <v>1015</v>
      </c>
      <c r="G16" s="6">
        <v>160358.07999999999</v>
      </c>
      <c r="H16" s="7">
        <v>36528</v>
      </c>
      <c r="I16" s="6" t="s">
        <v>49</v>
      </c>
      <c r="J16" s="6" t="s">
        <v>85</v>
      </c>
      <c r="K16" s="6" t="s">
        <v>37</v>
      </c>
      <c r="L16" s="6" t="s">
        <v>38</v>
      </c>
      <c r="M16" s="6" t="s">
        <v>39</v>
      </c>
      <c r="N16" s="6">
        <v>1.78</v>
      </c>
      <c r="O16" s="6">
        <v>150</v>
      </c>
    </row>
    <row r="17" spans="1:15" ht="14.25" customHeight="1" x14ac:dyDescent="0.3">
      <c r="A17" s="6" t="s">
        <v>86</v>
      </c>
      <c r="B17" s="6">
        <v>61</v>
      </c>
      <c r="C17" s="6" t="s">
        <v>16</v>
      </c>
      <c r="D17" s="6" t="s">
        <v>17</v>
      </c>
      <c r="E17" s="6" t="s">
        <v>18</v>
      </c>
      <c r="F17" s="6">
        <v>1016</v>
      </c>
      <c r="G17" s="6">
        <v>142161.03</v>
      </c>
      <c r="H17" s="7">
        <v>42104</v>
      </c>
      <c r="I17" s="6" t="s">
        <v>56</v>
      </c>
      <c r="J17" s="6" t="s">
        <v>87</v>
      </c>
      <c r="K17" s="6" t="s">
        <v>43</v>
      </c>
      <c r="L17" s="6" t="s">
        <v>44</v>
      </c>
      <c r="M17" s="6" t="s">
        <v>45</v>
      </c>
      <c r="N17" s="6">
        <v>2.2200000000000002</v>
      </c>
      <c r="O17" s="6">
        <v>78</v>
      </c>
    </row>
    <row r="18" spans="1:15" ht="14.25" customHeight="1" x14ac:dyDescent="0.3">
      <c r="A18" s="6" t="s">
        <v>88</v>
      </c>
      <c r="B18" s="6">
        <v>45</v>
      </c>
      <c r="C18" s="6" t="s">
        <v>62</v>
      </c>
      <c r="D18" s="6" t="s">
        <v>47</v>
      </c>
      <c r="E18" s="6" t="s">
        <v>18</v>
      </c>
      <c r="F18" s="6">
        <v>1017</v>
      </c>
      <c r="G18" s="6">
        <v>106217.93</v>
      </c>
      <c r="H18" s="7">
        <v>41010</v>
      </c>
      <c r="I18" s="6" t="s">
        <v>63</v>
      </c>
      <c r="J18" s="6" t="s">
        <v>89</v>
      </c>
      <c r="K18" s="6" t="s">
        <v>51</v>
      </c>
      <c r="L18" s="6" t="s">
        <v>52</v>
      </c>
      <c r="M18" s="6" t="s">
        <v>53</v>
      </c>
      <c r="N18" s="6">
        <v>4.45</v>
      </c>
      <c r="O18" s="6">
        <v>182</v>
      </c>
    </row>
    <row r="19" spans="1:15" ht="14.25" customHeight="1" x14ac:dyDescent="0.3">
      <c r="A19" s="6" t="s">
        <v>90</v>
      </c>
      <c r="B19" s="6">
        <v>46</v>
      </c>
      <c r="C19" s="6" t="s">
        <v>16</v>
      </c>
      <c r="D19" s="6" t="s">
        <v>47</v>
      </c>
      <c r="E19" s="6" t="s">
        <v>80</v>
      </c>
      <c r="F19" s="6">
        <v>1018</v>
      </c>
      <c r="G19" s="6">
        <v>114500.4</v>
      </c>
      <c r="H19" s="7">
        <v>36903</v>
      </c>
      <c r="I19" s="6" t="s">
        <v>66</v>
      </c>
      <c r="J19" s="6" t="s">
        <v>91</v>
      </c>
      <c r="K19" s="6" t="s">
        <v>58</v>
      </c>
      <c r="L19" s="6" t="s">
        <v>59</v>
      </c>
      <c r="M19" s="6" t="s">
        <v>60</v>
      </c>
      <c r="N19" s="6">
        <v>3.96</v>
      </c>
      <c r="O19" s="6">
        <v>167</v>
      </c>
    </row>
    <row r="20" spans="1:15" ht="14.25" customHeight="1" x14ac:dyDescent="0.3">
      <c r="A20" s="6" t="s">
        <v>92</v>
      </c>
      <c r="B20" s="6">
        <v>39</v>
      </c>
      <c r="C20" s="6" t="s">
        <v>16</v>
      </c>
      <c r="D20" s="6" t="s">
        <v>55</v>
      </c>
      <c r="E20" s="6" t="s">
        <v>34</v>
      </c>
      <c r="F20" s="6">
        <v>1019</v>
      </c>
      <c r="G20" s="6">
        <v>135513.35</v>
      </c>
      <c r="H20" s="7">
        <v>41352</v>
      </c>
      <c r="I20" s="6" t="s">
        <v>70</v>
      </c>
      <c r="J20" s="6" t="s">
        <v>93</v>
      </c>
      <c r="K20" s="4" t="s">
        <v>21</v>
      </c>
      <c r="L20" s="4" t="s">
        <v>22</v>
      </c>
      <c r="M20" s="6" t="s">
        <v>23</v>
      </c>
      <c r="N20" s="6">
        <v>3.36</v>
      </c>
      <c r="O20" s="6">
        <v>59</v>
      </c>
    </row>
    <row r="21" spans="1:15" ht="14.25" customHeight="1" x14ac:dyDescent="0.3">
      <c r="A21" s="6" t="s">
        <v>94</v>
      </c>
      <c r="B21" s="6">
        <v>59</v>
      </c>
      <c r="C21" s="6" t="s">
        <v>62</v>
      </c>
      <c r="D21" s="6" t="s">
        <v>26</v>
      </c>
      <c r="E21" s="6" t="s">
        <v>18</v>
      </c>
      <c r="F21" s="6">
        <v>1020</v>
      </c>
      <c r="G21" s="6">
        <v>86687.91</v>
      </c>
      <c r="H21" s="7">
        <v>41057</v>
      </c>
      <c r="I21" s="6" t="s">
        <v>73</v>
      </c>
      <c r="J21" s="6" t="s">
        <v>95</v>
      </c>
      <c r="K21" s="6" t="s">
        <v>30</v>
      </c>
      <c r="L21" s="6" t="s">
        <v>31</v>
      </c>
      <c r="M21" s="6" t="s">
        <v>32</v>
      </c>
      <c r="N21" s="6">
        <v>3.9</v>
      </c>
      <c r="O21" s="6">
        <v>181</v>
      </c>
    </row>
    <row r="22" spans="1:15" ht="14.25" customHeight="1" x14ac:dyDescent="0.3">
      <c r="A22" s="6" t="s">
        <v>96</v>
      </c>
      <c r="B22" s="6">
        <v>47</v>
      </c>
      <c r="C22" s="6" t="s">
        <v>25</v>
      </c>
      <c r="D22" s="6" t="s">
        <v>55</v>
      </c>
      <c r="E22" s="6" t="s">
        <v>80</v>
      </c>
      <c r="F22" s="6">
        <v>1021</v>
      </c>
      <c r="G22" s="6">
        <v>61550.15</v>
      </c>
      <c r="H22" s="7">
        <v>38090</v>
      </c>
      <c r="I22" s="6" t="s">
        <v>19</v>
      </c>
      <c r="J22" s="6" t="s">
        <v>97</v>
      </c>
      <c r="K22" s="6" t="s">
        <v>37</v>
      </c>
      <c r="L22" s="6" t="s">
        <v>38</v>
      </c>
      <c r="M22" s="6" t="s">
        <v>39</v>
      </c>
      <c r="N22" s="6">
        <v>4.2300000000000004</v>
      </c>
      <c r="O22" s="6">
        <v>66</v>
      </c>
    </row>
    <row r="23" spans="1:15" ht="14.25" customHeight="1" x14ac:dyDescent="0.3">
      <c r="A23" s="6" t="s">
        <v>98</v>
      </c>
      <c r="B23" s="6">
        <v>35</v>
      </c>
      <c r="C23" s="6" t="s">
        <v>25</v>
      </c>
      <c r="D23" s="6" t="s">
        <v>55</v>
      </c>
      <c r="E23" s="6" t="s">
        <v>34</v>
      </c>
      <c r="F23" s="6">
        <v>1022</v>
      </c>
      <c r="G23" s="6">
        <v>154481.57999999999</v>
      </c>
      <c r="H23" s="7">
        <v>38264</v>
      </c>
      <c r="I23" s="6" t="s">
        <v>28</v>
      </c>
      <c r="J23" s="6" t="s">
        <v>99</v>
      </c>
      <c r="K23" s="6" t="s">
        <v>43</v>
      </c>
      <c r="L23" s="6" t="s">
        <v>44</v>
      </c>
      <c r="M23" s="6" t="s">
        <v>45</v>
      </c>
      <c r="N23" s="6">
        <v>3.04</v>
      </c>
      <c r="O23" s="6">
        <v>108</v>
      </c>
    </row>
    <row r="24" spans="1:15" ht="14.25" customHeight="1" x14ac:dyDescent="0.3">
      <c r="A24" s="6" t="s">
        <v>100</v>
      </c>
      <c r="B24" s="6">
        <v>30</v>
      </c>
      <c r="C24" s="6" t="s">
        <v>16</v>
      </c>
      <c r="D24" s="6" t="s">
        <v>26</v>
      </c>
      <c r="E24" s="6" t="s">
        <v>80</v>
      </c>
      <c r="F24" s="6">
        <v>1023</v>
      </c>
      <c r="G24" s="6">
        <v>123181.38</v>
      </c>
      <c r="H24" s="7">
        <v>41830</v>
      </c>
      <c r="I24" s="6" t="s">
        <v>35</v>
      </c>
      <c r="J24" s="6" t="s">
        <v>101</v>
      </c>
      <c r="K24" s="6" t="s">
        <v>51</v>
      </c>
      <c r="L24" s="6" t="s">
        <v>52</v>
      </c>
      <c r="M24" s="6" t="s">
        <v>53</v>
      </c>
      <c r="N24" s="6">
        <v>1.27</v>
      </c>
      <c r="O24" s="6">
        <v>181</v>
      </c>
    </row>
    <row r="25" spans="1:15" ht="14.25" customHeight="1" x14ac:dyDescent="0.3">
      <c r="A25" s="6" t="s">
        <v>102</v>
      </c>
      <c r="B25" s="6">
        <v>31</v>
      </c>
      <c r="C25" s="6" t="s">
        <v>25</v>
      </c>
      <c r="D25" s="6" t="s">
        <v>26</v>
      </c>
      <c r="E25" s="6" t="s">
        <v>34</v>
      </c>
      <c r="F25" s="6">
        <v>1024</v>
      </c>
      <c r="G25" s="6">
        <v>85790</v>
      </c>
      <c r="H25" s="7">
        <v>43176</v>
      </c>
      <c r="I25" s="6" t="s">
        <v>41</v>
      </c>
      <c r="J25" s="6" t="s">
        <v>103</v>
      </c>
      <c r="K25" s="6" t="s">
        <v>58</v>
      </c>
      <c r="L25" s="6" t="s">
        <v>59</v>
      </c>
      <c r="M25" s="6" t="s">
        <v>60</v>
      </c>
      <c r="N25" s="6">
        <v>4.3899999999999997</v>
      </c>
      <c r="O25" s="6">
        <v>81</v>
      </c>
    </row>
    <row r="26" spans="1:15" ht="14.25" customHeight="1" x14ac:dyDescent="0.3">
      <c r="A26" s="6" t="s">
        <v>104</v>
      </c>
      <c r="B26" s="6">
        <v>42</v>
      </c>
      <c r="C26" s="6" t="s">
        <v>25</v>
      </c>
      <c r="D26" s="6" t="s">
        <v>26</v>
      </c>
      <c r="E26" s="6" t="s">
        <v>80</v>
      </c>
      <c r="F26" s="6">
        <v>1025</v>
      </c>
      <c r="G26" s="6">
        <v>115900.12</v>
      </c>
      <c r="H26" s="7">
        <v>42757</v>
      </c>
      <c r="I26" s="6" t="s">
        <v>49</v>
      </c>
      <c r="J26" s="6" t="s">
        <v>105</v>
      </c>
      <c r="K26" s="4" t="s">
        <v>21</v>
      </c>
      <c r="L26" s="4" t="s">
        <v>22</v>
      </c>
      <c r="M26" s="6" t="s">
        <v>23</v>
      </c>
      <c r="N26" s="6">
        <v>2.78</v>
      </c>
      <c r="O26" s="6">
        <v>14</v>
      </c>
    </row>
    <row r="27" spans="1:15" ht="14.25" customHeight="1" x14ac:dyDescent="0.3">
      <c r="A27" s="6" t="s">
        <v>106</v>
      </c>
      <c r="B27" s="6">
        <v>38</v>
      </c>
      <c r="C27" s="6" t="s">
        <v>16</v>
      </c>
      <c r="D27" s="6" t="s">
        <v>69</v>
      </c>
      <c r="E27" s="6" t="s">
        <v>18</v>
      </c>
      <c r="F27" s="6">
        <v>1026</v>
      </c>
      <c r="G27" s="6">
        <v>54839.09</v>
      </c>
      <c r="H27" s="7">
        <v>42736</v>
      </c>
      <c r="I27" s="6" t="s">
        <v>56</v>
      </c>
      <c r="J27" s="6" t="s">
        <v>107</v>
      </c>
      <c r="K27" s="6" t="s">
        <v>30</v>
      </c>
      <c r="L27" s="6" t="s">
        <v>31</v>
      </c>
      <c r="M27" s="6" t="s">
        <v>32</v>
      </c>
      <c r="N27" s="6">
        <v>3.4</v>
      </c>
      <c r="O27" s="6">
        <v>9</v>
      </c>
    </row>
    <row r="28" spans="1:15" ht="14.25" customHeight="1" x14ac:dyDescent="0.3">
      <c r="A28" s="6" t="s">
        <v>108</v>
      </c>
      <c r="B28" s="6">
        <v>27</v>
      </c>
      <c r="C28" s="6" t="s">
        <v>62</v>
      </c>
      <c r="D28" s="6" t="s">
        <v>17</v>
      </c>
      <c r="E28" s="6" t="s">
        <v>18</v>
      </c>
      <c r="F28" s="6">
        <v>1027</v>
      </c>
      <c r="G28" s="6">
        <v>121415.73</v>
      </c>
      <c r="H28" s="7">
        <v>43876</v>
      </c>
      <c r="I28" s="6" t="s">
        <v>63</v>
      </c>
      <c r="J28" s="6" t="s">
        <v>109</v>
      </c>
      <c r="K28" s="6" t="s">
        <v>37</v>
      </c>
      <c r="L28" s="6" t="s">
        <v>38</v>
      </c>
      <c r="M28" s="6" t="s">
        <v>39</v>
      </c>
      <c r="N28" s="6">
        <v>1.95</v>
      </c>
      <c r="O28" s="6">
        <v>115</v>
      </c>
    </row>
    <row r="29" spans="1:15" ht="14.25" customHeight="1" x14ac:dyDescent="0.3">
      <c r="A29" s="6" t="s">
        <v>110</v>
      </c>
      <c r="B29" s="6">
        <v>37</v>
      </c>
      <c r="C29" s="6" t="s">
        <v>16</v>
      </c>
      <c r="D29" s="6" t="s">
        <v>55</v>
      </c>
      <c r="E29" s="6" t="s">
        <v>80</v>
      </c>
      <c r="F29" s="6">
        <v>1028</v>
      </c>
      <c r="G29" s="6">
        <v>145305.42000000001</v>
      </c>
      <c r="H29" s="7">
        <v>40804</v>
      </c>
      <c r="I29" s="6" t="s">
        <v>66</v>
      </c>
      <c r="J29" s="6" t="s">
        <v>111</v>
      </c>
      <c r="K29" s="6" t="s">
        <v>43</v>
      </c>
      <c r="L29" s="6" t="s">
        <v>44</v>
      </c>
      <c r="M29" s="6" t="s">
        <v>45</v>
      </c>
      <c r="N29" s="6">
        <v>3.96</v>
      </c>
      <c r="O29" s="6">
        <v>70</v>
      </c>
    </row>
    <row r="30" spans="1:15" ht="14.25" customHeight="1" x14ac:dyDescent="0.3">
      <c r="A30" s="6" t="s">
        <v>112</v>
      </c>
      <c r="B30" s="6">
        <v>22</v>
      </c>
      <c r="C30" s="6" t="s">
        <v>62</v>
      </c>
      <c r="D30" s="6" t="s">
        <v>47</v>
      </c>
      <c r="E30" s="6" t="s">
        <v>18</v>
      </c>
      <c r="F30" s="6">
        <v>1029</v>
      </c>
      <c r="G30" s="6">
        <v>147349.46</v>
      </c>
      <c r="H30" s="7">
        <v>43592</v>
      </c>
      <c r="I30" s="6" t="s">
        <v>70</v>
      </c>
      <c r="J30" s="6" t="s">
        <v>113</v>
      </c>
      <c r="K30" s="8" t="s">
        <v>51</v>
      </c>
      <c r="L30" s="8" t="s">
        <v>52</v>
      </c>
      <c r="M30" s="6" t="s">
        <v>53</v>
      </c>
      <c r="N30" s="6">
        <v>4.3899999999999997</v>
      </c>
      <c r="O30" s="6">
        <v>55</v>
      </c>
    </row>
    <row r="31" spans="1:15" ht="14.25" customHeight="1" x14ac:dyDescent="0.3">
      <c r="A31" s="6" t="s">
        <v>114</v>
      </c>
      <c r="B31" s="6">
        <v>40</v>
      </c>
      <c r="C31" s="6" t="s">
        <v>62</v>
      </c>
      <c r="D31" s="6" t="s">
        <v>26</v>
      </c>
      <c r="E31" s="6" t="s">
        <v>80</v>
      </c>
      <c r="F31" s="6">
        <v>1030</v>
      </c>
      <c r="G31" s="6">
        <v>81651.429999999993</v>
      </c>
      <c r="H31" s="7">
        <v>41894</v>
      </c>
      <c r="I31" s="6" t="s">
        <v>73</v>
      </c>
      <c r="J31" s="6" t="s">
        <v>115</v>
      </c>
      <c r="K31" s="6" t="s">
        <v>58</v>
      </c>
      <c r="L31" s="6" t="s">
        <v>59</v>
      </c>
      <c r="M31" s="6" t="s">
        <v>60</v>
      </c>
      <c r="N31" s="6">
        <v>1.0900000000000001</v>
      </c>
      <c r="O31" s="6">
        <v>124</v>
      </c>
    </row>
    <row r="32" spans="1:15" ht="14.25" customHeight="1" x14ac:dyDescent="0.3">
      <c r="A32" s="6" t="s">
        <v>116</v>
      </c>
      <c r="B32" s="6">
        <v>57</v>
      </c>
      <c r="C32" s="6" t="s">
        <v>16</v>
      </c>
      <c r="D32" s="6" t="s">
        <v>26</v>
      </c>
      <c r="E32" s="6" t="s">
        <v>80</v>
      </c>
      <c r="F32" s="6">
        <v>1031</v>
      </c>
      <c r="G32" s="6">
        <v>105524.85</v>
      </c>
      <c r="H32" s="7">
        <v>39283</v>
      </c>
      <c r="I32" s="6" t="s">
        <v>19</v>
      </c>
      <c r="J32" s="6" t="s">
        <v>117</v>
      </c>
      <c r="K32" s="6" t="s">
        <v>21</v>
      </c>
      <c r="L32" s="6" t="s">
        <v>22</v>
      </c>
      <c r="M32" s="6" t="s">
        <v>23</v>
      </c>
      <c r="N32" s="6">
        <v>4.34</v>
      </c>
      <c r="O32" s="6">
        <v>179</v>
      </c>
    </row>
    <row r="33" spans="1:15" ht="14.25" customHeight="1" x14ac:dyDescent="0.3">
      <c r="A33" s="6" t="s">
        <v>118</v>
      </c>
      <c r="B33" s="6">
        <v>46</v>
      </c>
      <c r="C33" s="6" t="s">
        <v>25</v>
      </c>
      <c r="D33" s="6" t="s">
        <v>26</v>
      </c>
      <c r="E33" s="6" t="s">
        <v>27</v>
      </c>
      <c r="F33" s="6">
        <v>1032</v>
      </c>
      <c r="G33" s="6">
        <v>122537.78</v>
      </c>
      <c r="H33" s="7">
        <v>39227</v>
      </c>
      <c r="I33" s="6" t="s">
        <v>28</v>
      </c>
      <c r="J33" s="6" t="s">
        <v>119</v>
      </c>
      <c r="K33" s="6" t="s">
        <v>30</v>
      </c>
      <c r="L33" s="6" t="s">
        <v>31</v>
      </c>
      <c r="M33" s="6" t="s">
        <v>32</v>
      </c>
      <c r="N33" s="6">
        <v>3.71</v>
      </c>
      <c r="O33" s="6">
        <v>163</v>
      </c>
    </row>
    <row r="34" spans="1:15" ht="14.25" customHeight="1" x14ac:dyDescent="0.3">
      <c r="A34" s="6" t="s">
        <v>120</v>
      </c>
      <c r="B34" s="6">
        <v>51</v>
      </c>
      <c r="C34" s="6" t="s">
        <v>62</v>
      </c>
      <c r="D34" s="6" t="s">
        <v>17</v>
      </c>
      <c r="E34" s="6" t="s">
        <v>48</v>
      </c>
      <c r="F34" s="6">
        <v>1033</v>
      </c>
      <c r="G34" s="6">
        <v>193496.4</v>
      </c>
      <c r="H34" s="7">
        <v>44911</v>
      </c>
      <c r="I34" s="6" t="s">
        <v>35</v>
      </c>
      <c r="J34" s="6" t="s">
        <v>121</v>
      </c>
      <c r="K34" s="6" t="s">
        <v>37</v>
      </c>
      <c r="L34" s="6" t="s">
        <v>38</v>
      </c>
      <c r="M34" s="6" t="s">
        <v>39</v>
      </c>
      <c r="N34" s="6">
        <v>3.55</v>
      </c>
      <c r="O34" s="6">
        <v>39</v>
      </c>
    </row>
    <row r="35" spans="1:15" ht="14.25" customHeight="1" x14ac:dyDescent="0.3">
      <c r="A35" s="6" t="s">
        <v>122</v>
      </c>
      <c r="B35" s="6">
        <v>41</v>
      </c>
      <c r="C35" s="6" t="s">
        <v>16</v>
      </c>
      <c r="D35" s="6" t="s">
        <v>47</v>
      </c>
      <c r="E35" s="6" t="s">
        <v>18</v>
      </c>
      <c r="F35" s="6">
        <v>1034</v>
      </c>
      <c r="G35" s="6">
        <v>105630.04</v>
      </c>
      <c r="H35" s="7">
        <v>40871</v>
      </c>
      <c r="I35" s="6" t="s">
        <v>41</v>
      </c>
      <c r="J35" s="6" t="s">
        <v>123</v>
      </c>
      <c r="K35" s="6" t="s">
        <v>43</v>
      </c>
      <c r="L35" s="6" t="s">
        <v>44</v>
      </c>
      <c r="M35" s="6" t="s">
        <v>45</v>
      </c>
      <c r="N35" s="6">
        <v>3.46</v>
      </c>
      <c r="O35" s="6">
        <v>83</v>
      </c>
    </row>
    <row r="36" spans="1:15" ht="14.25" customHeight="1" x14ac:dyDescent="0.3">
      <c r="A36" s="6" t="s">
        <v>124</v>
      </c>
      <c r="B36" s="6">
        <v>41</v>
      </c>
      <c r="C36" s="6" t="s">
        <v>16</v>
      </c>
      <c r="D36" s="6" t="s">
        <v>55</v>
      </c>
      <c r="E36" s="6" t="s">
        <v>80</v>
      </c>
      <c r="F36" s="6">
        <v>1035</v>
      </c>
      <c r="G36" s="6">
        <v>118351.06</v>
      </c>
      <c r="H36" s="7">
        <v>42728</v>
      </c>
      <c r="I36" s="6" t="s">
        <v>49</v>
      </c>
      <c r="J36" s="6" t="s">
        <v>125</v>
      </c>
      <c r="K36" s="6" t="s">
        <v>51</v>
      </c>
      <c r="L36" s="6" t="s">
        <v>52</v>
      </c>
      <c r="M36" s="6" t="s">
        <v>53</v>
      </c>
      <c r="N36" s="6">
        <v>2.38</v>
      </c>
      <c r="O36" s="6">
        <v>199</v>
      </c>
    </row>
    <row r="37" spans="1:15" ht="14.25" customHeight="1" x14ac:dyDescent="0.3">
      <c r="A37" s="6" t="s">
        <v>126</v>
      </c>
      <c r="B37" s="6">
        <v>36</v>
      </c>
      <c r="C37" s="6" t="s">
        <v>16</v>
      </c>
      <c r="D37" s="6" t="s">
        <v>17</v>
      </c>
      <c r="E37" s="6" t="s">
        <v>48</v>
      </c>
      <c r="F37" s="6">
        <v>1036</v>
      </c>
      <c r="G37" s="6">
        <v>199429.49</v>
      </c>
      <c r="H37" s="7">
        <v>41106</v>
      </c>
      <c r="I37" s="6" t="s">
        <v>56</v>
      </c>
      <c r="J37" s="6" t="s">
        <v>127</v>
      </c>
      <c r="K37" s="6" t="s">
        <v>21</v>
      </c>
      <c r="L37" s="6" t="s">
        <v>22</v>
      </c>
      <c r="M37" s="6" t="s">
        <v>23</v>
      </c>
      <c r="N37" s="6">
        <v>2.82</v>
      </c>
      <c r="O37" s="6">
        <v>108</v>
      </c>
    </row>
    <row r="38" spans="1:15" ht="14.25" customHeight="1" x14ac:dyDescent="0.3">
      <c r="A38" s="6" t="s">
        <v>128</v>
      </c>
      <c r="B38" s="6">
        <v>61</v>
      </c>
      <c r="C38" s="6" t="s">
        <v>62</v>
      </c>
      <c r="D38" s="6" t="s">
        <v>69</v>
      </c>
      <c r="E38" s="6" t="s">
        <v>80</v>
      </c>
      <c r="F38" s="6">
        <v>1037</v>
      </c>
      <c r="G38" s="6">
        <v>63495.8</v>
      </c>
      <c r="H38" s="7">
        <v>36677</v>
      </c>
      <c r="I38" s="6" t="s">
        <v>63</v>
      </c>
      <c r="J38" s="6" t="s">
        <v>129</v>
      </c>
      <c r="K38" s="6" t="s">
        <v>30</v>
      </c>
      <c r="L38" s="6" t="s">
        <v>31</v>
      </c>
      <c r="M38" s="6" t="s">
        <v>32</v>
      </c>
      <c r="N38" s="6">
        <v>4.33</v>
      </c>
      <c r="O38" s="6">
        <v>143</v>
      </c>
    </row>
    <row r="39" spans="1:15" ht="14.25" customHeight="1" x14ac:dyDescent="0.3">
      <c r="A39" s="6" t="s">
        <v>130</v>
      </c>
      <c r="B39" s="6">
        <v>54</v>
      </c>
      <c r="C39" s="6" t="s">
        <v>25</v>
      </c>
      <c r="D39" s="6" t="s">
        <v>47</v>
      </c>
      <c r="E39" s="6" t="s">
        <v>18</v>
      </c>
      <c r="F39" s="6">
        <v>1038</v>
      </c>
      <c r="G39" s="6">
        <v>50511.46</v>
      </c>
      <c r="H39" s="7">
        <v>37106</v>
      </c>
      <c r="I39" s="6" t="s">
        <v>66</v>
      </c>
      <c r="J39" s="6" t="s">
        <v>131</v>
      </c>
      <c r="K39" s="6" t="s">
        <v>37</v>
      </c>
      <c r="L39" s="6" t="s">
        <v>38</v>
      </c>
      <c r="M39" s="6" t="s">
        <v>39</v>
      </c>
      <c r="N39" s="6">
        <v>2.08</v>
      </c>
      <c r="O39" s="6">
        <v>160</v>
      </c>
    </row>
    <row r="40" spans="1:15" ht="14.25" customHeight="1" x14ac:dyDescent="0.3">
      <c r="A40" s="6" t="s">
        <v>132</v>
      </c>
      <c r="B40" s="6">
        <v>23</v>
      </c>
      <c r="C40" s="6" t="s">
        <v>25</v>
      </c>
      <c r="D40" s="6" t="s">
        <v>47</v>
      </c>
      <c r="E40" s="6" t="s">
        <v>80</v>
      </c>
      <c r="F40" s="6">
        <v>1039</v>
      </c>
      <c r="G40" s="6">
        <v>81183.16</v>
      </c>
      <c r="H40" s="7">
        <v>41311</v>
      </c>
      <c r="I40" s="6" t="s">
        <v>70</v>
      </c>
      <c r="J40" s="6" t="s">
        <v>133</v>
      </c>
      <c r="K40" s="6" t="s">
        <v>43</v>
      </c>
      <c r="L40" s="6" t="s">
        <v>44</v>
      </c>
      <c r="M40" s="6" t="s">
        <v>45</v>
      </c>
      <c r="N40" s="6">
        <v>3.76</v>
      </c>
      <c r="O40" s="6">
        <v>113</v>
      </c>
    </row>
    <row r="41" spans="1:15" ht="14.25" customHeight="1" x14ac:dyDescent="0.3">
      <c r="A41" s="6" t="s">
        <v>134</v>
      </c>
      <c r="B41" s="6">
        <v>31</v>
      </c>
      <c r="C41" s="6" t="s">
        <v>16</v>
      </c>
      <c r="D41" s="6" t="s">
        <v>69</v>
      </c>
      <c r="E41" s="6" t="s">
        <v>34</v>
      </c>
      <c r="F41" s="6">
        <v>1040</v>
      </c>
      <c r="G41" s="6">
        <v>62803.18</v>
      </c>
      <c r="H41" s="7">
        <v>39152</v>
      </c>
      <c r="I41" s="6" t="s">
        <v>73</v>
      </c>
      <c r="J41" s="6" t="s">
        <v>135</v>
      </c>
      <c r="K41" s="6" t="s">
        <v>51</v>
      </c>
      <c r="L41" s="6" t="s">
        <v>52</v>
      </c>
      <c r="M41" s="6" t="s">
        <v>53</v>
      </c>
      <c r="N41" s="6">
        <v>2.4900000000000002</v>
      </c>
      <c r="O41" s="6">
        <v>173</v>
      </c>
    </row>
    <row r="42" spans="1:15" ht="14.25" customHeight="1" x14ac:dyDescent="0.3">
      <c r="A42" s="6" t="s">
        <v>136</v>
      </c>
      <c r="B42" s="6">
        <v>54</v>
      </c>
      <c r="C42" s="6" t="s">
        <v>62</v>
      </c>
      <c r="D42" s="6" t="s">
        <v>55</v>
      </c>
      <c r="E42" s="6" t="s">
        <v>34</v>
      </c>
      <c r="F42" s="6">
        <v>1041</v>
      </c>
      <c r="G42" s="6">
        <v>183849.86</v>
      </c>
      <c r="H42" s="7">
        <v>40326</v>
      </c>
      <c r="I42" s="6" t="s">
        <v>19</v>
      </c>
      <c r="J42" s="6" t="s">
        <v>137</v>
      </c>
      <c r="K42" s="6" t="s">
        <v>21</v>
      </c>
      <c r="L42" s="6" t="s">
        <v>22</v>
      </c>
      <c r="M42" s="6" t="s">
        <v>23</v>
      </c>
      <c r="N42" s="6">
        <v>4.5999999999999996</v>
      </c>
      <c r="O42" s="6">
        <v>161</v>
      </c>
    </row>
    <row r="43" spans="1:15" ht="14.25" customHeight="1" x14ac:dyDescent="0.3">
      <c r="A43" s="6" t="s">
        <v>138</v>
      </c>
      <c r="B43" s="6">
        <v>53</v>
      </c>
      <c r="C43" s="6" t="s">
        <v>25</v>
      </c>
      <c r="D43" s="6" t="s">
        <v>47</v>
      </c>
      <c r="E43" s="6" t="s">
        <v>27</v>
      </c>
      <c r="F43" s="6">
        <v>1042</v>
      </c>
      <c r="G43" s="6">
        <v>125027.13</v>
      </c>
      <c r="H43" s="7">
        <v>38539</v>
      </c>
      <c r="I43" s="6" t="s">
        <v>28</v>
      </c>
      <c r="J43" s="6" t="s">
        <v>139</v>
      </c>
      <c r="K43" s="6" t="s">
        <v>30</v>
      </c>
      <c r="L43" s="6" t="s">
        <v>31</v>
      </c>
      <c r="M43" s="6" t="s">
        <v>32</v>
      </c>
      <c r="N43" s="6">
        <v>1.53</v>
      </c>
      <c r="O43" s="6">
        <v>32</v>
      </c>
    </row>
    <row r="44" spans="1:15" ht="14.25" customHeight="1" x14ac:dyDescent="0.3">
      <c r="A44" s="6" t="s">
        <v>140</v>
      </c>
      <c r="B44" s="6">
        <v>32</v>
      </c>
      <c r="C44" s="6" t="s">
        <v>16</v>
      </c>
      <c r="D44" s="6" t="s">
        <v>26</v>
      </c>
      <c r="E44" s="6" t="s">
        <v>18</v>
      </c>
      <c r="F44" s="6">
        <v>1043</v>
      </c>
      <c r="G44" s="6">
        <v>169114.03</v>
      </c>
      <c r="H44" s="7">
        <v>43513</v>
      </c>
      <c r="I44" s="6" t="s">
        <v>35</v>
      </c>
      <c r="J44" s="6" t="s">
        <v>141</v>
      </c>
      <c r="K44" s="6" t="s">
        <v>37</v>
      </c>
      <c r="L44" s="6" t="s">
        <v>38</v>
      </c>
      <c r="M44" s="6" t="s">
        <v>39</v>
      </c>
      <c r="N44" s="6">
        <v>1.04</v>
      </c>
      <c r="O44" s="6">
        <v>82</v>
      </c>
    </row>
    <row r="45" spans="1:15" ht="14.25" customHeight="1" x14ac:dyDescent="0.3">
      <c r="A45" s="6" t="s">
        <v>142</v>
      </c>
      <c r="B45" s="6">
        <v>45</v>
      </c>
      <c r="C45" s="6" t="s">
        <v>25</v>
      </c>
      <c r="D45" s="6" t="s">
        <v>55</v>
      </c>
      <c r="E45" s="6" t="s">
        <v>18</v>
      </c>
      <c r="F45" s="6">
        <v>1044</v>
      </c>
      <c r="G45" s="6">
        <v>187406.32</v>
      </c>
      <c r="H45" s="7">
        <v>40647</v>
      </c>
      <c r="I45" s="6" t="s">
        <v>41</v>
      </c>
      <c r="J45" s="6" t="s">
        <v>143</v>
      </c>
      <c r="K45" s="6" t="s">
        <v>43</v>
      </c>
      <c r="L45" s="6" t="s">
        <v>44</v>
      </c>
      <c r="M45" s="6" t="s">
        <v>45</v>
      </c>
      <c r="N45" s="6">
        <v>1.8</v>
      </c>
      <c r="O45" s="6">
        <v>65</v>
      </c>
    </row>
    <row r="46" spans="1:15" ht="14.25" customHeight="1" x14ac:dyDescent="0.3">
      <c r="A46" s="6" t="s">
        <v>144</v>
      </c>
      <c r="B46" s="6">
        <v>57</v>
      </c>
      <c r="C46" s="6" t="s">
        <v>25</v>
      </c>
      <c r="D46" s="6" t="s">
        <v>17</v>
      </c>
      <c r="E46" s="6" t="s">
        <v>48</v>
      </c>
      <c r="F46" s="6">
        <v>1045</v>
      </c>
      <c r="G46" s="6">
        <v>193266.69</v>
      </c>
      <c r="H46" s="7">
        <v>41093</v>
      </c>
      <c r="I46" s="6" t="s">
        <v>49</v>
      </c>
      <c r="J46" s="6" t="s">
        <v>145</v>
      </c>
      <c r="K46" s="6" t="s">
        <v>51</v>
      </c>
      <c r="L46" s="6" t="s">
        <v>52</v>
      </c>
      <c r="M46" s="6" t="s">
        <v>53</v>
      </c>
      <c r="N46" s="6">
        <v>4.79</v>
      </c>
      <c r="O46" s="6">
        <v>124</v>
      </c>
    </row>
    <row r="47" spans="1:15" ht="14.25" customHeight="1" x14ac:dyDescent="0.3">
      <c r="A47" s="6" t="s">
        <v>146</v>
      </c>
      <c r="B47" s="6">
        <v>33</v>
      </c>
      <c r="C47" s="6" t="s">
        <v>62</v>
      </c>
      <c r="D47" s="6" t="s">
        <v>69</v>
      </c>
      <c r="E47" s="6" t="s">
        <v>80</v>
      </c>
      <c r="F47" s="6">
        <v>1046</v>
      </c>
      <c r="G47" s="6">
        <v>96855.19</v>
      </c>
      <c r="H47" s="7">
        <v>43097</v>
      </c>
      <c r="I47" s="6" t="s">
        <v>56</v>
      </c>
      <c r="J47" s="6" t="s">
        <v>147</v>
      </c>
      <c r="K47" s="6" t="s">
        <v>21</v>
      </c>
      <c r="L47" s="6" t="s">
        <v>22</v>
      </c>
      <c r="M47" s="6" t="s">
        <v>23</v>
      </c>
      <c r="N47" s="6">
        <v>3.12</v>
      </c>
      <c r="O47" s="6">
        <v>149</v>
      </c>
    </row>
    <row r="48" spans="1:15" ht="14.25" customHeight="1" x14ac:dyDescent="0.3">
      <c r="A48" s="6" t="s">
        <v>148</v>
      </c>
      <c r="B48" s="6">
        <v>50</v>
      </c>
      <c r="C48" s="6" t="s">
        <v>16</v>
      </c>
      <c r="D48" s="6" t="s">
        <v>26</v>
      </c>
      <c r="E48" s="6" t="s">
        <v>18</v>
      </c>
      <c r="F48" s="6">
        <v>1047</v>
      </c>
      <c r="G48" s="6">
        <v>86845.98</v>
      </c>
      <c r="H48" s="7">
        <v>39925</v>
      </c>
      <c r="I48" s="6" t="s">
        <v>63</v>
      </c>
      <c r="J48" s="6" t="s">
        <v>149</v>
      </c>
      <c r="K48" s="6" t="s">
        <v>30</v>
      </c>
      <c r="L48" s="6" t="s">
        <v>31</v>
      </c>
      <c r="M48" s="6" t="s">
        <v>32</v>
      </c>
      <c r="N48" s="6">
        <v>3.72</v>
      </c>
      <c r="O48" s="6">
        <v>11</v>
      </c>
    </row>
    <row r="49" spans="1:15" ht="14.25" customHeight="1" x14ac:dyDescent="0.3">
      <c r="A49" s="6" t="s">
        <v>150</v>
      </c>
      <c r="B49" s="6">
        <v>56</v>
      </c>
      <c r="C49" s="6" t="s">
        <v>25</v>
      </c>
      <c r="D49" s="6" t="s">
        <v>26</v>
      </c>
      <c r="E49" s="6" t="s">
        <v>18</v>
      </c>
      <c r="F49" s="6">
        <v>1048</v>
      </c>
      <c r="G49" s="6">
        <v>139543.64000000001</v>
      </c>
      <c r="H49" s="7">
        <v>42794</v>
      </c>
      <c r="I49" s="6" t="s">
        <v>66</v>
      </c>
      <c r="J49" s="6" t="s">
        <v>151</v>
      </c>
      <c r="K49" s="6" t="s">
        <v>37</v>
      </c>
      <c r="L49" s="6" t="s">
        <v>38</v>
      </c>
      <c r="M49" s="6" t="s">
        <v>39</v>
      </c>
      <c r="N49" s="6">
        <v>1.02</v>
      </c>
      <c r="O49" s="6">
        <v>83</v>
      </c>
    </row>
    <row r="50" spans="1:15" ht="14.25" customHeight="1" x14ac:dyDescent="0.3">
      <c r="A50" s="6" t="s">
        <v>152</v>
      </c>
      <c r="B50" s="6">
        <v>22</v>
      </c>
      <c r="C50" s="6" t="s">
        <v>25</v>
      </c>
      <c r="D50" s="6" t="s">
        <v>26</v>
      </c>
      <c r="E50" s="6" t="s">
        <v>48</v>
      </c>
      <c r="F50" s="6">
        <v>1049</v>
      </c>
      <c r="G50" s="6">
        <v>133726.10999999999</v>
      </c>
      <c r="H50" s="7">
        <v>37516</v>
      </c>
      <c r="I50" s="6" t="s">
        <v>70</v>
      </c>
      <c r="J50" s="6" t="s">
        <v>153</v>
      </c>
      <c r="K50" s="6" t="s">
        <v>43</v>
      </c>
      <c r="L50" s="6" t="s">
        <v>44</v>
      </c>
      <c r="M50" s="6" t="s">
        <v>45</v>
      </c>
      <c r="N50" s="6">
        <v>3.72</v>
      </c>
      <c r="O50" s="6">
        <v>164</v>
      </c>
    </row>
    <row r="51" spans="1:15" ht="14.25" customHeight="1" x14ac:dyDescent="0.3">
      <c r="A51" s="6" t="s">
        <v>154</v>
      </c>
      <c r="B51" s="6">
        <v>22</v>
      </c>
      <c r="C51" s="6" t="s">
        <v>62</v>
      </c>
      <c r="D51" s="6" t="s">
        <v>17</v>
      </c>
      <c r="E51" s="6" t="s">
        <v>34</v>
      </c>
      <c r="F51" s="6">
        <v>1050</v>
      </c>
      <c r="G51" s="6">
        <v>184934.92</v>
      </c>
      <c r="H51" s="7">
        <v>43960</v>
      </c>
      <c r="I51" s="6" t="s">
        <v>73</v>
      </c>
      <c r="J51" s="6" t="s">
        <v>155</v>
      </c>
      <c r="K51" s="6" t="s">
        <v>51</v>
      </c>
      <c r="L51" s="6" t="s">
        <v>52</v>
      </c>
      <c r="M51" s="6" t="s">
        <v>53</v>
      </c>
      <c r="N51" s="6">
        <v>3.68</v>
      </c>
      <c r="O51" s="6">
        <v>183</v>
      </c>
    </row>
    <row r="52" spans="1:15" ht="14.25" customHeight="1" x14ac:dyDescent="0.3">
      <c r="A52" s="6" t="s">
        <v>156</v>
      </c>
      <c r="B52" s="6">
        <v>58</v>
      </c>
      <c r="C52" s="6" t="s">
        <v>62</v>
      </c>
      <c r="D52" s="6" t="s">
        <v>26</v>
      </c>
      <c r="E52" s="6" t="s">
        <v>18</v>
      </c>
      <c r="F52" s="6">
        <v>1051</v>
      </c>
      <c r="G52" s="6">
        <v>116625.29</v>
      </c>
      <c r="H52" s="7">
        <v>44350</v>
      </c>
      <c r="I52" s="6" t="s">
        <v>19</v>
      </c>
      <c r="J52" s="6" t="s">
        <v>157</v>
      </c>
      <c r="K52" s="6" t="s">
        <v>21</v>
      </c>
      <c r="L52" s="6" t="s">
        <v>22</v>
      </c>
      <c r="M52" s="6" t="s">
        <v>23</v>
      </c>
      <c r="N52" s="6">
        <v>1.74</v>
      </c>
      <c r="O52" s="6">
        <v>117</v>
      </c>
    </row>
    <row r="53" spans="1:15" ht="14.25" customHeight="1" x14ac:dyDescent="0.3">
      <c r="A53" s="6" t="s">
        <v>158</v>
      </c>
      <c r="B53" s="6">
        <v>27</v>
      </c>
      <c r="C53" s="6" t="s">
        <v>25</v>
      </c>
      <c r="D53" s="6" t="s">
        <v>47</v>
      </c>
      <c r="E53" s="6" t="s">
        <v>48</v>
      </c>
      <c r="F53" s="6">
        <v>1052</v>
      </c>
      <c r="G53" s="6">
        <v>198684.03</v>
      </c>
      <c r="H53" s="7">
        <v>41840</v>
      </c>
      <c r="I53" s="6" t="s">
        <v>28</v>
      </c>
      <c r="J53" s="6" t="s">
        <v>159</v>
      </c>
      <c r="K53" s="6" t="s">
        <v>30</v>
      </c>
      <c r="L53" s="6" t="s">
        <v>31</v>
      </c>
      <c r="M53" s="6" t="s">
        <v>32</v>
      </c>
      <c r="N53" s="6">
        <v>1.76</v>
      </c>
      <c r="O53" s="6">
        <v>30</v>
      </c>
    </row>
    <row r="54" spans="1:15" ht="14.25" customHeight="1" x14ac:dyDescent="0.3">
      <c r="A54" s="6" t="s">
        <v>160</v>
      </c>
      <c r="B54" s="6">
        <v>60</v>
      </c>
      <c r="C54" s="6" t="s">
        <v>62</v>
      </c>
      <c r="D54" s="6" t="s">
        <v>26</v>
      </c>
      <c r="E54" s="6" t="s">
        <v>34</v>
      </c>
      <c r="F54" s="6">
        <v>1053</v>
      </c>
      <c r="G54" s="6">
        <v>162065.97</v>
      </c>
      <c r="H54" s="7">
        <v>43659</v>
      </c>
      <c r="I54" s="6" t="s">
        <v>35</v>
      </c>
      <c r="J54" s="6" t="s">
        <v>161</v>
      </c>
      <c r="K54" s="6" t="s">
        <v>37</v>
      </c>
      <c r="L54" s="6" t="s">
        <v>38</v>
      </c>
      <c r="M54" s="6" t="s">
        <v>39</v>
      </c>
      <c r="N54" s="6">
        <v>3.97</v>
      </c>
      <c r="O54" s="6">
        <v>173</v>
      </c>
    </row>
    <row r="55" spans="1:15" ht="14.25" customHeight="1" x14ac:dyDescent="0.3">
      <c r="A55" s="6" t="s">
        <v>162</v>
      </c>
      <c r="B55" s="6">
        <v>62</v>
      </c>
      <c r="C55" s="6" t="s">
        <v>62</v>
      </c>
      <c r="D55" s="6" t="s">
        <v>55</v>
      </c>
      <c r="E55" s="6" t="s">
        <v>18</v>
      </c>
      <c r="F55" s="6">
        <v>1054</v>
      </c>
      <c r="G55" s="6">
        <v>180376.54</v>
      </c>
      <c r="H55" s="7">
        <v>39403</v>
      </c>
      <c r="I55" s="6" t="s">
        <v>41</v>
      </c>
      <c r="J55" s="6" t="s">
        <v>163</v>
      </c>
      <c r="K55" s="6" t="s">
        <v>43</v>
      </c>
      <c r="L55" s="6" t="s">
        <v>44</v>
      </c>
      <c r="M55" s="6" t="s">
        <v>45</v>
      </c>
      <c r="N55" s="6">
        <v>2.11</v>
      </c>
      <c r="O55" s="6">
        <v>143</v>
      </c>
    </row>
    <row r="56" spans="1:15" ht="14.25" customHeight="1" x14ac:dyDescent="0.3">
      <c r="A56" s="6" t="s">
        <v>164</v>
      </c>
      <c r="B56" s="6">
        <v>39</v>
      </c>
      <c r="C56" s="6" t="s">
        <v>16</v>
      </c>
      <c r="D56" s="6" t="s">
        <v>47</v>
      </c>
      <c r="E56" s="6" t="s">
        <v>34</v>
      </c>
      <c r="F56" s="6">
        <v>1055</v>
      </c>
      <c r="G56" s="6">
        <v>139521.15</v>
      </c>
      <c r="H56" s="7">
        <v>41431</v>
      </c>
      <c r="I56" s="6" t="s">
        <v>49</v>
      </c>
      <c r="J56" s="6" t="s">
        <v>165</v>
      </c>
      <c r="K56" s="6" t="s">
        <v>51</v>
      </c>
      <c r="L56" s="6" t="s">
        <v>52</v>
      </c>
      <c r="M56" s="6" t="s">
        <v>53</v>
      </c>
      <c r="N56" s="6">
        <v>2.06</v>
      </c>
      <c r="O56" s="6">
        <v>161</v>
      </c>
    </row>
    <row r="57" spans="1:15" ht="14.25" customHeight="1" x14ac:dyDescent="0.3">
      <c r="A57" s="6" t="s">
        <v>166</v>
      </c>
      <c r="B57" s="6">
        <v>37</v>
      </c>
      <c r="C57" s="6" t="s">
        <v>16</v>
      </c>
      <c r="D57" s="6" t="s">
        <v>26</v>
      </c>
      <c r="E57" s="6" t="s">
        <v>18</v>
      </c>
      <c r="F57" s="6">
        <v>1056</v>
      </c>
      <c r="G57" s="6">
        <v>160423.66</v>
      </c>
      <c r="H57" s="7">
        <v>43961</v>
      </c>
      <c r="I57" s="6" t="s">
        <v>56</v>
      </c>
      <c r="J57" s="6" t="s">
        <v>167</v>
      </c>
      <c r="K57" s="6" t="s">
        <v>21</v>
      </c>
      <c r="L57" s="6" t="s">
        <v>22</v>
      </c>
      <c r="M57" s="6" t="s">
        <v>23</v>
      </c>
      <c r="N57" s="6">
        <v>1.32</v>
      </c>
      <c r="O57" s="6">
        <v>183</v>
      </c>
    </row>
    <row r="58" spans="1:15" ht="14.25" customHeight="1" x14ac:dyDescent="0.3">
      <c r="A58" s="6" t="s">
        <v>168</v>
      </c>
      <c r="B58" s="6">
        <v>26</v>
      </c>
      <c r="C58" s="6" t="s">
        <v>25</v>
      </c>
      <c r="D58" s="6" t="s">
        <v>17</v>
      </c>
      <c r="E58" s="6" t="s">
        <v>27</v>
      </c>
      <c r="F58" s="6">
        <v>1057</v>
      </c>
      <c r="G58" s="6">
        <v>180510.58</v>
      </c>
      <c r="H58" s="7">
        <v>36706</v>
      </c>
      <c r="I58" s="6" t="s">
        <v>63</v>
      </c>
      <c r="J58" s="6" t="s">
        <v>169</v>
      </c>
      <c r="K58" s="6" t="s">
        <v>30</v>
      </c>
      <c r="L58" s="6" t="s">
        <v>31</v>
      </c>
      <c r="M58" s="6" t="s">
        <v>32</v>
      </c>
      <c r="N58" s="6">
        <v>4.3099999999999996</v>
      </c>
      <c r="O58" s="6">
        <v>168</v>
      </c>
    </row>
    <row r="59" spans="1:15" ht="14.25" customHeight="1" x14ac:dyDescent="0.3">
      <c r="A59" s="6" t="s">
        <v>170</v>
      </c>
      <c r="B59" s="6">
        <v>63</v>
      </c>
      <c r="C59" s="6" t="s">
        <v>25</v>
      </c>
      <c r="D59" s="6" t="s">
        <v>26</v>
      </c>
      <c r="E59" s="6" t="s">
        <v>80</v>
      </c>
      <c r="F59" s="6">
        <v>1058</v>
      </c>
      <c r="G59" s="6">
        <v>168671.1</v>
      </c>
      <c r="H59" s="7">
        <v>40690</v>
      </c>
      <c r="I59" s="6" t="s">
        <v>66</v>
      </c>
      <c r="J59" s="6" t="s">
        <v>171</v>
      </c>
      <c r="K59" s="6" t="s">
        <v>37</v>
      </c>
      <c r="L59" s="6" t="s">
        <v>38</v>
      </c>
      <c r="M59" s="6" t="s">
        <v>39</v>
      </c>
      <c r="N59" s="6">
        <v>3.53</v>
      </c>
      <c r="O59" s="6">
        <v>180</v>
      </c>
    </row>
    <row r="60" spans="1:15" ht="14.25" customHeight="1" x14ac:dyDescent="0.3">
      <c r="A60" s="6" t="s">
        <v>172</v>
      </c>
      <c r="B60" s="6">
        <v>64</v>
      </c>
      <c r="C60" s="6" t="s">
        <v>25</v>
      </c>
      <c r="D60" s="6" t="s">
        <v>17</v>
      </c>
      <c r="E60" s="6" t="s">
        <v>48</v>
      </c>
      <c r="F60" s="6">
        <v>1059</v>
      </c>
      <c r="G60" s="6">
        <v>132003.32999999999</v>
      </c>
      <c r="H60" s="7">
        <v>41421</v>
      </c>
      <c r="I60" s="6" t="s">
        <v>70</v>
      </c>
      <c r="J60" s="6" t="s">
        <v>173</v>
      </c>
      <c r="K60" s="6" t="s">
        <v>43</v>
      </c>
      <c r="L60" s="6" t="s">
        <v>44</v>
      </c>
      <c r="M60" s="6" t="s">
        <v>45</v>
      </c>
      <c r="N60" s="6">
        <v>1.08</v>
      </c>
      <c r="O60" s="6">
        <v>58</v>
      </c>
    </row>
    <row r="61" spans="1:15" ht="14.25" customHeight="1" x14ac:dyDescent="0.3">
      <c r="A61" s="6" t="s">
        <v>174</v>
      </c>
      <c r="B61" s="6">
        <v>53</v>
      </c>
      <c r="C61" s="6" t="s">
        <v>62</v>
      </c>
      <c r="D61" s="6" t="s">
        <v>47</v>
      </c>
      <c r="E61" s="6" t="s">
        <v>18</v>
      </c>
      <c r="F61" s="6">
        <v>1060</v>
      </c>
      <c r="G61" s="6">
        <v>187832.01</v>
      </c>
      <c r="H61" s="7">
        <v>39597</v>
      </c>
      <c r="I61" s="6" t="s">
        <v>73</v>
      </c>
      <c r="J61" s="6" t="s">
        <v>175</v>
      </c>
      <c r="K61" s="6" t="s">
        <v>51</v>
      </c>
      <c r="L61" s="6" t="s">
        <v>52</v>
      </c>
      <c r="M61" s="6" t="s">
        <v>53</v>
      </c>
      <c r="N61" s="6">
        <v>1.24</v>
      </c>
      <c r="O61" s="6">
        <v>153</v>
      </c>
    </row>
    <row r="62" spans="1:15" ht="14.25" customHeight="1" x14ac:dyDescent="0.3">
      <c r="A62" s="6" t="s">
        <v>176</v>
      </c>
      <c r="B62" s="6">
        <v>23</v>
      </c>
      <c r="C62" s="6" t="s">
        <v>16</v>
      </c>
      <c r="D62" s="6" t="s">
        <v>47</v>
      </c>
      <c r="E62" s="6" t="s">
        <v>80</v>
      </c>
      <c r="F62" s="6">
        <v>1061</v>
      </c>
      <c r="G62" s="6">
        <v>80646.55</v>
      </c>
      <c r="H62" s="7">
        <v>40004</v>
      </c>
      <c r="I62" s="6" t="s">
        <v>19</v>
      </c>
      <c r="J62" s="6" t="s">
        <v>177</v>
      </c>
      <c r="K62" s="6" t="s">
        <v>21</v>
      </c>
      <c r="L62" s="6" t="s">
        <v>22</v>
      </c>
      <c r="M62" s="6" t="s">
        <v>23</v>
      </c>
      <c r="N62" s="6">
        <v>2.35</v>
      </c>
      <c r="O62" s="6">
        <v>112</v>
      </c>
    </row>
    <row r="63" spans="1:15" ht="14.25" customHeight="1" x14ac:dyDescent="0.3">
      <c r="A63" s="6" t="s">
        <v>178</v>
      </c>
      <c r="B63" s="6">
        <v>23</v>
      </c>
      <c r="C63" s="6" t="s">
        <v>25</v>
      </c>
      <c r="D63" s="6" t="s">
        <v>47</v>
      </c>
      <c r="E63" s="6" t="s">
        <v>27</v>
      </c>
      <c r="F63" s="6">
        <v>1062</v>
      </c>
      <c r="G63" s="6">
        <v>86216.16</v>
      </c>
      <c r="H63" s="7">
        <v>43363</v>
      </c>
      <c r="I63" s="6" t="s">
        <v>28</v>
      </c>
      <c r="J63" s="6" t="s">
        <v>179</v>
      </c>
      <c r="K63" s="6" t="s">
        <v>30</v>
      </c>
      <c r="L63" s="6" t="s">
        <v>31</v>
      </c>
      <c r="M63" s="6" t="s">
        <v>32</v>
      </c>
      <c r="N63" s="6">
        <v>2.2200000000000002</v>
      </c>
      <c r="O63" s="6">
        <v>145</v>
      </c>
    </row>
    <row r="64" spans="1:15" ht="14.25" customHeight="1" x14ac:dyDescent="0.3">
      <c r="A64" s="6" t="s">
        <v>180</v>
      </c>
      <c r="B64" s="6">
        <v>61</v>
      </c>
      <c r="C64" s="6" t="s">
        <v>16</v>
      </c>
      <c r="D64" s="6" t="s">
        <v>47</v>
      </c>
      <c r="E64" s="6" t="s">
        <v>34</v>
      </c>
      <c r="F64" s="6">
        <v>1063</v>
      </c>
      <c r="G64" s="6">
        <v>146404.20000000001</v>
      </c>
      <c r="H64" s="7">
        <v>42445</v>
      </c>
      <c r="I64" s="6" t="s">
        <v>35</v>
      </c>
      <c r="J64" s="6" t="s">
        <v>181</v>
      </c>
      <c r="K64" s="6" t="s">
        <v>37</v>
      </c>
      <c r="L64" s="6" t="s">
        <v>38</v>
      </c>
      <c r="M64" s="6" t="s">
        <v>39</v>
      </c>
      <c r="N64" s="6">
        <v>4.5</v>
      </c>
      <c r="O64" s="6">
        <v>107</v>
      </c>
    </row>
    <row r="65" spans="1:15" ht="14.25" customHeight="1" x14ac:dyDescent="0.3">
      <c r="A65" s="6" t="s">
        <v>182</v>
      </c>
      <c r="B65" s="6">
        <v>63</v>
      </c>
      <c r="C65" s="6" t="s">
        <v>62</v>
      </c>
      <c r="D65" s="6" t="s">
        <v>17</v>
      </c>
      <c r="E65" s="6" t="s">
        <v>27</v>
      </c>
      <c r="F65" s="6">
        <v>1064</v>
      </c>
      <c r="G65" s="6">
        <v>179868.67</v>
      </c>
      <c r="H65" s="7">
        <v>39366</v>
      </c>
      <c r="I65" s="6" t="s">
        <v>41</v>
      </c>
      <c r="J65" s="6" t="s">
        <v>183</v>
      </c>
      <c r="K65" s="6" t="s">
        <v>43</v>
      </c>
      <c r="L65" s="6" t="s">
        <v>44</v>
      </c>
      <c r="M65" s="6" t="s">
        <v>45</v>
      </c>
      <c r="N65" s="6">
        <v>3.28</v>
      </c>
      <c r="O65" s="6">
        <v>150</v>
      </c>
    </row>
    <row r="66" spans="1:15" ht="14.25" customHeight="1" x14ac:dyDescent="0.3">
      <c r="A66" s="6" t="s">
        <v>184</v>
      </c>
      <c r="B66" s="6">
        <v>57</v>
      </c>
      <c r="C66" s="6" t="s">
        <v>16</v>
      </c>
      <c r="D66" s="6" t="s">
        <v>55</v>
      </c>
      <c r="E66" s="6" t="s">
        <v>80</v>
      </c>
      <c r="F66" s="6">
        <v>1065</v>
      </c>
      <c r="G66" s="6">
        <v>71229.509999999995</v>
      </c>
      <c r="H66" s="7">
        <v>39949</v>
      </c>
      <c r="I66" s="6" t="s">
        <v>49</v>
      </c>
      <c r="J66" s="6" t="s">
        <v>185</v>
      </c>
      <c r="K66" s="6" t="s">
        <v>51</v>
      </c>
      <c r="L66" s="6" t="s">
        <v>52</v>
      </c>
      <c r="M66" s="6" t="s">
        <v>53</v>
      </c>
      <c r="N66" s="6">
        <v>1.37</v>
      </c>
      <c r="O66" s="6">
        <v>12</v>
      </c>
    </row>
    <row r="67" spans="1:15" ht="14.25" customHeight="1" x14ac:dyDescent="0.3">
      <c r="A67" s="6" t="s">
        <v>186</v>
      </c>
      <c r="B67" s="6">
        <v>60</v>
      </c>
      <c r="C67" s="6" t="s">
        <v>62</v>
      </c>
      <c r="D67" s="6" t="s">
        <v>17</v>
      </c>
      <c r="E67" s="6" t="s">
        <v>48</v>
      </c>
      <c r="F67" s="6">
        <v>1066</v>
      </c>
      <c r="G67" s="6">
        <v>137742.38</v>
      </c>
      <c r="H67" s="7">
        <v>42676</v>
      </c>
      <c r="I67" s="6" t="s">
        <v>56</v>
      </c>
      <c r="J67" s="6" t="s">
        <v>187</v>
      </c>
      <c r="K67" s="6" t="s">
        <v>21</v>
      </c>
      <c r="L67" s="6" t="s">
        <v>22</v>
      </c>
      <c r="M67" s="6" t="s">
        <v>23</v>
      </c>
      <c r="N67" s="6">
        <v>1.38</v>
      </c>
      <c r="O67" s="6">
        <v>38</v>
      </c>
    </row>
    <row r="68" spans="1:15" ht="14.25" customHeight="1" x14ac:dyDescent="0.3">
      <c r="A68" s="6" t="s">
        <v>188</v>
      </c>
      <c r="B68" s="6">
        <v>33</v>
      </c>
      <c r="C68" s="6" t="s">
        <v>25</v>
      </c>
      <c r="D68" s="6" t="s">
        <v>17</v>
      </c>
      <c r="E68" s="6" t="s">
        <v>80</v>
      </c>
      <c r="F68" s="6">
        <v>1067</v>
      </c>
      <c r="G68" s="6">
        <v>178939.88</v>
      </c>
      <c r="H68" s="7">
        <v>38303</v>
      </c>
      <c r="I68" s="6" t="s">
        <v>63</v>
      </c>
      <c r="J68" s="6" t="s">
        <v>189</v>
      </c>
      <c r="K68" s="6" t="s">
        <v>30</v>
      </c>
      <c r="L68" s="6" t="s">
        <v>31</v>
      </c>
      <c r="M68" s="6" t="s">
        <v>32</v>
      </c>
      <c r="N68" s="6">
        <v>3.57</v>
      </c>
      <c r="O68" s="6">
        <v>163</v>
      </c>
    </row>
    <row r="69" spans="1:15" ht="14.25" customHeight="1" x14ac:dyDescent="0.3">
      <c r="A69" s="6" t="s">
        <v>190</v>
      </c>
      <c r="B69" s="6">
        <v>40</v>
      </c>
      <c r="C69" s="6" t="s">
        <v>62</v>
      </c>
      <c r="D69" s="6" t="s">
        <v>26</v>
      </c>
      <c r="E69" s="6" t="s">
        <v>34</v>
      </c>
      <c r="F69" s="6">
        <v>1068</v>
      </c>
      <c r="G69" s="6">
        <v>117411.9</v>
      </c>
      <c r="H69" s="7">
        <v>40289</v>
      </c>
      <c r="I69" s="6" t="s">
        <v>66</v>
      </c>
      <c r="J69" s="6" t="s">
        <v>191</v>
      </c>
      <c r="K69" s="6" t="s">
        <v>37</v>
      </c>
      <c r="L69" s="6" t="s">
        <v>38</v>
      </c>
      <c r="M69" s="6" t="s">
        <v>39</v>
      </c>
      <c r="N69" s="6">
        <v>2.5</v>
      </c>
      <c r="O69" s="6">
        <v>34</v>
      </c>
    </row>
    <row r="70" spans="1:15" ht="14.25" customHeight="1" x14ac:dyDescent="0.3">
      <c r="A70" s="6" t="s">
        <v>192</v>
      </c>
      <c r="B70" s="6">
        <v>49</v>
      </c>
      <c r="C70" s="6" t="s">
        <v>62</v>
      </c>
      <c r="D70" s="6" t="s">
        <v>26</v>
      </c>
      <c r="E70" s="6" t="s">
        <v>80</v>
      </c>
      <c r="F70" s="6">
        <v>1069</v>
      </c>
      <c r="G70" s="6">
        <v>101480.08</v>
      </c>
      <c r="H70" s="7">
        <v>36773</v>
      </c>
      <c r="I70" s="6" t="s">
        <v>70</v>
      </c>
      <c r="J70" s="6" t="s">
        <v>193</v>
      </c>
      <c r="K70" s="6" t="s">
        <v>43</v>
      </c>
      <c r="L70" s="6" t="s">
        <v>44</v>
      </c>
      <c r="M70" s="6" t="s">
        <v>45</v>
      </c>
      <c r="N70" s="6">
        <v>4.76</v>
      </c>
      <c r="O70" s="6">
        <v>23</v>
      </c>
    </row>
    <row r="71" spans="1:15" ht="14.25" customHeight="1" x14ac:dyDescent="0.3">
      <c r="A71" s="6" t="s">
        <v>194</v>
      </c>
      <c r="B71" s="6">
        <v>22</v>
      </c>
      <c r="C71" s="6" t="s">
        <v>62</v>
      </c>
      <c r="D71" s="6" t="s">
        <v>17</v>
      </c>
      <c r="E71" s="6" t="s">
        <v>27</v>
      </c>
      <c r="F71" s="6">
        <v>1070</v>
      </c>
      <c r="G71" s="6">
        <v>181861.73</v>
      </c>
      <c r="H71" s="7">
        <v>37264</v>
      </c>
      <c r="I71" s="6" t="s">
        <v>73</v>
      </c>
      <c r="J71" s="6" t="s">
        <v>195</v>
      </c>
      <c r="K71" s="6" t="s">
        <v>51</v>
      </c>
      <c r="L71" s="6" t="s">
        <v>52</v>
      </c>
      <c r="M71" s="6" t="s">
        <v>53</v>
      </c>
      <c r="N71" s="6">
        <v>1.64</v>
      </c>
      <c r="O71" s="6">
        <v>103</v>
      </c>
    </row>
    <row r="72" spans="1:15" ht="14.25" customHeight="1" x14ac:dyDescent="0.3">
      <c r="A72" s="6" t="s">
        <v>196</v>
      </c>
      <c r="B72" s="6">
        <v>36</v>
      </c>
      <c r="C72" s="6" t="s">
        <v>62</v>
      </c>
      <c r="D72" s="6" t="s">
        <v>69</v>
      </c>
      <c r="E72" s="6" t="s">
        <v>80</v>
      </c>
      <c r="F72" s="6">
        <v>1071</v>
      </c>
      <c r="G72" s="6">
        <v>190144.74</v>
      </c>
      <c r="H72" s="7">
        <v>40442</v>
      </c>
      <c r="I72" s="6" t="s">
        <v>19</v>
      </c>
      <c r="J72" s="6" t="s">
        <v>197</v>
      </c>
      <c r="K72" s="6" t="s">
        <v>21</v>
      </c>
      <c r="L72" s="6" t="s">
        <v>22</v>
      </c>
      <c r="M72" s="6" t="s">
        <v>23</v>
      </c>
      <c r="N72" s="6">
        <v>4.4000000000000004</v>
      </c>
      <c r="O72" s="6">
        <v>17</v>
      </c>
    </row>
    <row r="73" spans="1:15" ht="14.25" customHeight="1" x14ac:dyDescent="0.3">
      <c r="A73" s="6" t="s">
        <v>198</v>
      </c>
      <c r="B73" s="6">
        <v>57</v>
      </c>
      <c r="C73" s="6" t="s">
        <v>25</v>
      </c>
      <c r="D73" s="6" t="s">
        <v>55</v>
      </c>
      <c r="E73" s="6" t="s">
        <v>80</v>
      </c>
      <c r="F73" s="6">
        <v>1072</v>
      </c>
      <c r="G73" s="6">
        <v>147474.16</v>
      </c>
      <c r="H73" s="7">
        <v>38789</v>
      </c>
      <c r="I73" s="6" t="s">
        <v>28</v>
      </c>
      <c r="J73" s="6" t="s">
        <v>199</v>
      </c>
      <c r="K73" s="6" t="s">
        <v>30</v>
      </c>
      <c r="L73" s="6" t="s">
        <v>31</v>
      </c>
      <c r="M73" s="6" t="s">
        <v>32</v>
      </c>
      <c r="N73" s="6">
        <v>1.73</v>
      </c>
      <c r="O73" s="6">
        <v>118</v>
      </c>
    </row>
    <row r="74" spans="1:15" ht="14.25" customHeight="1" x14ac:dyDescent="0.3">
      <c r="A74" s="6" t="s">
        <v>200</v>
      </c>
      <c r="B74" s="6">
        <v>34</v>
      </c>
      <c r="C74" s="6" t="s">
        <v>16</v>
      </c>
      <c r="D74" s="6" t="s">
        <v>47</v>
      </c>
      <c r="E74" s="6" t="s">
        <v>80</v>
      </c>
      <c r="F74" s="6">
        <v>1073</v>
      </c>
      <c r="G74" s="6">
        <v>182363.39</v>
      </c>
      <c r="H74" s="7">
        <v>43517</v>
      </c>
      <c r="I74" s="6" t="s">
        <v>35</v>
      </c>
      <c r="J74" s="6" t="s">
        <v>201</v>
      </c>
      <c r="K74" s="6" t="s">
        <v>37</v>
      </c>
      <c r="L74" s="6" t="s">
        <v>38</v>
      </c>
      <c r="M74" s="6" t="s">
        <v>39</v>
      </c>
      <c r="N74" s="6">
        <v>2.2400000000000002</v>
      </c>
      <c r="O74" s="6">
        <v>37</v>
      </c>
    </row>
    <row r="75" spans="1:15" ht="14.25" customHeight="1" x14ac:dyDescent="0.3">
      <c r="A75" s="6" t="s">
        <v>202</v>
      </c>
      <c r="B75" s="6">
        <v>64</v>
      </c>
      <c r="C75" s="6" t="s">
        <v>25</v>
      </c>
      <c r="D75" s="6" t="s">
        <v>47</v>
      </c>
      <c r="E75" s="6" t="s">
        <v>80</v>
      </c>
      <c r="F75" s="6">
        <v>1074</v>
      </c>
      <c r="G75" s="6">
        <v>98636.45</v>
      </c>
      <c r="H75" s="7">
        <v>38759</v>
      </c>
      <c r="I75" s="6" t="s">
        <v>41</v>
      </c>
      <c r="J75" s="6" t="s">
        <v>203</v>
      </c>
      <c r="K75" s="6" t="s">
        <v>43</v>
      </c>
      <c r="L75" s="6" t="s">
        <v>44</v>
      </c>
      <c r="M75" s="6" t="s">
        <v>45</v>
      </c>
      <c r="N75" s="6">
        <v>3.84</v>
      </c>
      <c r="O75" s="6">
        <v>193</v>
      </c>
    </row>
    <row r="76" spans="1:15" ht="14.25" customHeight="1" x14ac:dyDescent="0.3">
      <c r="A76" s="6" t="s">
        <v>204</v>
      </c>
      <c r="B76" s="6">
        <v>42</v>
      </c>
      <c r="C76" s="6" t="s">
        <v>25</v>
      </c>
      <c r="D76" s="6" t="s">
        <v>47</v>
      </c>
      <c r="E76" s="6" t="s">
        <v>34</v>
      </c>
      <c r="F76" s="6">
        <v>1075</v>
      </c>
      <c r="G76" s="6">
        <v>136704</v>
      </c>
      <c r="H76" s="7">
        <v>37865</v>
      </c>
      <c r="I76" s="6" t="s">
        <v>49</v>
      </c>
      <c r="J76" s="6" t="s">
        <v>205</v>
      </c>
      <c r="K76" s="6" t="s">
        <v>51</v>
      </c>
      <c r="L76" s="6" t="s">
        <v>52</v>
      </c>
      <c r="M76" s="6" t="s">
        <v>53</v>
      </c>
      <c r="N76" s="6">
        <v>1.04</v>
      </c>
      <c r="O76" s="6">
        <v>155</v>
      </c>
    </row>
    <row r="77" spans="1:15" ht="14.25" customHeight="1" x14ac:dyDescent="0.3">
      <c r="A77" s="6" t="s">
        <v>206</v>
      </c>
      <c r="B77" s="6">
        <v>33</v>
      </c>
      <c r="C77" s="6" t="s">
        <v>62</v>
      </c>
      <c r="D77" s="6" t="s">
        <v>26</v>
      </c>
      <c r="E77" s="6" t="s">
        <v>80</v>
      </c>
      <c r="F77" s="6">
        <v>1076</v>
      </c>
      <c r="G77" s="6">
        <v>160288.32000000001</v>
      </c>
      <c r="H77" s="7">
        <v>42144</v>
      </c>
      <c r="I77" s="6" t="s">
        <v>56</v>
      </c>
      <c r="J77" s="6" t="s">
        <v>207</v>
      </c>
      <c r="K77" s="6" t="s">
        <v>21</v>
      </c>
      <c r="L77" s="6" t="s">
        <v>22</v>
      </c>
      <c r="M77" s="6" t="s">
        <v>23</v>
      </c>
      <c r="N77" s="6">
        <v>3.3</v>
      </c>
      <c r="O77" s="6">
        <v>78</v>
      </c>
    </row>
    <row r="78" spans="1:15" ht="14.25" customHeight="1" x14ac:dyDescent="0.3">
      <c r="A78" s="6" t="s">
        <v>208</v>
      </c>
      <c r="B78" s="6">
        <v>26</v>
      </c>
      <c r="C78" s="6" t="s">
        <v>25</v>
      </c>
      <c r="D78" s="6" t="s">
        <v>26</v>
      </c>
      <c r="E78" s="6" t="s">
        <v>48</v>
      </c>
      <c r="F78" s="6">
        <v>1077</v>
      </c>
      <c r="G78" s="6">
        <v>107907.36</v>
      </c>
      <c r="H78" s="7">
        <v>37493</v>
      </c>
      <c r="I78" s="6" t="s">
        <v>63</v>
      </c>
      <c r="J78" s="6" t="s">
        <v>209</v>
      </c>
      <c r="K78" s="6" t="s">
        <v>30</v>
      </c>
      <c r="L78" s="6" t="s">
        <v>31</v>
      </c>
      <c r="M78" s="6" t="s">
        <v>32</v>
      </c>
      <c r="N78" s="6">
        <v>1.72</v>
      </c>
      <c r="O78" s="6">
        <v>90</v>
      </c>
    </row>
    <row r="79" spans="1:15" ht="14.25" customHeight="1" x14ac:dyDescent="0.3">
      <c r="A79" s="6" t="s">
        <v>210</v>
      </c>
      <c r="B79" s="6">
        <v>28</v>
      </c>
      <c r="C79" s="6" t="s">
        <v>62</v>
      </c>
      <c r="D79" s="6" t="s">
        <v>55</v>
      </c>
      <c r="E79" s="6" t="s">
        <v>34</v>
      </c>
      <c r="F79" s="6">
        <v>1078</v>
      </c>
      <c r="G79" s="6">
        <v>126664.7</v>
      </c>
      <c r="H79" s="7">
        <v>38232</v>
      </c>
      <c r="I79" s="6" t="s">
        <v>66</v>
      </c>
      <c r="J79" s="6" t="s">
        <v>211</v>
      </c>
      <c r="K79" s="6" t="s">
        <v>37</v>
      </c>
      <c r="L79" s="6" t="s">
        <v>38</v>
      </c>
      <c r="M79" s="6" t="s">
        <v>39</v>
      </c>
      <c r="N79" s="6">
        <v>4.3600000000000003</v>
      </c>
      <c r="O79" s="6">
        <v>79</v>
      </c>
    </row>
    <row r="80" spans="1:15" ht="14.25" customHeight="1" x14ac:dyDescent="0.3">
      <c r="A80" s="6" t="s">
        <v>212</v>
      </c>
      <c r="B80" s="6">
        <v>26</v>
      </c>
      <c r="C80" s="6" t="s">
        <v>16</v>
      </c>
      <c r="D80" s="6" t="s">
        <v>55</v>
      </c>
      <c r="E80" s="6" t="s">
        <v>34</v>
      </c>
      <c r="F80" s="6">
        <v>1079</v>
      </c>
      <c r="G80" s="6">
        <v>199972.19</v>
      </c>
      <c r="H80" s="7">
        <v>41269</v>
      </c>
      <c r="I80" s="6" t="s">
        <v>70</v>
      </c>
      <c r="J80" s="6" t="s">
        <v>213</v>
      </c>
      <c r="K80" s="6" t="s">
        <v>43</v>
      </c>
      <c r="L80" s="6" t="s">
        <v>44</v>
      </c>
      <c r="M80" s="6" t="s">
        <v>45</v>
      </c>
      <c r="N80" s="6">
        <v>3.51</v>
      </c>
      <c r="O80" s="6">
        <v>160</v>
      </c>
    </row>
    <row r="81" spans="1:15" ht="14.25" customHeight="1" x14ac:dyDescent="0.3">
      <c r="A81" s="6" t="s">
        <v>214</v>
      </c>
      <c r="B81" s="6">
        <v>25</v>
      </c>
      <c r="C81" s="6" t="s">
        <v>62</v>
      </c>
      <c r="D81" s="6" t="s">
        <v>17</v>
      </c>
      <c r="E81" s="6" t="s">
        <v>80</v>
      </c>
      <c r="F81" s="6">
        <v>1080</v>
      </c>
      <c r="G81" s="6">
        <v>90064.11</v>
      </c>
      <c r="H81" s="7">
        <v>43281</v>
      </c>
      <c r="I81" s="6" t="s">
        <v>73</v>
      </c>
      <c r="J81" s="6" t="s">
        <v>215</v>
      </c>
      <c r="K81" s="6" t="s">
        <v>51</v>
      </c>
      <c r="L81" s="6" t="s">
        <v>52</v>
      </c>
      <c r="M81" s="6" t="s">
        <v>53</v>
      </c>
      <c r="N81" s="6">
        <v>3.54</v>
      </c>
      <c r="O81" s="6">
        <v>33</v>
      </c>
    </row>
    <row r="82" spans="1:15" ht="14.25" customHeight="1" x14ac:dyDescent="0.3">
      <c r="A82" s="6" t="s">
        <v>216</v>
      </c>
      <c r="B82" s="6">
        <v>34</v>
      </c>
      <c r="C82" s="6" t="s">
        <v>16</v>
      </c>
      <c r="D82" s="6" t="s">
        <v>26</v>
      </c>
      <c r="E82" s="6" t="s">
        <v>27</v>
      </c>
      <c r="F82" s="6">
        <v>1081</v>
      </c>
      <c r="G82" s="6">
        <v>81638.899999999994</v>
      </c>
      <c r="H82" s="7">
        <v>38831</v>
      </c>
      <c r="I82" s="6" t="s">
        <v>19</v>
      </c>
      <c r="J82" s="6" t="s">
        <v>217</v>
      </c>
      <c r="K82" s="6" t="s">
        <v>21</v>
      </c>
      <c r="L82" s="6" t="s">
        <v>22</v>
      </c>
      <c r="M82" s="6" t="s">
        <v>23</v>
      </c>
      <c r="N82" s="6">
        <v>2.8</v>
      </c>
      <c r="O82" s="6">
        <v>26</v>
      </c>
    </row>
    <row r="83" spans="1:15" ht="14.25" customHeight="1" x14ac:dyDescent="0.3">
      <c r="A83" s="6" t="s">
        <v>218</v>
      </c>
      <c r="B83" s="6">
        <v>58</v>
      </c>
      <c r="C83" s="6" t="s">
        <v>25</v>
      </c>
      <c r="D83" s="6" t="s">
        <v>47</v>
      </c>
      <c r="E83" s="6" t="s">
        <v>80</v>
      </c>
      <c r="F83" s="6">
        <v>1082</v>
      </c>
      <c r="G83" s="6">
        <v>77048.899999999994</v>
      </c>
      <c r="H83" s="7">
        <v>41920</v>
      </c>
      <c r="I83" s="6" t="s">
        <v>28</v>
      </c>
      <c r="J83" s="6" t="s">
        <v>219</v>
      </c>
      <c r="K83" s="6" t="s">
        <v>30</v>
      </c>
      <c r="L83" s="6" t="s">
        <v>31</v>
      </c>
      <c r="M83" s="6" t="s">
        <v>32</v>
      </c>
      <c r="N83" s="6">
        <v>3.01</v>
      </c>
      <c r="O83" s="6">
        <v>136</v>
      </c>
    </row>
    <row r="84" spans="1:15" ht="14.25" customHeight="1" x14ac:dyDescent="0.3">
      <c r="A84" s="6" t="s">
        <v>220</v>
      </c>
      <c r="B84" s="6">
        <v>62</v>
      </c>
      <c r="C84" s="6" t="s">
        <v>62</v>
      </c>
      <c r="D84" s="6" t="s">
        <v>17</v>
      </c>
      <c r="E84" s="6" t="s">
        <v>34</v>
      </c>
      <c r="F84" s="6">
        <v>1083</v>
      </c>
      <c r="G84" s="6">
        <v>85240.26</v>
      </c>
      <c r="H84" s="7">
        <v>37213</v>
      </c>
      <c r="I84" s="6" t="s">
        <v>35</v>
      </c>
      <c r="J84" s="6" t="s">
        <v>221</v>
      </c>
      <c r="K84" s="6" t="s">
        <v>37</v>
      </c>
      <c r="L84" s="6" t="s">
        <v>38</v>
      </c>
      <c r="M84" s="6" t="s">
        <v>39</v>
      </c>
      <c r="N84" s="6">
        <v>4.88</v>
      </c>
      <c r="O84" s="6">
        <v>64</v>
      </c>
    </row>
    <row r="85" spans="1:15" ht="14.25" customHeight="1" x14ac:dyDescent="0.3">
      <c r="A85" s="6" t="s">
        <v>222</v>
      </c>
      <c r="B85" s="6">
        <v>36</v>
      </c>
      <c r="C85" s="6" t="s">
        <v>16</v>
      </c>
      <c r="D85" s="6" t="s">
        <v>69</v>
      </c>
      <c r="E85" s="6" t="s">
        <v>18</v>
      </c>
      <c r="F85" s="6">
        <v>1084</v>
      </c>
      <c r="G85" s="6">
        <v>89440.43</v>
      </c>
      <c r="H85" s="7">
        <v>40620</v>
      </c>
      <c r="I85" s="6" t="s">
        <v>41</v>
      </c>
      <c r="J85" s="6" t="s">
        <v>223</v>
      </c>
      <c r="K85" s="6" t="s">
        <v>43</v>
      </c>
      <c r="L85" s="6" t="s">
        <v>44</v>
      </c>
      <c r="M85" s="6" t="s">
        <v>45</v>
      </c>
      <c r="N85" s="6">
        <v>3.85</v>
      </c>
      <c r="O85" s="6">
        <v>145</v>
      </c>
    </row>
    <row r="86" spans="1:15" ht="14.25" customHeight="1" x14ac:dyDescent="0.3">
      <c r="A86" s="6" t="s">
        <v>224</v>
      </c>
      <c r="B86" s="6">
        <v>37</v>
      </c>
      <c r="C86" s="6" t="s">
        <v>25</v>
      </c>
      <c r="D86" s="6" t="s">
        <v>69</v>
      </c>
      <c r="E86" s="6" t="s">
        <v>48</v>
      </c>
      <c r="F86" s="6">
        <v>1085</v>
      </c>
      <c r="G86" s="6">
        <v>114399.86</v>
      </c>
      <c r="H86" s="7">
        <v>39440</v>
      </c>
      <c r="I86" s="6" t="s">
        <v>49</v>
      </c>
      <c r="J86" s="6" t="s">
        <v>225</v>
      </c>
      <c r="K86" s="6" t="s">
        <v>51</v>
      </c>
      <c r="L86" s="6" t="s">
        <v>52</v>
      </c>
      <c r="M86" s="6" t="s">
        <v>53</v>
      </c>
      <c r="N86" s="6">
        <v>3.41</v>
      </c>
      <c r="O86" s="6">
        <v>41</v>
      </c>
    </row>
    <row r="87" spans="1:15" ht="14.25" customHeight="1" x14ac:dyDescent="0.3">
      <c r="A87" s="6" t="s">
        <v>226</v>
      </c>
      <c r="B87" s="6">
        <v>42</v>
      </c>
      <c r="C87" s="6" t="s">
        <v>16</v>
      </c>
      <c r="D87" s="6" t="s">
        <v>55</v>
      </c>
      <c r="E87" s="6" t="s">
        <v>27</v>
      </c>
      <c r="F87" s="6">
        <v>1086</v>
      </c>
      <c r="G87" s="6">
        <v>163549.73000000001</v>
      </c>
      <c r="H87" s="7">
        <v>38116</v>
      </c>
      <c r="I87" s="6" t="s">
        <v>56</v>
      </c>
      <c r="J87" s="6" t="s">
        <v>227</v>
      </c>
      <c r="K87" s="6" t="s">
        <v>21</v>
      </c>
      <c r="L87" s="6" t="s">
        <v>22</v>
      </c>
      <c r="M87" s="6" t="s">
        <v>23</v>
      </c>
      <c r="N87" s="6">
        <v>4.25</v>
      </c>
      <c r="O87" s="6">
        <v>6</v>
      </c>
    </row>
    <row r="88" spans="1:15" ht="14.25" customHeight="1" x14ac:dyDescent="0.3">
      <c r="A88" s="6" t="s">
        <v>228</v>
      </c>
      <c r="B88" s="6">
        <v>57</v>
      </c>
      <c r="C88" s="6" t="s">
        <v>62</v>
      </c>
      <c r="D88" s="6" t="s">
        <v>26</v>
      </c>
      <c r="E88" s="6" t="s">
        <v>27</v>
      </c>
      <c r="F88" s="6">
        <v>1087</v>
      </c>
      <c r="G88" s="6">
        <v>130455.49</v>
      </c>
      <c r="H88" s="7">
        <v>39881</v>
      </c>
      <c r="I88" s="6" t="s">
        <v>63</v>
      </c>
      <c r="J88" s="6" t="s">
        <v>229</v>
      </c>
      <c r="K88" s="6" t="s">
        <v>30</v>
      </c>
      <c r="L88" s="6" t="s">
        <v>31</v>
      </c>
      <c r="M88" s="6" t="s">
        <v>32</v>
      </c>
      <c r="N88" s="6">
        <v>3.92</v>
      </c>
      <c r="O88" s="6">
        <v>116</v>
      </c>
    </row>
    <row r="89" spans="1:15" ht="14.25" customHeight="1" x14ac:dyDescent="0.3">
      <c r="A89" s="6" t="s">
        <v>230</v>
      </c>
      <c r="B89" s="6">
        <v>45</v>
      </c>
      <c r="C89" s="6" t="s">
        <v>16</v>
      </c>
      <c r="D89" s="6" t="s">
        <v>26</v>
      </c>
      <c r="E89" s="6" t="s">
        <v>27</v>
      </c>
      <c r="F89" s="6">
        <v>1088</v>
      </c>
      <c r="G89" s="6">
        <v>177627.47</v>
      </c>
      <c r="H89" s="7">
        <v>40280</v>
      </c>
      <c r="I89" s="6" t="s">
        <v>66</v>
      </c>
      <c r="J89" s="6" t="s">
        <v>231</v>
      </c>
      <c r="K89" s="6" t="s">
        <v>37</v>
      </c>
      <c r="L89" s="6" t="s">
        <v>38</v>
      </c>
      <c r="M89" s="6" t="s">
        <v>39</v>
      </c>
      <c r="N89" s="6">
        <v>1.45</v>
      </c>
      <c r="O89" s="6">
        <v>170</v>
      </c>
    </row>
    <row r="90" spans="1:15" ht="14.25" customHeight="1" x14ac:dyDescent="0.3">
      <c r="A90" s="6" t="s">
        <v>232</v>
      </c>
      <c r="B90" s="6">
        <v>37</v>
      </c>
      <c r="C90" s="6" t="s">
        <v>16</v>
      </c>
      <c r="D90" s="6" t="s">
        <v>69</v>
      </c>
      <c r="E90" s="6" t="s">
        <v>34</v>
      </c>
      <c r="F90" s="6">
        <v>1089</v>
      </c>
      <c r="G90" s="6">
        <v>50532.9</v>
      </c>
      <c r="H90" s="7">
        <v>42641</v>
      </c>
      <c r="I90" s="6" t="s">
        <v>70</v>
      </c>
      <c r="J90" s="6" t="s">
        <v>233</v>
      </c>
      <c r="K90" s="6" t="s">
        <v>43</v>
      </c>
      <c r="L90" s="6" t="s">
        <v>44</v>
      </c>
      <c r="M90" s="6" t="s">
        <v>45</v>
      </c>
      <c r="N90" s="6">
        <v>4.95</v>
      </c>
      <c r="O90" s="6">
        <v>174</v>
      </c>
    </row>
    <row r="91" spans="1:15" ht="14.25" customHeight="1" x14ac:dyDescent="0.3">
      <c r="A91" s="6" t="s">
        <v>234</v>
      </c>
      <c r="B91" s="6">
        <v>35</v>
      </c>
      <c r="C91" s="6" t="s">
        <v>16</v>
      </c>
      <c r="D91" s="6" t="s">
        <v>55</v>
      </c>
      <c r="E91" s="6" t="s">
        <v>27</v>
      </c>
      <c r="F91" s="6">
        <v>1090</v>
      </c>
      <c r="G91" s="6">
        <v>191020.43</v>
      </c>
      <c r="H91" s="7">
        <v>38526</v>
      </c>
      <c r="I91" s="6" t="s">
        <v>73</v>
      </c>
      <c r="J91" s="6" t="s">
        <v>235</v>
      </c>
      <c r="K91" s="6" t="s">
        <v>51</v>
      </c>
      <c r="L91" s="6" t="s">
        <v>52</v>
      </c>
      <c r="M91" s="6" t="s">
        <v>53</v>
      </c>
      <c r="N91" s="6">
        <v>1.47</v>
      </c>
      <c r="O91" s="6">
        <v>27</v>
      </c>
    </row>
    <row r="92" spans="1:15" ht="14.25" customHeight="1" x14ac:dyDescent="0.3">
      <c r="A92" s="6" t="s">
        <v>236</v>
      </c>
      <c r="B92" s="6">
        <v>43</v>
      </c>
      <c r="C92" s="6" t="s">
        <v>25</v>
      </c>
      <c r="D92" s="6" t="s">
        <v>55</v>
      </c>
      <c r="E92" s="6" t="s">
        <v>27</v>
      </c>
      <c r="F92" s="6">
        <v>1091</v>
      </c>
      <c r="G92" s="6">
        <v>75577.7</v>
      </c>
      <c r="H92" s="7">
        <v>43101</v>
      </c>
      <c r="I92" s="6" t="s">
        <v>19</v>
      </c>
      <c r="J92" s="6" t="s">
        <v>237</v>
      </c>
      <c r="K92" s="6" t="s">
        <v>21</v>
      </c>
      <c r="L92" s="6" t="s">
        <v>22</v>
      </c>
      <c r="M92" s="6" t="s">
        <v>23</v>
      </c>
      <c r="N92" s="6">
        <v>4.0599999999999996</v>
      </c>
      <c r="O92" s="6">
        <v>74</v>
      </c>
    </row>
    <row r="93" spans="1:15" ht="14.25" customHeight="1" x14ac:dyDescent="0.3">
      <c r="A93" s="6" t="s">
        <v>238</v>
      </c>
      <c r="B93" s="6">
        <v>27</v>
      </c>
      <c r="C93" s="6" t="s">
        <v>16</v>
      </c>
      <c r="D93" s="6" t="s">
        <v>26</v>
      </c>
      <c r="E93" s="6" t="s">
        <v>18</v>
      </c>
      <c r="F93" s="6">
        <v>1092</v>
      </c>
      <c r="G93" s="6">
        <v>109813.63</v>
      </c>
      <c r="H93" s="7">
        <v>38861</v>
      </c>
      <c r="I93" s="6" t="s">
        <v>28</v>
      </c>
      <c r="J93" s="6" t="s">
        <v>239</v>
      </c>
      <c r="K93" s="6" t="s">
        <v>30</v>
      </c>
      <c r="L93" s="6" t="s">
        <v>31</v>
      </c>
      <c r="M93" s="6" t="s">
        <v>32</v>
      </c>
      <c r="N93" s="6">
        <v>4.43</v>
      </c>
      <c r="O93" s="6">
        <v>183</v>
      </c>
    </row>
    <row r="94" spans="1:15" ht="14.25" customHeight="1" x14ac:dyDescent="0.3">
      <c r="A94" s="6" t="s">
        <v>240</v>
      </c>
      <c r="B94" s="6">
        <v>63</v>
      </c>
      <c r="C94" s="6" t="s">
        <v>16</v>
      </c>
      <c r="D94" s="6" t="s">
        <v>26</v>
      </c>
      <c r="E94" s="6" t="s">
        <v>18</v>
      </c>
      <c r="F94" s="6">
        <v>1093</v>
      </c>
      <c r="G94" s="6">
        <v>175520.46</v>
      </c>
      <c r="H94" s="7">
        <v>43031</v>
      </c>
      <c r="I94" s="6" t="s">
        <v>35</v>
      </c>
      <c r="J94" s="6" t="s">
        <v>241</v>
      </c>
      <c r="K94" s="6" t="s">
        <v>37</v>
      </c>
      <c r="L94" s="6" t="s">
        <v>38</v>
      </c>
      <c r="M94" s="6" t="s">
        <v>39</v>
      </c>
      <c r="N94" s="6">
        <v>3.08</v>
      </c>
      <c r="O94" s="6">
        <v>73</v>
      </c>
    </row>
    <row r="95" spans="1:15" ht="14.25" customHeight="1" x14ac:dyDescent="0.3">
      <c r="A95" s="6" t="s">
        <v>242</v>
      </c>
      <c r="B95" s="6">
        <v>57</v>
      </c>
      <c r="C95" s="6" t="s">
        <v>16</v>
      </c>
      <c r="D95" s="6" t="s">
        <v>69</v>
      </c>
      <c r="E95" s="6" t="s">
        <v>18</v>
      </c>
      <c r="F95" s="6">
        <v>1094</v>
      </c>
      <c r="G95" s="6">
        <v>146799.99</v>
      </c>
      <c r="H95" s="7">
        <v>42974</v>
      </c>
      <c r="I95" s="6" t="s">
        <v>41</v>
      </c>
      <c r="J95" s="6" t="s">
        <v>243</v>
      </c>
      <c r="K95" s="6" t="s">
        <v>43</v>
      </c>
      <c r="L95" s="6" t="s">
        <v>44</v>
      </c>
      <c r="M95" s="6" t="s">
        <v>45</v>
      </c>
      <c r="N95" s="6">
        <v>1.17</v>
      </c>
      <c r="O95" s="6">
        <v>70</v>
      </c>
    </row>
    <row r="96" spans="1:15" ht="14.25" customHeight="1" x14ac:dyDescent="0.3">
      <c r="A96" s="6" t="s">
        <v>244</v>
      </c>
      <c r="B96" s="6">
        <v>22</v>
      </c>
      <c r="C96" s="6" t="s">
        <v>16</v>
      </c>
      <c r="D96" s="6" t="s">
        <v>47</v>
      </c>
      <c r="E96" s="6" t="s">
        <v>27</v>
      </c>
      <c r="F96" s="6">
        <v>1095</v>
      </c>
      <c r="G96" s="6">
        <v>67509.440000000002</v>
      </c>
      <c r="H96" s="7">
        <v>37040</v>
      </c>
      <c r="I96" s="6" t="s">
        <v>49</v>
      </c>
      <c r="J96" s="6" t="s">
        <v>245</v>
      </c>
      <c r="K96" s="6" t="s">
        <v>51</v>
      </c>
      <c r="L96" s="6" t="s">
        <v>52</v>
      </c>
      <c r="M96" s="6" t="s">
        <v>53</v>
      </c>
      <c r="N96" s="6">
        <v>3.95</v>
      </c>
      <c r="O96" s="6">
        <v>19</v>
      </c>
    </row>
    <row r="97" spans="1:15" ht="14.25" customHeight="1" x14ac:dyDescent="0.3">
      <c r="A97" s="6" t="s">
        <v>246</v>
      </c>
      <c r="B97" s="6">
        <v>53</v>
      </c>
      <c r="C97" s="6" t="s">
        <v>62</v>
      </c>
      <c r="D97" s="6" t="s">
        <v>55</v>
      </c>
      <c r="E97" s="6" t="s">
        <v>27</v>
      </c>
      <c r="F97" s="6">
        <v>1096</v>
      </c>
      <c r="G97" s="6">
        <v>187066.97</v>
      </c>
      <c r="H97" s="7">
        <v>42630</v>
      </c>
      <c r="I97" s="6" t="s">
        <v>56</v>
      </c>
      <c r="J97" s="6" t="s">
        <v>247</v>
      </c>
      <c r="K97" s="6" t="s">
        <v>21</v>
      </c>
      <c r="L97" s="6" t="s">
        <v>22</v>
      </c>
      <c r="M97" s="6" t="s">
        <v>23</v>
      </c>
      <c r="N97" s="6">
        <v>1.82</v>
      </c>
      <c r="O97" s="6">
        <v>157</v>
      </c>
    </row>
    <row r="98" spans="1:15" ht="14.25" customHeight="1" x14ac:dyDescent="0.3">
      <c r="A98" s="6" t="s">
        <v>248</v>
      </c>
      <c r="B98" s="6">
        <v>27</v>
      </c>
      <c r="C98" s="6" t="s">
        <v>62</v>
      </c>
      <c r="D98" s="6" t="s">
        <v>26</v>
      </c>
      <c r="E98" s="6" t="s">
        <v>80</v>
      </c>
      <c r="F98" s="6">
        <v>1097</v>
      </c>
      <c r="G98" s="6">
        <v>177682.97</v>
      </c>
      <c r="H98" s="7">
        <v>39992</v>
      </c>
      <c r="I98" s="6" t="s">
        <v>63</v>
      </c>
      <c r="J98" s="6" t="s">
        <v>249</v>
      </c>
      <c r="K98" s="6" t="s">
        <v>30</v>
      </c>
      <c r="L98" s="6" t="s">
        <v>31</v>
      </c>
      <c r="M98" s="6" t="s">
        <v>32</v>
      </c>
      <c r="N98" s="6">
        <v>1.42</v>
      </c>
      <c r="O98" s="6">
        <v>37</v>
      </c>
    </row>
    <row r="99" spans="1:15" ht="14.25" customHeight="1" x14ac:dyDescent="0.3">
      <c r="A99" s="6" t="s">
        <v>250</v>
      </c>
      <c r="B99" s="6">
        <v>52</v>
      </c>
      <c r="C99" s="6" t="s">
        <v>25</v>
      </c>
      <c r="D99" s="6" t="s">
        <v>55</v>
      </c>
      <c r="E99" s="6" t="s">
        <v>34</v>
      </c>
      <c r="F99" s="6">
        <v>1098</v>
      </c>
      <c r="G99" s="6">
        <v>112967.08</v>
      </c>
      <c r="H99" s="7">
        <v>42154</v>
      </c>
      <c r="I99" s="6" t="s">
        <v>66</v>
      </c>
      <c r="J99" s="6" t="s">
        <v>251</v>
      </c>
      <c r="K99" s="6" t="s">
        <v>37</v>
      </c>
      <c r="L99" s="6" t="s">
        <v>38</v>
      </c>
      <c r="M99" s="6" t="s">
        <v>39</v>
      </c>
      <c r="N99" s="6">
        <v>2.44</v>
      </c>
      <c r="O99" s="6">
        <v>44</v>
      </c>
    </row>
    <row r="100" spans="1:15" ht="14.25" customHeight="1" x14ac:dyDescent="0.3">
      <c r="A100" s="6" t="s">
        <v>252</v>
      </c>
      <c r="B100" s="6">
        <v>22</v>
      </c>
      <c r="C100" s="6" t="s">
        <v>16</v>
      </c>
      <c r="D100" s="6" t="s">
        <v>47</v>
      </c>
      <c r="E100" s="6" t="s">
        <v>80</v>
      </c>
      <c r="F100" s="6">
        <v>1099</v>
      </c>
      <c r="G100" s="6">
        <v>104824.8</v>
      </c>
      <c r="H100" s="7">
        <v>44663</v>
      </c>
      <c r="I100" s="6" t="s">
        <v>70</v>
      </c>
      <c r="J100" s="6" t="s">
        <v>253</v>
      </c>
      <c r="K100" s="6" t="s">
        <v>43</v>
      </c>
      <c r="L100" s="6" t="s">
        <v>44</v>
      </c>
      <c r="M100" s="6" t="s">
        <v>45</v>
      </c>
      <c r="N100" s="6">
        <v>4.24</v>
      </c>
      <c r="O100" s="6">
        <v>91</v>
      </c>
    </row>
    <row r="101" spans="1:15" ht="14.25" customHeight="1" x14ac:dyDescent="0.3">
      <c r="A101" s="6" t="s">
        <v>254</v>
      </c>
      <c r="B101" s="6">
        <v>58</v>
      </c>
      <c r="C101" s="6" t="s">
        <v>25</v>
      </c>
      <c r="D101" s="6" t="s">
        <v>69</v>
      </c>
      <c r="E101" s="6" t="s">
        <v>34</v>
      </c>
      <c r="F101" s="6">
        <v>1100</v>
      </c>
      <c r="G101" s="6">
        <v>159929.82999999999</v>
      </c>
      <c r="H101" s="7">
        <v>40679</v>
      </c>
      <c r="I101" s="6" t="s">
        <v>73</v>
      </c>
      <c r="J101" s="6" t="s">
        <v>255</v>
      </c>
      <c r="K101" s="6" t="s">
        <v>51</v>
      </c>
      <c r="L101" s="6" t="s">
        <v>52</v>
      </c>
      <c r="M101" s="6" t="s">
        <v>53</v>
      </c>
      <c r="N101" s="6">
        <v>3.94</v>
      </c>
      <c r="O101" s="6">
        <v>5</v>
      </c>
    </row>
    <row r="102" spans="1:15" ht="14.25" customHeight="1" x14ac:dyDescent="0.3">
      <c r="A102" s="6" t="s">
        <v>256</v>
      </c>
      <c r="B102" s="6">
        <v>56</v>
      </c>
      <c r="C102" s="6" t="s">
        <v>16</v>
      </c>
      <c r="D102" s="6" t="s">
        <v>47</v>
      </c>
      <c r="E102" s="6" t="s">
        <v>80</v>
      </c>
      <c r="F102" s="6">
        <v>1101</v>
      </c>
      <c r="G102" s="6">
        <v>135123.97</v>
      </c>
      <c r="H102" s="7">
        <v>41126</v>
      </c>
      <c r="I102" s="6" t="s">
        <v>19</v>
      </c>
      <c r="J102" s="6" t="s">
        <v>257</v>
      </c>
      <c r="K102" s="6" t="s">
        <v>21</v>
      </c>
      <c r="L102" s="6" t="s">
        <v>22</v>
      </c>
      <c r="M102" s="6" t="s">
        <v>23</v>
      </c>
      <c r="N102" s="6">
        <v>4.8099999999999996</v>
      </c>
      <c r="O102" s="6">
        <v>102</v>
      </c>
    </row>
    <row r="103" spans="1:15" ht="14.25" customHeight="1" x14ac:dyDescent="0.3">
      <c r="A103" s="6" t="s">
        <v>258</v>
      </c>
      <c r="B103" s="6">
        <v>51</v>
      </c>
      <c r="C103" s="6" t="s">
        <v>62</v>
      </c>
      <c r="D103" s="6" t="s">
        <v>69</v>
      </c>
      <c r="E103" s="6" t="s">
        <v>18</v>
      </c>
      <c r="F103" s="6">
        <v>1102</v>
      </c>
      <c r="G103" s="6">
        <v>52630.1</v>
      </c>
      <c r="H103" s="7">
        <v>39046</v>
      </c>
      <c r="I103" s="6" t="s">
        <v>28</v>
      </c>
      <c r="J103" s="6" t="s">
        <v>259</v>
      </c>
      <c r="K103" s="6" t="s">
        <v>30</v>
      </c>
      <c r="L103" s="6" t="s">
        <v>31</v>
      </c>
      <c r="M103" s="6" t="s">
        <v>32</v>
      </c>
      <c r="N103" s="6">
        <v>2.21</v>
      </c>
      <c r="O103" s="6">
        <v>69</v>
      </c>
    </row>
    <row r="104" spans="1:15" ht="14.25" customHeight="1" x14ac:dyDescent="0.3">
      <c r="A104" s="6" t="s">
        <v>260</v>
      </c>
      <c r="B104" s="6">
        <v>25</v>
      </c>
      <c r="C104" s="6" t="s">
        <v>16</v>
      </c>
      <c r="D104" s="6" t="s">
        <v>55</v>
      </c>
      <c r="E104" s="6" t="s">
        <v>27</v>
      </c>
      <c r="F104" s="6">
        <v>1103</v>
      </c>
      <c r="G104" s="6">
        <v>55964.99</v>
      </c>
      <c r="H104" s="7">
        <v>43570</v>
      </c>
      <c r="I104" s="6" t="s">
        <v>35</v>
      </c>
      <c r="J104" s="6" t="s">
        <v>261</v>
      </c>
      <c r="K104" s="6" t="s">
        <v>37</v>
      </c>
      <c r="L104" s="6" t="s">
        <v>38</v>
      </c>
      <c r="M104" s="6" t="s">
        <v>39</v>
      </c>
      <c r="N104" s="6">
        <v>4.59</v>
      </c>
      <c r="O104" s="6">
        <v>57</v>
      </c>
    </row>
    <row r="105" spans="1:15" ht="14.25" customHeight="1" x14ac:dyDescent="0.3">
      <c r="A105" s="6" t="s">
        <v>262</v>
      </c>
      <c r="B105" s="6">
        <v>56</v>
      </c>
      <c r="C105" s="6" t="s">
        <v>25</v>
      </c>
      <c r="D105" s="6" t="s">
        <v>17</v>
      </c>
      <c r="E105" s="6" t="s">
        <v>18</v>
      </c>
      <c r="F105" s="6">
        <v>1104</v>
      </c>
      <c r="G105" s="6">
        <v>169848.08</v>
      </c>
      <c r="H105" s="7">
        <v>42126</v>
      </c>
      <c r="I105" s="6" t="s">
        <v>41</v>
      </c>
      <c r="J105" s="6" t="s">
        <v>263</v>
      </c>
      <c r="K105" s="6" t="s">
        <v>43</v>
      </c>
      <c r="L105" s="6" t="s">
        <v>44</v>
      </c>
      <c r="M105" s="6" t="s">
        <v>45</v>
      </c>
      <c r="N105" s="6">
        <v>3.11</v>
      </c>
      <c r="O105" s="6">
        <v>195</v>
      </c>
    </row>
    <row r="106" spans="1:15" ht="14.25" customHeight="1" x14ac:dyDescent="0.3">
      <c r="A106" s="6" t="s">
        <v>264</v>
      </c>
      <c r="B106" s="6">
        <v>64</v>
      </c>
      <c r="C106" s="6" t="s">
        <v>16</v>
      </c>
      <c r="D106" s="6" t="s">
        <v>55</v>
      </c>
      <c r="E106" s="6" t="s">
        <v>80</v>
      </c>
      <c r="F106" s="6">
        <v>1105</v>
      </c>
      <c r="G106" s="6">
        <v>111312.24</v>
      </c>
      <c r="H106" s="7">
        <v>39609</v>
      </c>
      <c r="I106" s="6" t="s">
        <v>49</v>
      </c>
      <c r="J106" s="6" t="s">
        <v>265</v>
      </c>
      <c r="K106" s="6" t="s">
        <v>51</v>
      </c>
      <c r="L106" s="6" t="s">
        <v>52</v>
      </c>
      <c r="M106" s="6" t="s">
        <v>53</v>
      </c>
      <c r="N106" s="6">
        <v>2.21</v>
      </c>
      <c r="O106" s="6">
        <v>139</v>
      </c>
    </row>
    <row r="107" spans="1:15" ht="14.25" customHeight="1" x14ac:dyDescent="0.3">
      <c r="A107" s="6" t="s">
        <v>266</v>
      </c>
      <c r="B107" s="6">
        <v>35</v>
      </c>
      <c r="C107" s="6" t="s">
        <v>62</v>
      </c>
      <c r="D107" s="6" t="s">
        <v>17</v>
      </c>
      <c r="E107" s="6" t="s">
        <v>34</v>
      </c>
      <c r="F107" s="6">
        <v>1106</v>
      </c>
      <c r="G107" s="6">
        <v>69669.53</v>
      </c>
      <c r="H107" s="7">
        <v>36752</v>
      </c>
      <c r="I107" s="6" t="s">
        <v>56</v>
      </c>
      <c r="J107" s="6" t="s">
        <v>267</v>
      </c>
      <c r="K107" s="6" t="s">
        <v>21</v>
      </c>
      <c r="L107" s="6" t="s">
        <v>22</v>
      </c>
      <c r="M107" s="6" t="s">
        <v>23</v>
      </c>
      <c r="N107" s="6">
        <v>4.83</v>
      </c>
      <c r="O107" s="6">
        <v>106</v>
      </c>
    </row>
    <row r="108" spans="1:15" ht="14.25" customHeight="1" x14ac:dyDescent="0.3">
      <c r="A108" s="6" t="s">
        <v>268</v>
      </c>
      <c r="B108" s="6">
        <v>61</v>
      </c>
      <c r="C108" s="6" t="s">
        <v>25</v>
      </c>
      <c r="D108" s="6" t="s">
        <v>55</v>
      </c>
      <c r="E108" s="6" t="s">
        <v>48</v>
      </c>
      <c r="F108" s="6">
        <v>1107</v>
      </c>
      <c r="G108" s="6">
        <v>183950.64</v>
      </c>
      <c r="H108" s="7">
        <v>41325</v>
      </c>
      <c r="I108" s="6" t="s">
        <v>63</v>
      </c>
      <c r="J108" s="6" t="s">
        <v>269</v>
      </c>
      <c r="K108" s="6" t="s">
        <v>30</v>
      </c>
      <c r="L108" s="6" t="s">
        <v>31</v>
      </c>
      <c r="M108" s="6" t="s">
        <v>32</v>
      </c>
      <c r="N108" s="6">
        <v>1.37</v>
      </c>
      <c r="O108" s="6">
        <v>94</v>
      </c>
    </row>
    <row r="109" spans="1:15" ht="14.25" customHeight="1" x14ac:dyDescent="0.3">
      <c r="A109" s="6" t="s">
        <v>270</v>
      </c>
      <c r="B109" s="6">
        <v>43</v>
      </c>
      <c r="C109" s="6" t="s">
        <v>16</v>
      </c>
      <c r="D109" s="6" t="s">
        <v>47</v>
      </c>
      <c r="E109" s="6" t="s">
        <v>48</v>
      </c>
      <c r="F109" s="6">
        <v>1108</v>
      </c>
      <c r="G109" s="6">
        <v>158746.28</v>
      </c>
      <c r="H109" s="7">
        <v>43742</v>
      </c>
      <c r="I109" s="6" t="s">
        <v>66</v>
      </c>
      <c r="J109" s="6" t="s">
        <v>271</v>
      </c>
      <c r="K109" s="6" t="s">
        <v>37</v>
      </c>
      <c r="L109" s="6" t="s">
        <v>38</v>
      </c>
      <c r="M109" s="6" t="s">
        <v>39</v>
      </c>
      <c r="N109" s="6">
        <v>3.51</v>
      </c>
      <c r="O109" s="6">
        <v>187</v>
      </c>
    </row>
    <row r="110" spans="1:15" ht="14.25" customHeight="1" x14ac:dyDescent="0.3">
      <c r="A110" s="6" t="s">
        <v>272</v>
      </c>
      <c r="B110" s="6">
        <v>31</v>
      </c>
      <c r="C110" s="6" t="s">
        <v>62</v>
      </c>
      <c r="D110" s="6" t="s">
        <v>69</v>
      </c>
      <c r="E110" s="6" t="s">
        <v>27</v>
      </c>
      <c r="F110" s="6">
        <v>1109</v>
      </c>
      <c r="G110" s="6">
        <v>106077.69</v>
      </c>
      <c r="H110" s="7">
        <v>40209</v>
      </c>
      <c r="I110" s="6" t="s">
        <v>70</v>
      </c>
      <c r="J110" s="6" t="s">
        <v>273</v>
      </c>
      <c r="K110" s="6" t="s">
        <v>43</v>
      </c>
      <c r="L110" s="6" t="s">
        <v>44</v>
      </c>
      <c r="M110" s="6" t="s">
        <v>45</v>
      </c>
      <c r="N110" s="6">
        <v>1.06</v>
      </c>
      <c r="O110" s="6">
        <v>137</v>
      </c>
    </row>
    <row r="111" spans="1:15" ht="14.25" customHeight="1" x14ac:dyDescent="0.3">
      <c r="A111" s="6" t="s">
        <v>274</v>
      </c>
      <c r="B111" s="6">
        <v>22</v>
      </c>
      <c r="C111" s="6" t="s">
        <v>16</v>
      </c>
      <c r="D111" s="6" t="s">
        <v>55</v>
      </c>
      <c r="E111" s="6" t="s">
        <v>27</v>
      </c>
      <c r="F111" s="6">
        <v>1110</v>
      </c>
      <c r="G111" s="6">
        <v>70223.91</v>
      </c>
      <c r="H111" s="7">
        <v>39119</v>
      </c>
      <c r="I111" s="6" t="s">
        <v>73</v>
      </c>
      <c r="J111" s="6" t="s">
        <v>275</v>
      </c>
      <c r="K111" s="6" t="s">
        <v>51</v>
      </c>
      <c r="L111" s="6" t="s">
        <v>52</v>
      </c>
      <c r="M111" s="6" t="s">
        <v>53</v>
      </c>
      <c r="N111" s="6">
        <v>3.46</v>
      </c>
      <c r="O111" s="6">
        <v>26</v>
      </c>
    </row>
    <row r="112" spans="1:15" ht="14.25" customHeight="1" x14ac:dyDescent="0.3">
      <c r="A112" s="6" t="s">
        <v>276</v>
      </c>
      <c r="B112" s="6">
        <v>32</v>
      </c>
      <c r="C112" s="6" t="s">
        <v>62</v>
      </c>
      <c r="D112" s="6" t="s">
        <v>26</v>
      </c>
      <c r="E112" s="6" t="s">
        <v>80</v>
      </c>
      <c r="F112" s="6">
        <v>1111</v>
      </c>
      <c r="G112" s="6">
        <v>57538.97</v>
      </c>
      <c r="H112" s="7">
        <v>42154</v>
      </c>
      <c r="I112" s="6" t="s">
        <v>19</v>
      </c>
      <c r="J112" s="6" t="s">
        <v>277</v>
      </c>
      <c r="K112" s="6" t="s">
        <v>21</v>
      </c>
      <c r="L112" s="6" t="s">
        <v>22</v>
      </c>
      <c r="M112" s="6" t="s">
        <v>23</v>
      </c>
      <c r="N112" s="6">
        <v>3.93</v>
      </c>
      <c r="O112" s="6">
        <v>167</v>
      </c>
    </row>
    <row r="113" spans="1:15" ht="14.25" customHeight="1" x14ac:dyDescent="0.3">
      <c r="A113" s="6" t="s">
        <v>278</v>
      </c>
      <c r="B113" s="6">
        <v>45</v>
      </c>
      <c r="C113" s="6" t="s">
        <v>25</v>
      </c>
      <c r="D113" s="6" t="s">
        <v>69</v>
      </c>
      <c r="E113" s="6" t="s">
        <v>34</v>
      </c>
      <c r="F113" s="6">
        <v>1112</v>
      </c>
      <c r="G113" s="6">
        <v>146054.62</v>
      </c>
      <c r="H113" s="7">
        <v>39113</v>
      </c>
      <c r="I113" s="6" t="s">
        <v>28</v>
      </c>
      <c r="J113" s="6" t="s">
        <v>279</v>
      </c>
      <c r="K113" s="6" t="s">
        <v>30</v>
      </c>
      <c r="L113" s="6" t="s">
        <v>31</v>
      </c>
      <c r="M113" s="6" t="s">
        <v>32</v>
      </c>
      <c r="N113" s="6">
        <v>4.5199999999999996</v>
      </c>
      <c r="O113" s="6">
        <v>145</v>
      </c>
    </row>
    <row r="114" spans="1:15" ht="14.25" customHeight="1" x14ac:dyDescent="0.3">
      <c r="A114" s="6" t="s">
        <v>280</v>
      </c>
      <c r="B114" s="6">
        <v>24</v>
      </c>
      <c r="C114" s="6" t="s">
        <v>25</v>
      </c>
      <c r="D114" s="6" t="s">
        <v>47</v>
      </c>
      <c r="E114" s="6" t="s">
        <v>34</v>
      </c>
      <c r="F114" s="6">
        <v>1113</v>
      </c>
      <c r="G114" s="6">
        <v>143874.01</v>
      </c>
      <c r="H114" s="7">
        <v>44602</v>
      </c>
      <c r="I114" s="6" t="s">
        <v>35</v>
      </c>
      <c r="J114" s="6" t="s">
        <v>281</v>
      </c>
      <c r="K114" s="6" t="s">
        <v>37</v>
      </c>
      <c r="L114" s="6" t="s">
        <v>38</v>
      </c>
      <c r="M114" s="6" t="s">
        <v>39</v>
      </c>
      <c r="N114" s="6">
        <v>1.33</v>
      </c>
      <c r="O114" s="6">
        <v>16</v>
      </c>
    </row>
    <row r="115" spans="1:15" ht="14.25" customHeight="1" x14ac:dyDescent="0.3">
      <c r="A115" s="6" t="s">
        <v>282</v>
      </c>
      <c r="B115" s="6">
        <v>56</v>
      </c>
      <c r="C115" s="6" t="s">
        <v>16</v>
      </c>
      <c r="D115" s="6" t="s">
        <v>55</v>
      </c>
      <c r="E115" s="6" t="s">
        <v>18</v>
      </c>
      <c r="F115" s="6">
        <v>1114</v>
      </c>
      <c r="G115" s="6">
        <v>161261.99</v>
      </c>
      <c r="H115" s="7">
        <v>41146</v>
      </c>
      <c r="I115" s="6" t="s">
        <v>41</v>
      </c>
      <c r="J115" s="6" t="s">
        <v>283</v>
      </c>
      <c r="K115" s="6" t="s">
        <v>43</v>
      </c>
      <c r="L115" s="6" t="s">
        <v>44</v>
      </c>
      <c r="M115" s="6" t="s">
        <v>45</v>
      </c>
      <c r="N115" s="6">
        <v>1.34</v>
      </c>
      <c r="O115" s="6">
        <v>43</v>
      </c>
    </row>
    <row r="116" spans="1:15" ht="14.25" customHeight="1" x14ac:dyDescent="0.3">
      <c r="A116" s="6" t="s">
        <v>284</v>
      </c>
      <c r="B116" s="6">
        <v>57</v>
      </c>
      <c r="C116" s="6" t="s">
        <v>62</v>
      </c>
      <c r="D116" s="6" t="s">
        <v>69</v>
      </c>
      <c r="E116" s="6" t="s">
        <v>80</v>
      </c>
      <c r="F116" s="6">
        <v>1115</v>
      </c>
      <c r="G116" s="6">
        <v>147168.12</v>
      </c>
      <c r="H116" s="7">
        <v>44465</v>
      </c>
      <c r="I116" s="6" t="s">
        <v>49</v>
      </c>
      <c r="J116" s="6" t="s">
        <v>285</v>
      </c>
      <c r="K116" s="6" t="s">
        <v>51</v>
      </c>
      <c r="L116" s="6" t="s">
        <v>52</v>
      </c>
      <c r="M116" s="6" t="s">
        <v>53</v>
      </c>
      <c r="N116" s="6">
        <v>1.96</v>
      </c>
      <c r="O116" s="6">
        <v>132</v>
      </c>
    </row>
    <row r="117" spans="1:15" ht="14.25" customHeight="1" x14ac:dyDescent="0.3">
      <c r="A117" s="6" t="s">
        <v>286</v>
      </c>
      <c r="B117" s="6">
        <v>52</v>
      </c>
      <c r="C117" s="6" t="s">
        <v>25</v>
      </c>
      <c r="D117" s="6" t="s">
        <v>26</v>
      </c>
      <c r="E117" s="6" t="s">
        <v>18</v>
      </c>
      <c r="F117" s="6">
        <v>1116</v>
      </c>
      <c r="G117" s="6">
        <v>117431.74</v>
      </c>
      <c r="H117" s="7">
        <v>39569</v>
      </c>
      <c r="I117" s="6" t="s">
        <v>56</v>
      </c>
      <c r="J117" s="6" t="s">
        <v>287</v>
      </c>
      <c r="K117" s="6" t="s">
        <v>21</v>
      </c>
      <c r="L117" s="6" t="s">
        <v>22</v>
      </c>
      <c r="M117" s="6" t="s">
        <v>23</v>
      </c>
      <c r="N117" s="6">
        <v>1.21</v>
      </c>
      <c r="O117" s="6">
        <v>183</v>
      </c>
    </row>
    <row r="118" spans="1:15" ht="14.25" customHeight="1" x14ac:dyDescent="0.3">
      <c r="A118" s="6" t="s">
        <v>288</v>
      </c>
      <c r="B118" s="6">
        <v>25</v>
      </c>
      <c r="C118" s="6" t="s">
        <v>16</v>
      </c>
      <c r="D118" s="6" t="s">
        <v>69</v>
      </c>
      <c r="E118" s="6" t="s">
        <v>80</v>
      </c>
      <c r="F118" s="6">
        <v>1117</v>
      </c>
      <c r="G118" s="6">
        <v>67284.429999999993</v>
      </c>
      <c r="H118" s="7">
        <v>36644</v>
      </c>
      <c r="I118" s="6" t="s">
        <v>63</v>
      </c>
      <c r="J118" s="6" t="s">
        <v>289</v>
      </c>
      <c r="K118" s="6" t="s">
        <v>30</v>
      </c>
      <c r="L118" s="6" t="s">
        <v>31</v>
      </c>
      <c r="M118" s="6" t="s">
        <v>32</v>
      </c>
      <c r="N118" s="6">
        <v>3.58</v>
      </c>
      <c r="O118" s="6">
        <v>21</v>
      </c>
    </row>
    <row r="119" spans="1:15" ht="14.25" customHeight="1" x14ac:dyDescent="0.3">
      <c r="A119" s="6" t="s">
        <v>290</v>
      </c>
      <c r="B119" s="6">
        <v>40</v>
      </c>
      <c r="C119" s="6" t="s">
        <v>16</v>
      </c>
      <c r="D119" s="6" t="s">
        <v>55</v>
      </c>
      <c r="E119" s="6" t="s">
        <v>80</v>
      </c>
      <c r="F119" s="6">
        <v>1118</v>
      </c>
      <c r="G119" s="6">
        <v>105675.72</v>
      </c>
      <c r="H119" s="7">
        <v>37778</v>
      </c>
      <c r="I119" s="6" t="s">
        <v>66</v>
      </c>
      <c r="J119" s="6" t="s">
        <v>291</v>
      </c>
      <c r="K119" s="6" t="s">
        <v>37</v>
      </c>
      <c r="L119" s="6" t="s">
        <v>38</v>
      </c>
      <c r="M119" s="6" t="s">
        <v>39</v>
      </c>
      <c r="N119" s="6">
        <v>4.46</v>
      </c>
      <c r="O119" s="6">
        <v>31</v>
      </c>
    </row>
    <row r="120" spans="1:15" ht="14.25" customHeight="1" x14ac:dyDescent="0.3">
      <c r="A120" s="6" t="s">
        <v>292</v>
      </c>
      <c r="B120" s="6">
        <v>57</v>
      </c>
      <c r="C120" s="6" t="s">
        <v>16</v>
      </c>
      <c r="D120" s="6" t="s">
        <v>26</v>
      </c>
      <c r="E120" s="6" t="s">
        <v>27</v>
      </c>
      <c r="F120" s="6">
        <v>1119</v>
      </c>
      <c r="G120" s="6">
        <v>141270.35999999999</v>
      </c>
      <c r="H120" s="7">
        <v>39172</v>
      </c>
      <c r="I120" s="6" t="s">
        <v>70</v>
      </c>
      <c r="J120" s="6" t="s">
        <v>293</v>
      </c>
      <c r="K120" s="6" t="s">
        <v>43</v>
      </c>
      <c r="L120" s="6" t="s">
        <v>44</v>
      </c>
      <c r="M120" s="6" t="s">
        <v>45</v>
      </c>
      <c r="N120" s="6">
        <v>1.48</v>
      </c>
      <c r="O120" s="6">
        <v>91</v>
      </c>
    </row>
    <row r="121" spans="1:15" ht="14.25" customHeight="1" x14ac:dyDescent="0.3">
      <c r="A121" s="6" t="s">
        <v>294</v>
      </c>
      <c r="B121" s="6">
        <v>42</v>
      </c>
      <c r="C121" s="6" t="s">
        <v>62</v>
      </c>
      <c r="D121" s="6" t="s">
        <v>55</v>
      </c>
      <c r="E121" s="6" t="s">
        <v>27</v>
      </c>
      <c r="F121" s="6">
        <v>1120</v>
      </c>
      <c r="G121" s="6">
        <v>128756.24</v>
      </c>
      <c r="H121" s="7">
        <v>41600</v>
      </c>
      <c r="I121" s="6" t="s">
        <v>73</v>
      </c>
      <c r="J121" s="6" t="s">
        <v>295</v>
      </c>
      <c r="K121" s="6" t="s">
        <v>51</v>
      </c>
      <c r="L121" s="6" t="s">
        <v>52</v>
      </c>
      <c r="M121" s="6" t="s">
        <v>53</v>
      </c>
      <c r="N121" s="6">
        <v>1.78</v>
      </c>
      <c r="O121" s="6">
        <v>107</v>
      </c>
    </row>
    <row r="122" spans="1:15" ht="14.25" customHeight="1" x14ac:dyDescent="0.3">
      <c r="A122" s="6" t="s">
        <v>296</v>
      </c>
      <c r="B122" s="6">
        <v>39</v>
      </c>
      <c r="C122" s="6" t="s">
        <v>16</v>
      </c>
      <c r="D122" s="6" t="s">
        <v>17</v>
      </c>
      <c r="E122" s="6" t="s">
        <v>34</v>
      </c>
      <c r="F122" s="6">
        <v>1121</v>
      </c>
      <c r="G122" s="6">
        <v>93820.77</v>
      </c>
      <c r="H122" s="7">
        <v>37641</v>
      </c>
      <c r="I122" s="6" t="s">
        <v>19</v>
      </c>
      <c r="J122" s="6" t="s">
        <v>297</v>
      </c>
      <c r="K122" s="6" t="s">
        <v>21</v>
      </c>
      <c r="L122" s="6" t="s">
        <v>22</v>
      </c>
      <c r="M122" s="6" t="s">
        <v>23</v>
      </c>
      <c r="N122" s="6">
        <v>4.5999999999999996</v>
      </c>
      <c r="O122" s="6">
        <v>180</v>
      </c>
    </row>
    <row r="123" spans="1:15" ht="14.25" customHeight="1" x14ac:dyDescent="0.3">
      <c r="A123" s="6" t="s">
        <v>298</v>
      </c>
      <c r="B123" s="6">
        <v>49</v>
      </c>
      <c r="C123" s="6" t="s">
        <v>62</v>
      </c>
      <c r="D123" s="6" t="s">
        <v>69</v>
      </c>
      <c r="E123" s="6" t="s">
        <v>34</v>
      </c>
      <c r="F123" s="6">
        <v>1122</v>
      </c>
      <c r="G123" s="6">
        <v>85363.67</v>
      </c>
      <c r="H123" s="7">
        <v>41339</v>
      </c>
      <c r="I123" s="6" t="s">
        <v>28</v>
      </c>
      <c r="J123" s="6" t="s">
        <v>299</v>
      </c>
      <c r="K123" s="6" t="s">
        <v>30</v>
      </c>
      <c r="L123" s="6" t="s">
        <v>31</v>
      </c>
      <c r="M123" s="6" t="s">
        <v>32</v>
      </c>
      <c r="N123" s="6">
        <v>4.1500000000000004</v>
      </c>
      <c r="O123" s="6">
        <v>147</v>
      </c>
    </row>
    <row r="124" spans="1:15" ht="14.25" customHeight="1" x14ac:dyDescent="0.3">
      <c r="A124" s="6" t="s">
        <v>300</v>
      </c>
      <c r="B124" s="6">
        <v>36</v>
      </c>
      <c r="C124" s="6" t="s">
        <v>16</v>
      </c>
      <c r="D124" s="6" t="s">
        <v>26</v>
      </c>
      <c r="E124" s="6" t="s">
        <v>27</v>
      </c>
      <c r="F124" s="6">
        <v>1123</v>
      </c>
      <c r="G124" s="6">
        <v>95725.81</v>
      </c>
      <c r="H124" s="7">
        <v>37108</v>
      </c>
      <c r="I124" s="6" t="s">
        <v>35</v>
      </c>
      <c r="J124" s="6" t="s">
        <v>301</v>
      </c>
      <c r="K124" s="6" t="s">
        <v>37</v>
      </c>
      <c r="L124" s="6" t="s">
        <v>38</v>
      </c>
      <c r="M124" s="6" t="s">
        <v>39</v>
      </c>
      <c r="N124" s="6">
        <v>4.6900000000000004</v>
      </c>
      <c r="O124" s="6">
        <v>157</v>
      </c>
    </row>
    <row r="125" spans="1:15" ht="14.25" customHeight="1" x14ac:dyDescent="0.3">
      <c r="A125" s="6" t="s">
        <v>302</v>
      </c>
      <c r="B125" s="6">
        <v>63</v>
      </c>
      <c r="C125" s="6" t="s">
        <v>62</v>
      </c>
      <c r="D125" s="6" t="s">
        <v>55</v>
      </c>
      <c r="E125" s="6" t="s">
        <v>48</v>
      </c>
      <c r="F125" s="6">
        <v>1124</v>
      </c>
      <c r="G125" s="6">
        <v>59834.07</v>
      </c>
      <c r="H125" s="7">
        <v>42568</v>
      </c>
      <c r="I125" s="6" t="s">
        <v>41</v>
      </c>
      <c r="J125" s="6" t="s">
        <v>303</v>
      </c>
      <c r="K125" s="6" t="s">
        <v>304</v>
      </c>
      <c r="L125" s="6" t="s">
        <v>44</v>
      </c>
      <c r="M125" s="6" t="s">
        <v>45</v>
      </c>
      <c r="N125" s="6">
        <v>1.55</v>
      </c>
      <c r="O125" s="6">
        <v>104</v>
      </c>
    </row>
    <row r="126" spans="1:15" ht="14.25" customHeight="1" x14ac:dyDescent="0.3">
      <c r="A126" s="6" t="s">
        <v>305</v>
      </c>
      <c r="B126" s="6">
        <v>23</v>
      </c>
      <c r="C126" s="6" t="s">
        <v>16</v>
      </c>
      <c r="D126" s="6" t="s">
        <v>17</v>
      </c>
      <c r="E126" s="6" t="s">
        <v>34</v>
      </c>
      <c r="F126" s="6">
        <v>1125</v>
      </c>
      <c r="G126" s="6">
        <v>152954.07</v>
      </c>
      <c r="H126" s="7">
        <v>41867</v>
      </c>
      <c r="I126" s="6" t="s">
        <v>49</v>
      </c>
      <c r="J126" s="6" t="s">
        <v>306</v>
      </c>
      <c r="K126" s="6" t="s">
        <v>51</v>
      </c>
      <c r="L126" s="6" t="s">
        <v>52</v>
      </c>
      <c r="M126" s="6" t="s">
        <v>53</v>
      </c>
      <c r="N126" s="6">
        <v>3.67</v>
      </c>
      <c r="O126" s="6">
        <v>84</v>
      </c>
    </row>
    <row r="127" spans="1:15" ht="14.25" customHeight="1" x14ac:dyDescent="0.3">
      <c r="A127" s="6" t="s">
        <v>307</v>
      </c>
      <c r="B127" s="6">
        <v>58</v>
      </c>
      <c r="C127" s="6" t="s">
        <v>16</v>
      </c>
      <c r="D127" s="6" t="s">
        <v>55</v>
      </c>
      <c r="E127" s="6" t="s">
        <v>18</v>
      </c>
      <c r="F127" s="6">
        <v>1126</v>
      </c>
      <c r="G127" s="6">
        <v>102781.5</v>
      </c>
      <c r="H127" s="7">
        <v>37649</v>
      </c>
      <c r="I127" s="6" t="s">
        <v>56</v>
      </c>
      <c r="J127" s="6" t="s">
        <v>308</v>
      </c>
      <c r="K127" s="6" t="s">
        <v>21</v>
      </c>
      <c r="L127" s="6" t="s">
        <v>22</v>
      </c>
      <c r="M127" s="6" t="s">
        <v>23</v>
      </c>
      <c r="N127" s="6">
        <v>2.34</v>
      </c>
      <c r="O127" s="6">
        <v>119</v>
      </c>
    </row>
    <row r="128" spans="1:15" ht="14.25" customHeight="1" x14ac:dyDescent="0.3">
      <c r="A128" s="6" t="s">
        <v>309</v>
      </c>
      <c r="B128" s="6">
        <v>32</v>
      </c>
      <c r="C128" s="6" t="s">
        <v>62</v>
      </c>
      <c r="D128" s="6" t="s">
        <v>55</v>
      </c>
      <c r="E128" s="6" t="s">
        <v>48</v>
      </c>
      <c r="F128" s="6">
        <v>1127</v>
      </c>
      <c r="G128" s="6">
        <v>95566.29</v>
      </c>
      <c r="H128" s="7">
        <v>40907</v>
      </c>
      <c r="I128" s="6" t="s">
        <v>63</v>
      </c>
      <c r="J128" s="6" t="s">
        <v>310</v>
      </c>
      <c r="K128" s="6" t="s">
        <v>30</v>
      </c>
      <c r="L128" s="6" t="s">
        <v>31</v>
      </c>
      <c r="M128" s="6" t="s">
        <v>32</v>
      </c>
      <c r="N128" s="6">
        <v>3.75</v>
      </c>
      <c r="O128" s="6">
        <v>31</v>
      </c>
    </row>
    <row r="129" spans="1:15" ht="14.25" customHeight="1" x14ac:dyDescent="0.3">
      <c r="A129" s="6" t="s">
        <v>311</v>
      </c>
      <c r="B129" s="6">
        <v>44</v>
      </c>
      <c r="C129" s="6" t="s">
        <v>25</v>
      </c>
      <c r="D129" s="6" t="s">
        <v>69</v>
      </c>
      <c r="E129" s="6" t="s">
        <v>18</v>
      </c>
      <c r="F129" s="6">
        <v>1128</v>
      </c>
      <c r="G129" s="6">
        <v>130536.23</v>
      </c>
      <c r="H129" s="7">
        <v>38827</v>
      </c>
      <c r="I129" s="6" t="s">
        <v>66</v>
      </c>
      <c r="J129" s="6" t="s">
        <v>312</v>
      </c>
      <c r="K129" s="6" t="s">
        <v>37</v>
      </c>
      <c r="L129" s="6" t="s">
        <v>38</v>
      </c>
      <c r="M129" s="6" t="s">
        <v>39</v>
      </c>
      <c r="N129" s="6">
        <v>1.6</v>
      </c>
      <c r="O129" s="6">
        <v>116</v>
      </c>
    </row>
    <row r="130" spans="1:15" ht="14.25" customHeight="1" x14ac:dyDescent="0.3">
      <c r="A130" s="6" t="s">
        <v>313</v>
      </c>
      <c r="B130" s="6">
        <v>62</v>
      </c>
      <c r="C130" s="6" t="s">
        <v>25</v>
      </c>
      <c r="D130" s="6" t="s">
        <v>69</v>
      </c>
      <c r="E130" s="6" t="s">
        <v>80</v>
      </c>
      <c r="F130" s="6">
        <v>1129</v>
      </c>
      <c r="G130" s="6">
        <v>142573.92000000001</v>
      </c>
      <c r="H130" s="7">
        <v>42948</v>
      </c>
      <c r="I130" s="6" t="s">
        <v>70</v>
      </c>
      <c r="J130" s="6" t="s">
        <v>314</v>
      </c>
      <c r="K130" s="6" t="s">
        <v>43</v>
      </c>
      <c r="L130" s="6" t="s">
        <v>44</v>
      </c>
      <c r="M130" s="6" t="s">
        <v>45</v>
      </c>
      <c r="N130" s="6">
        <v>1.79</v>
      </c>
      <c r="O130" s="6">
        <v>66</v>
      </c>
    </row>
    <row r="131" spans="1:15" ht="14.25" customHeight="1" x14ac:dyDescent="0.3">
      <c r="A131" s="6" t="s">
        <v>315</v>
      </c>
      <c r="B131" s="6">
        <v>33</v>
      </c>
      <c r="C131" s="6" t="s">
        <v>25</v>
      </c>
      <c r="D131" s="6" t="s">
        <v>17</v>
      </c>
      <c r="E131" s="6" t="s">
        <v>80</v>
      </c>
      <c r="F131" s="6">
        <v>1130</v>
      </c>
      <c r="G131" s="6">
        <v>51482.720000000001</v>
      </c>
      <c r="H131" s="7">
        <v>38288</v>
      </c>
      <c r="I131" s="6" t="s">
        <v>73</v>
      </c>
      <c r="J131" s="6" t="s">
        <v>316</v>
      </c>
      <c r="K131" s="6" t="s">
        <v>51</v>
      </c>
      <c r="L131" s="6" t="s">
        <v>52</v>
      </c>
      <c r="M131" s="6" t="s">
        <v>53</v>
      </c>
      <c r="N131" s="6">
        <v>1.82</v>
      </c>
      <c r="O131" s="6">
        <v>99</v>
      </c>
    </row>
    <row r="132" spans="1:15" ht="14.25" customHeight="1" x14ac:dyDescent="0.3">
      <c r="A132" s="6" t="s">
        <v>317</v>
      </c>
      <c r="B132" s="6">
        <v>24</v>
      </c>
      <c r="C132" s="6" t="s">
        <v>62</v>
      </c>
      <c r="D132" s="6" t="s">
        <v>69</v>
      </c>
      <c r="E132" s="6" t="s">
        <v>80</v>
      </c>
      <c r="F132" s="6">
        <v>1131</v>
      </c>
      <c r="G132" s="6">
        <v>154557.16</v>
      </c>
      <c r="H132" s="7">
        <v>39048</v>
      </c>
      <c r="I132" s="6" t="s">
        <v>19</v>
      </c>
      <c r="J132" s="6" t="s">
        <v>318</v>
      </c>
      <c r="K132" s="6" t="s">
        <v>21</v>
      </c>
      <c r="L132" s="6" t="s">
        <v>22</v>
      </c>
      <c r="M132" s="6" t="s">
        <v>23</v>
      </c>
      <c r="N132" s="6">
        <v>3.11</v>
      </c>
      <c r="O132" s="6">
        <v>198</v>
      </c>
    </row>
    <row r="133" spans="1:15" ht="14.25" customHeight="1" x14ac:dyDescent="0.3">
      <c r="A133" s="6" t="s">
        <v>319</v>
      </c>
      <c r="B133" s="6">
        <v>38</v>
      </c>
      <c r="C133" s="6" t="s">
        <v>25</v>
      </c>
      <c r="D133" s="6" t="s">
        <v>26</v>
      </c>
      <c r="E133" s="6" t="s">
        <v>34</v>
      </c>
      <c r="F133" s="6">
        <v>1132</v>
      </c>
      <c r="G133" s="6">
        <v>154261.34</v>
      </c>
      <c r="H133" s="7">
        <v>41253</v>
      </c>
      <c r="I133" s="6" t="s">
        <v>28</v>
      </c>
      <c r="J133" s="6" t="s">
        <v>320</v>
      </c>
      <c r="K133" s="6" t="s">
        <v>30</v>
      </c>
      <c r="L133" s="6" t="s">
        <v>31</v>
      </c>
      <c r="M133" s="6" t="s">
        <v>32</v>
      </c>
      <c r="N133" s="6">
        <v>2.52</v>
      </c>
      <c r="O133" s="6">
        <v>197</v>
      </c>
    </row>
    <row r="134" spans="1:15" ht="14.25" customHeight="1" x14ac:dyDescent="0.3">
      <c r="A134" s="6" t="s">
        <v>321</v>
      </c>
      <c r="B134" s="6">
        <v>54</v>
      </c>
      <c r="C134" s="6" t="s">
        <v>16</v>
      </c>
      <c r="D134" s="6" t="s">
        <v>17</v>
      </c>
      <c r="E134" s="6" t="s">
        <v>34</v>
      </c>
      <c r="F134" s="6">
        <v>1133</v>
      </c>
      <c r="G134" s="6">
        <v>116150.2</v>
      </c>
      <c r="H134" s="7">
        <v>37665</v>
      </c>
      <c r="I134" s="6" t="s">
        <v>35</v>
      </c>
      <c r="J134" s="6" t="s">
        <v>322</v>
      </c>
      <c r="K134" s="6" t="s">
        <v>37</v>
      </c>
      <c r="L134" s="6" t="s">
        <v>38</v>
      </c>
      <c r="M134" s="6" t="s">
        <v>39</v>
      </c>
      <c r="N134" s="6">
        <v>3.68</v>
      </c>
      <c r="O134" s="6">
        <v>35</v>
      </c>
    </row>
    <row r="135" spans="1:15" ht="14.25" customHeight="1" x14ac:dyDescent="0.3">
      <c r="A135" s="6" t="s">
        <v>323</v>
      </c>
      <c r="B135" s="6">
        <v>22</v>
      </c>
      <c r="C135" s="6" t="s">
        <v>62</v>
      </c>
      <c r="D135" s="6" t="s">
        <v>69</v>
      </c>
      <c r="E135" s="6" t="s">
        <v>80</v>
      </c>
      <c r="F135" s="6">
        <v>1134</v>
      </c>
      <c r="G135" s="6">
        <v>137115.62</v>
      </c>
      <c r="H135" s="7">
        <v>43734</v>
      </c>
      <c r="I135" s="6" t="s">
        <v>41</v>
      </c>
      <c r="J135" s="6" t="s">
        <v>324</v>
      </c>
      <c r="K135" s="6" t="s">
        <v>43</v>
      </c>
      <c r="L135" s="6" t="s">
        <v>44</v>
      </c>
      <c r="M135" s="6" t="s">
        <v>45</v>
      </c>
      <c r="N135" s="6">
        <v>3.38</v>
      </c>
      <c r="O135" s="6">
        <v>55</v>
      </c>
    </row>
    <row r="136" spans="1:15" ht="14.25" customHeight="1" x14ac:dyDescent="0.3">
      <c r="A136" s="6" t="s">
        <v>325</v>
      </c>
      <c r="B136" s="6">
        <v>60</v>
      </c>
      <c r="C136" s="6" t="s">
        <v>25</v>
      </c>
      <c r="D136" s="6" t="s">
        <v>47</v>
      </c>
      <c r="E136" s="6" t="s">
        <v>34</v>
      </c>
      <c r="F136" s="6">
        <v>1135</v>
      </c>
      <c r="G136" s="6">
        <v>125582.69</v>
      </c>
      <c r="H136" s="7">
        <v>36809</v>
      </c>
      <c r="I136" s="6" t="s">
        <v>49</v>
      </c>
      <c r="J136" s="6" t="s">
        <v>326</v>
      </c>
      <c r="K136" s="6" t="s">
        <v>51</v>
      </c>
      <c r="L136" s="6" t="s">
        <v>52</v>
      </c>
      <c r="M136" s="6" t="s">
        <v>53</v>
      </c>
      <c r="N136" s="6">
        <v>1.17</v>
      </c>
      <c r="O136" s="6">
        <v>91</v>
      </c>
    </row>
    <row r="137" spans="1:15" ht="14.25" customHeight="1" x14ac:dyDescent="0.3">
      <c r="A137" s="6" t="s">
        <v>327</v>
      </c>
      <c r="B137" s="6">
        <v>41</v>
      </c>
      <c r="C137" s="6" t="s">
        <v>16</v>
      </c>
      <c r="D137" s="6" t="s">
        <v>26</v>
      </c>
      <c r="E137" s="6" t="s">
        <v>34</v>
      </c>
      <c r="F137" s="6">
        <v>1136</v>
      </c>
      <c r="G137" s="6">
        <v>52229.94</v>
      </c>
      <c r="H137" s="7">
        <v>41248</v>
      </c>
      <c r="I137" s="6" t="s">
        <v>56</v>
      </c>
      <c r="J137" s="6" t="s">
        <v>328</v>
      </c>
      <c r="K137" s="6" t="s">
        <v>21</v>
      </c>
      <c r="L137" s="6" t="s">
        <v>22</v>
      </c>
      <c r="M137" s="6" t="s">
        <v>23</v>
      </c>
      <c r="N137" s="6">
        <v>4.41</v>
      </c>
      <c r="O137" s="6">
        <v>178</v>
      </c>
    </row>
    <row r="138" spans="1:15" ht="14.25" customHeight="1" x14ac:dyDescent="0.3">
      <c r="A138" s="6" t="s">
        <v>329</v>
      </c>
      <c r="B138" s="6">
        <v>64</v>
      </c>
      <c r="C138" s="6" t="s">
        <v>16</v>
      </c>
      <c r="D138" s="6" t="s">
        <v>55</v>
      </c>
      <c r="E138" s="6" t="s">
        <v>18</v>
      </c>
      <c r="F138" s="6">
        <v>1137</v>
      </c>
      <c r="G138" s="6">
        <v>67393.98</v>
      </c>
      <c r="H138" s="7">
        <v>41720</v>
      </c>
      <c r="I138" s="6" t="s">
        <v>63</v>
      </c>
      <c r="J138" s="6" t="s">
        <v>330</v>
      </c>
      <c r="K138" s="6" t="s">
        <v>30</v>
      </c>
      <c r="L138" s="6" t="s">
        <v>31</v>
      </c>
      <c r="M138" s="6" t="s">
        <v>32</v>
      </c>
      <c r="N138" s="6">
        <v>4.4400000000000004</v>
      </c>
      <c r="O138" s="6">
        <v>24</v>
      </c>
    </row>
    <row r="139" spans="1:15" ht="14.25" customHeight="1" x14ac:dyDescent="0.3">
      <c r="A139" s="6" t="s">
        <v>331</v>
      </c>
      <c r="B139" s="6">
        <v>62</v>
      </c>
      <c r="C139" s="6" t="s">
        <v>62</v>
      </c>
      <c r="D139" s="6" t="s">
        <v>26</v>
      </c>
      <c r="E139" s="6" t="s">
        <v>27</v>
      </c>
      <c r="F139" s="6">
        <v>1138</v>
      </c>
      <c r="G139" s="6">
        <v>141807.04999999999</v>
      </c>
      <c r="H139" s="7">
        <v>42063</v>
      </c>
      <c r="I139" s="6" t="s">
        <v>66</v>
      </c>
      <c r="J139" s="6" t="s">
        <v>332</v>
      </c>
      <c r="K139" s="6" t="s">
        <v>37</v>
      </c>
      <c r="L139" s="6" t="s">
        <v>38</v>
      </c>
      <c r="M139" s="6" t="s">
        <v>39</v>
      </c>
      <c r="N139" s="6">
        <v>4.25</v>
      </c>
      <c r="O139" s="6">
        <v>104</v>
      </c>
    </row>
    <row r="140" spans="1:15" ht="14.25" customHeight="1" x14ac:dyDescent="0.3">
      <c r="A140" s="6" t="s">
        <v>333</v>
      </c>
      <c r="B140" s="6">
        <v>35</v>
      </c>
      <c r="C140" s="6" t="s">
        <v>25</v>
      </c>
      <c r="D140" s="6" t="s">
        <v>26</v>
      </c>
      <c r="E140" s="6" t="s">
        <v>80</v>
      </c>
      <c r="F140" s="6">
        <v>1139</v>
      </c>
      <c r="G140" s="6">
        <v>92140.25</v>
      </c>
      <c r="H140" s="7">
        <v>42243</v>
      </c>
      <c r="I140" s="6" t="s">
        <v>70</v>
      </c>
      <c r="J140" s="6" t="s">
        <v>334</v>
      </c>
      <c r="K140" s="6" t="s">
        <v>43</v>
      </c>
      <c r="L140" s="6" t="s">
        <v>44</v>
      </c>
      <c r="M140" s="6" t="s">
        <v>45</v>
      </c>
      <c r="N140" s="6">
        <v>4.3600000000000003</v>
      </c>
      <c r="O140" s="6">
        <v>134</v>
      </c>
    </row>
    <row r="141" spans="1:15" ht="14.25" customHeight="1" x14ac:dyDescent="0.3">
      <c r="A141" s="6" t="s">
        <v>335</v>
      </c>
      <c r="B141" s="6">
        <v>52</v>
      </c>
      <c r="C141" s="6" t="s">
        <v>16</v>
      </c>
      <c r="D141" s="6" t="s">
        <v>26</v>
      </c>
      <c r="E141" s="6" t="s">
        <v>48</v>
      </c>
      <c r="F141" s="6">
        <v>1140</v>
      </c>
      <c r="G141" s="6">
        <v>53356.22</v>
      </c>
      <c r="H141" s="7">
        <v>39398</v>
      </c>
      <c r="I141" s="6" t="s">
        <v>73</v>
      </c>
      <c r="J141" s="6" t="s">
        <v>336</v>
      </c>
      <c r="K141" s="6" t="s">
        <v>51</v>
      </c>
      <c r="L141" s="6" t="s">
        <v>52</v>
      </c>
      <c r="M141" s="6" t="s">
        <v>53</v>
      </c>
      <c r="N141" s="6">
        <v>1.1200000000000001</v>
      </c>
      <c r="O141" s="6">
        <v>31</v>
      </c>
    </row>
    <row r="142" spans="1:15" ht="14.25" customHeight="1" x14ac:dyDescent="0.3">
      <c r="A142" s="6" t="s">
        <v>337</v>
      </c>
      <c r="B142" s="6">
        <v>46</v>
      </c>
      <c r="C142" s="6" t="s">
        <v>25</v>
      </c>
      <c r="D142" s="6" t="s">
        <v>47</v>
      </c>
      <c r="E142" s="6" t="s">
        <v>27</v>
      </c>
      <c r="F142" s="6">
        <v>1141</v>
      </c>
      <c r="G142" s="6">
        <v>183419.13</v>
      </c>
      <c r="H142" s="7">
        <v>42008</v>
      </c>
      <c r="I142" s="6" t="s">
        <v>19</v>
      </c>
      <c r="J142" s="6" t="s">
        <v>338</v>
      </c>
      <c r="K142" s="6" t="s">
        <v>21</v>
      </c>
      <c r="L142" s="6" t="s">
        <v>22</v>
      </c>
      <c r="M142" s="6" t="s">
        <v>23</v>
      </c>
      <c r="N142" s="6">
        <v>4.09</v>
      </c>
      <c r="O142" s="6">
        <v>153</v>
      </c>
    </row>
    <row r="143" spans="1:15" ht="14.25" customHeight="1" x14ac:dyDescent="0.3">
      <c r="A143" s="6" t="s">
        <v>339</v>
      </c>
      <c r="B143" s="6">
        <v>24</v>
      </c>
      <c r="C143" s="6" t="s">
        <v>16</v>
      </c>
      <c r="D143" s="6" t="s">
        <v>26</v>
      </c>
      <c r="E143" s="6" t="s">
        <v>27</v>
      </c>
      <c r="F143" s="6">
        <v>1142</v>
      </c>
      <c r="G143" s="6">
        <v>187395.08</v>
      </c>
      <c r="H143" s="7">
        <v>43429</v>
      </c>
      <c r="I143" s="6" t="s">
        <v>28</v>
      </c>
      <c r="J143" s="6" t="s">
        <v>340</v>
      </c>
      <c r="K143" s="6" t="s">
        <v>30</v>
      </c>
      <c r="L143" s="6" t="s">
        <v>31</v>
      </c>
      <c r="M143" s="6" t="s">
        <v>32</v>
      </c>
      <c r="N143" s="6">
        <v>2.54</v>
      </c>
      <c r="O143" s="6">
        <v>34</v>
      </c>
    </row>
    <row r="144" spans="1:15" ht="14.25" customHeight="1" x14ac:dyDescent="0.3">
      <c r="A144" s="6" t="s">
        <v>341</v>
      </c>
      <c r="B144" s="6">
        <v>25</v>
      </c>
      <c r="C144" s="6" t="s">
        <v>16</v>
      </c>
      <c r="D144" s="6" t="s">
        <v>47</v>
      </c>
      <c r="E144" s="6" t="s">
        <v>18</v>
      </c>
      <c r="F144" s="6">
        <v>1143</v>
      </c>
      <c r="G144" s="6">
        <v>136605.31</v>
      </c>
      <c r="H144" s="7">
        <v>38368</v>
      </c>
      <c r="I144" s="6" t="s">
        <v>35</v>
      </c>
      <c r="J144" s="6" t="s">
        <v>342</v>
      </c>
      <c r="K144" s="6" t="s">
        <v>37</v>
      </c>
      <c r="L144" s="6" t="s">
        <v>38</v>
      </c>
      <c r="M144" s="6" t="s">
        <v>39</v>
      </c>
      <c r="N144" s="6">
        <v>1.44</v>
      </c>
      <c r="O144" s="6">
        <v>157</v>
      </c>
    </row>
    <row r="145" spans="1:15" ht="14.25" customHeight="1" x14ac:dyDescent="0.3">
      <c r="A145" s="6" t="s">
        <v>343</v>
      </c>
      <c r="B145" s="6">
        <v>52</v>
      </c>
      <c r="C145" s="6" t="s">
        <v>62</v>
      </c>
      <c r="D145" s="6" t="s">
        <v>47</v>
      </c>
      <c r="E145" s="6" t="s">
        <v>80</v>
      </c>
      <c r="F145" s="6">
        <v>1144</v>
      </c>
      <c r="G145" s="6">
        <v>119278.22</v>
      </c>
      <c r="H145" s="7">
        <v>40848</v>
      </c>
      <c r="I145" s="6" t="s">
        <v>41</v>
      </c>
      <c r="J145" s="6" t="s">
        <v>344</v>
      </c>
      <c r="K145" s="6" t="s">
        <v>43</v>
      </c>
      <c r="L145" s="6" t="s">
        <v>44</v>
      </c>
      <c r="M145" s="6" t="s">
        <v>45</v>
      </c>
      <c r="N145" s="6">
        <v>5</v>
      </c>
      <c r="O145" s="6">
        <v>9</v>
      </c>
    </row>
    <row r="146" spans="1:15" ht="14.25" customHeight="1" x14ac:dyDescent="0.3">
      <c r="A146" s="6" t="s">
        <v>345</v>
      </c>
      <c r="B146" s="6">
        <v>56</v>
      </c>
      <c r="C146" s="6" t="s">
        <v>25</v>
      </c>
      <c r="D146" s="6" t="s">
        <v>69</v>
      </c>
      <c r="E146" s="6" t="s">
        <v>48</v>
      </c>
      <c r="F146" s="6">
        <v>1145</v>
      </c>
      <c r="G146" s="6">
        <v>71070.22</v>
      </c>
      <c r="H146" s="7">
        <v>42693</v>
      </c>
      <c r="I146" s="6" t="s">
        <v>49</v>
      </c>
      <c r="J146" s="6" t="s">
        <v>346</v>
      </c>
      <c r="K146" s="6" t="s">
        <v>51</v>
      </c>
      <c r="L146" s="6" t="s">
        <v>52</v>
      </c>
      <c r="M146" s="6" t="s">
        <v>53</v>
      </c>
      <c r="N146" s="6">
        <v>3.63</v>
      </c>
      <c r="O146" s="6">
        <v>116</v>
      </c>
    </row>
    <row r="147" spans="1:15" ht="14.25" customHeight="1" x14ac:dyDescent="0.3">
      <c r="A147" s="6" t="s">
        <v>347</v>
      </c>
      <c r="B147" s="6">
        <v>35</v>
      </c>
      <c r="C147" s="6" t="s">
        <v>16</v>
      </c>
      <c r="D147" s="6" t="s">
        <v>47</v>
      </c>
      <c r="E147" s="6" t="s">
        <v>48</v>
      </c>
      <c r="F147" s="6">
        <v>1146</v>
      </c>
      <c r="G147" s="6">
        <v>189565.49</v>
      </c>
      <c r="H147" s="7">
        <v>38281</v>
      </c>
      <c r="I147" s="6" t="s">
        <v>56</v>
      </c>
      <c r="J147" s="6" t="s">
        <v>348</v>
      </c>
      <c r="K147" s="6" t="s">
        <v>21</v>
      </c>
      <c r="L147" s="6" t="s">
        <v>22</v>
      </c>
      <c r="M147" s="6" t="s">
        <v>23</v>
      </c>
      <c r="N147" s="6">
        <v>4.26</v>
      </c>
      <c r="O147" s="6">
        <v>188</v>
      </c>
    </row>
    <row r="148" spans="1:15" ht="14.25" customHeight="1" x14ac:dyDescent="0.3">
      <c r="A148" s="6" t="s">
        <v>349</v>
      </c>
      <c r="B148" s="6">
        <v>62</v>
      </c>
      <c r="C148" s="6" t="s">
        <v>25</v>
      </c>
      <c r="D148" s="6" t="s">
        <v>47</v>
      </c>
      <c r="E148" s="6" t="s">
        <v>18</v>
      </c>
      <c r="F148" s="6">
        <v>1147</v>
      </c>
      <c r="G148" s="6">
        <v>153919.70000000001</v>
      </c>
      <c r="H148" s="7">
        <v>43285</v>
      </c>
      <c r="I148" s="6" t="s">
        <v>63</v>
      </c>
      <c r="J148" s="6" t="s">
        <v>350</v>
      </c>
      <c r="K148" s="6" t="s">
        <v>30</v>
      </c>
      <c r="L148" s="6" t="s">
        <v>31</v>
      </c>
      <c r="M148" s="6" t="s">
        <v>32</v>
      </c>
      <c r="N148" s="6">
        <v>1.67</v>
      </c>
      <c r="O148" s="6">
        <v>97</v>
      </c>
    </row>
    <row r="149" spans="1:15" ht="14.25" customHeight="1" x14ac:dyDescent="0.3">
      <c r="A149" s="6" t="s">
        <v>351</v>
      </c>
      <c r="B149" s="6">
        <v>30</v>
      </c>
      <c r="C149" s="6" t="s">
        <v>25</v>
      </c>
      <c r="D149" s="6" t="s">
        <v>17</v>
      </c>
      <c r="E149" s="6" t="s">
        <v>27</v>
      </c>
      <c r="F149" s="6">
        <v>1148</v>
      </c>
      <c r="G149" s="6">
        <v>106734.88</v>
      </c>
      <c r="H149" s="7">
        <v>38381</v>
      </c>
      <c r="I149" s="6" t="s">
        <v>66</v>
      </c>
      <c r="J149" s="6" t="s">
        <v>352</v>
      </c>
      <c r="K149" s="6" t="s">
        <v>37</v>
      </c>
      <c r="L149" s="6" t="s">
        <v>38</v>
      </c>
      <c r="M149" s="6" t="s">
        <v>39</v>
      </c>
      <c r="N149" s="6">
        <v>2</v>
      </c>
      <c r="O149" s="6">
        <v>111</v>
      </c>
    </row>
    <row r="150" spans="1:15" ht="14.25" customHeight="1" x14ac:dyDescent="0.3">
      <c r="A150" s="6" t="s">
        <v>353</v>
      </c>
      <c r="B150" s="6">
        <v>41</v>
      </c>
      <c r="C150" s="6" t="s">
        <v>25</v>
      </c>
      <c r="D150" s="6" t="s">
        <v>47</v>
      </c>
      <c r="E150" s="6" t="s">
        <v>18</v>
      </c>
      <c r="F150" s="6">
        <v>1149</v>
      </c>
      <c r="G150" s="6">
        <v>88353.35</v>
      </c>
      <c r="H150" s="7">
        <v>44467</v>
      </c>
      <c r="I150" s="6" t="s">
        <v>70</v>
      </c>
      <c r="J150" s="6" t="s">
        <v>354</v>
      </c>
      <c r="K150" s="6" t="s">
        <v>43</v>
      </c>
      <c r="L150" s="6" t="s">
        <v>44</v>
      </c>
      <c r="M150" s="6" t="s">
        <v>45</v>
      </c>
      <c r="N150" s="6">
        <v>2.63</v>
      </c>
      <c r="O150" s="6">
        <v>90</v>
      </c>
    </row>
    <row r="151" spans="1:15" ht="14.25" customHeight="1" x14ac:dyDescent="0.3">
      <c r="A151" s="6" t="s">
        <v>355</v>
      </c>
      <c r="B151" s="6">
        <v>53</v>
      </c>
      <c r="C151" s="6" t="s">
        <v>62</v>
      </c>
      <c r="D151" s="6" t="s">
        <v>26</v>
      </c>
      <c r="E151" s="6" t="s">
        <v>48</v>
      </c>
      <c r="F151" s="6">
        <v>1150</v>
      </c>
      <c r="G151" s="6">
        <v>106234.64</v>
      </c>
      <c r="H151" s="7">
        <v>37989</v>
      </c>
      <c r="I151" s="6" t="s">
        <v>73</v>
      </c>
      <c r="J151" s="6" t="s">
        <v>356</v>
      </c>
      <c r="K151" s="6" t="s">
        <v>51</v>
      </c>
      <c r="L151" s="6" t="s">
        <v>52</v>
      </c>
      <c r="M151" s="6" t="s">
        <v>53</v>
      </c>
      <c r="N151" s="6">
        <v>3.01</v>
      </c>
      <c r="O151" s="6">
        <v>137</v>
      </c>
    </row>
    <row r="152" spans="1:15" ht="14.25" customHeight="1" x14ac:dyDescent="0.3">
      <c r="A152" s="6" t="s">
        <v>357</v>
      </c>
      <c r="B152" s="6">
        <v>30</v>
      </c>
      <c r="C152" s="6" t="s">
        <v>16</v>
      </c>
      <c r="D152" s="6" t="s">
        <v>55</v>
      </c>
      <c r="E152" s="6" t="s">
        <v>27</v>
      </c>
      <c r="F152" s="6">
        <v>1151</v>
      </c>
      <c r="G152" s="6">
        <v>188957.26</v>
      </c>
      <c r="H152" s="7">
        <v>38219</v>
      </c>
      <c r="I152" s="6" t="s">
        <v>19</v>
      </c>
      <c r="J152" s="6" t="s">
        <v>358</v>
      </c>
      <c r="K152" s="6" t="s">
        <v>21</v>
      </c>
      <c r="L152" s="6" t="s">
        <v>22</v>
      </c>
      <c r="M152" s="6" t="s">
        <v>23</v>
      </c>
      <c r="N152" s="6">
        <v>2.76</v>
      </c>
      <c r="O152" s="6">
        <v>10</v>
      </c>
    </row>
    <row r="153" spans="1:15" ht="14.25" customHeight="1" x14ac:dyDescent="0.3">
      <c r="A153" s="6" t="s">
        <v>359</v>
      </c>
      <c r="B153" s="6">
        <v>48</v>
      </c>
      <c r="C153" s="6" t="s">
        <v>25</v>
      </c>
      <c r="D153" s="6" t="s">
        <v>47</v>
      </c>
      <c r="E153" s="6" t="s">
        <v>27</v>
      </c>
      <c r="F153" s="6">
        <v>1152</v>
      </c>
      <c r="G153" s="6">
        <v>82479.19</v>
      </c>
      <c r="H153" s="7">
        <v>39466</v>
      </c>
      <c r="I153" s="6" t="s">
        <v>28</v>
      </c>
      <c r="J153" s="6" t="s">
        <v>360</v>
      </c>
      <c r="K153" s="6" t="s">
        <v>30</v>
      </c>
      <c r="L153" s="6" t="s">
        <v>31</v>
      </c>
      <c r="M153" s="6" t="s">
        <v>32</v>
      </c>
      <c r="N153" s="6">
        <v>2.0499999999999998</v>
      </c>
      <c r="O153" s="6">
        <v>27</v>
      </c>
    </row>
    <row r="154" spans="1:15" ht="14.25" customHeight="1" x14ac:dyDescent="0.3">
      <c r="A154" s="6" t="s">
        <v>361</v>
      </c>
      <c r="B154" s="6">
        <v>24</v>
      </c>
      <c r="C154" s="6" t="s">
        <v>62</v>
      </c>
      <c r="D154" s="6" t="s">
        <v>47</v>
      </c>
      <c r="E154" s="6" t="s">
        <v>18</v>
      </c>
      <c r="F154" s="6">
        <v>1153</v>
      </c>
      <c r="G154" s="6">
        <v>83730.61</v>
      </c>
      <c r="H154" s="7">
        <v>42895</v>
      </c>
      <c r="I154" s="6" t="s">
        <v>35</v>
      </c>
      <c r="J154" s="6" t="s">
        <v>362</v>
      </c>
      <c r="K154" s="6" t="s">
        <v>37</v>
      </c>
      <c r="L154" s="6" t="s">
        <v>38</v>
      </c>
      <c r="M154" s="6" t="s">
        <v>39</v>
      </c>
      <c r="N154" s="6">
        <v>1.04</v>
      </c>
      <c r="O154" s="6">
        <v>199</v>
      </c>
    </row>
    <row r="155" spans="1:15" ht="14.25" customHeight="1" x14ac:dyDescent="0.3">
      <c r="A155" s="6" t="s">
        <v>363</v>
      </c>
      <c r="B155" s="6">
        <v>25</v>
      </c>
      <c r="C155" s="6" t="s">
        <v>25</v>
      </c>
      <c r="D155" s="6" t="s">
        <v>69</v>
      </c>
      <c r="E155" s="6" t="s">
        <v>80</v>
      </c>
      <c r="F155" s="6">
        <v>1154</v>
      </c>
      <c r="G155" s="6">
        <v>112813.36</v>
      </c>
      <c r="H155" s="7">
        <v>42173</v>
      </c>
      <c r="I155" s="6" t="s">
        <v>41</v>
      </c>
      <c r="J155" s="6" t="s">
        <v>364</v>
      </c>
      <c r="K155" s="6" t="s">
        <v>43</v>
      </c>
      <c r="L155" s="6" t="s">
        <v>44</v>
      </c>
      <c r="M155" s="6" t="s">
        <v>45</v>
      </c>
      <c r="N155" s="6">
        <v>1.1599999999999999</v>
      </c>
      <c r="O155" s="6">
        <v>109</v>
      </c>
    </row>
    <row r="156" spans="1:15" ht="14.25" customHeight="1" x14ac:dyDescent="0.3">
      <c r="A156" s="6" t="s">
        <v>365</v>
      </c>
      <c r="B156" s="6">
        <v>36</v>
      </c>
      <c r="C156" s="6" t="s">
        <v>62</v>
      </c>
      <c r="D156" s="6" t="s">
        <v>69</v>
      </c>
      <c r="E156" s="6" t="s">
        <v>34</v>
      </c>
      <c r="F156" s="6">
        <v>1155</v>
      </c>
      <c r="G156" s="6">
        <v>106580.85</v>
      </c>
      <c r="H156" s="7">
        <v>38675</v>
      </c>
      <c r="I156" s="6" t="s">
        <v>49</v>
      </c>
      <c r="J156" s="6" t="s">
        <v>366</v>
      </c>
      <c r="K156" s="6" t="s">
        <v>51</v>
      </c>
      <c r="L156" s="6" t="s">
        <v>52</v>
      </c>
      <c r="M156" s="6" t="s">
        <v>53</v>
      </c>
      <c r="N156" s="6">
        <v>3.65</v>
      </c>
      <c r="O156" s="6">
        <v>119</v>
      </c>
    </row>
    <row r="157" spans="1:15" ht="14.25" customHeight="1" x14ac:dyDescent="0.3">
      <c r="A157" s="6" t="s">
        <v>367</v>
      </c>
      <c r="B157" s="6">
        <v>54</v>
      </c>
      <c r="C157" s="6" t="s">
        <v>25</v>
      </c>
      <c r="D157" s="6" t="s">
        <v>26</v>
      </c>
      <c r="E157" s="6" t="s">
        <v>27</v>
      </c>
      <c r="F157" s="6">
        <v>1156</v>
      </c>
      <c r="G157" s="6">
        <v>116570.12</v>
      </c>
      <c r="H157" s="7">
        <v>39617</v>
      </c>
      <c r="I157" s="6" t="s">
        <v>56</v>
      </c>
      <c r="J157" s="6" t="s">
        <v>368</v>
      </c>
      <c r="K157" s="6" t="s">
        <v>21</v>
      </c>
      <c r="L157" s="6" t="s">
        <v>22</v>
      </c>
      <c r="M157" s="6" t="s">
        <v>23</v>
      </c>
      <c r="N157" s="6">
        <v>3.72</v>
      </c>
      <c r="O157" s="6">
        <v>88</v>
      </c>
    </row>
    <row r="158" spans="1:15" ht="14.25" customHeight="1" x14ac:dyDescent="0.3">
      <c r="A158" s="6" t="s">
        <v>369</v>
      </c>
      <c r="B158" s="6">
        <v>26</v>
      </c>
      <c r="C158" s="6" t="s">
        <v>25</v>
      </c>
      <c r="D158" s="6" t="s">
        <v>17</v>
      </c>
      <c r="E158" s="6" t="s">
        <v>27</v>
      </c>
      <c r="F158" s="6">
        <v>1157</v>
      </c>
      <c r="G158" s="6">
        <v>140480.73000000001</v>
      </c>
      <c r="H158" s="7">
        <v>36593</v>
      </c>
      <c r="I158" s="6" t="s">
        <v>63</v>
      </c>
      <c r="J158" s="6" t="s">
        <v>370</v>
      </c>
      <c r="K158" s="6" t="s">
        <v>30</v>
      </c>
      <c r="L158" s="6" t="s">
        <v>31</v>
      </c>
      <c r="M158" s="6" t="s">
        <v>32</v>
      </c>
      <c r="N158" s="6">
        <v>3.12</v>
      </c>
      <c r="O158" s="6">
        <v>171</v>
      </c>
    </row>
    <row r="159" spans="1:15" ht="14.25" customHeight="1" x14ac:dyDescent="0.3">
      <c r="A159" s="6" t="s">
        <v>371</v>
      </c>
      <c r="B159" s="6">
        <v>25</v>
      </c>
      <c r="C159" s="6" t="s">
        <v>25</v>
      </c>
      <c r="D159" s="6" t="s">
        <v>47</v>
      </c>
      <c r="E159" s="6" t="s">
        <v>34</v>
      </c>
      <c r="F159" s="6">
        <v>1158</v>
      </c>
      <c r="G159" s="6">
        <v>184040.76</v>
      </c>
      <c r="H159" s="7">
        <v>44063</v>
      </c>
      <c r="I159" s="6" t="s">
        <v>66</v>
      </c>
      <c r="J159" s="6" t="s">
        <v>372</v>
      </c>
      <c r="K159" s="6" t="s">
        <v>37</v>
      </c>
      <c r="L159" s="6" t="s">
        <v>38</v>
      </c>
      <c r="M159" s="6" t="s">
        <v>39</v>
      </c>
      <c r="N159" s="6">
        <v>1.63</v>
      </c>
      <c r="O159" s="6">
        <v>160</v>
      </c>
    </row>
    <row r="160" spans="1:15" ht="14.25" customHeight="1" x14ac:dyDescent="0.3">
      <c r="A160" s="6" t="s">
        <v>373</v>
      </c>
      <c r="B160" s="6">
        <v>33</v>
      </c>
      <c r="C160" s="6" t="s">
        <v>62</v>
      </c>
      <c r="D160" s="6" t="s">
        <v>55</v>
      </c>
      <c r="E160" s="6" t="s">
        <v>48</v>
      </c>
      <c r="F160" s="6">
        <v>1159</v>
      </c>
      <c r="G160" s="6">
        <v>190807.87</v>
      </c>
      <c r="H160" s="7">
        <v>43898</v>
      </c>
      <c r="I160" s="6" t="s">
        <v>70</v>
      </c>
      <c r="J160" s="6" t="s">
        <v>374</v>
      </c>
      <c r="K160" s="6" t="s">
        <v>43</v>
      </c>
      <c r="L160" s="6" t="s">
        <v>44</v>
      </c>
      <c r="M160" s="6" t="s">
        <v>45</v>
      </c>
      <c r="N160" s="6">
        <v>2.59</v>
      </c>
      <c r="O160" s="6">
        <v>157</v>
      </c>
    </row>
    <row r="161" spans="1:15" ht="14.25" customHeight="1" x14ac:dyDescent="0.3">
      <c r="A161" s="6" t="s">
        <v>375</v>
      </c>
      <c r="B161" s="6">
        <v>44</v>
      </c>
      <c r="C161" s="6" t="s">
        <v>62</v>
      </c>
      <c r="D161" s="6" t="s">
        <v>47</v>
      </c>
      <c r="E161" s="6" t="s">
        <v>34</v>
      </c>
      <c r="F161" s="6">
        <v>1160</v>
      </c>
      <c r="G161" s="6">
        <v>191072.85</v>
      </c>
      <c r="H161" s="7">
        <v>43773</v>
      </c>
      <c r="I161" s="6" t="s">
        <v>73</v>
      </c>
      <c r="J161" s="6" t="s">
        <v>376</v>
      </c>
      <c r="K161" s="6" t="s">
        <v>51</v>
      </c>
      <c r="L161" s="6" t="s">
        <v>52</v>
      </c>
      <c r="M161" s="6" t="s">
        <v>53</v>
      </c>
      <c r="N161" s="6">
        <v>4.6500000000000004</v>
      </c>
      <c r="O161" s="6">
        <v>69</v>
      </c>
    </row>
    <row r="162" spans="1:15" ht="14.25" customHeight="1" x14ac:dyDescent="0.3">
      <c r="A162" s="6" t="s">
        <v>377</v>
      </c>
      <c r="B162" s="6">
        <v>35</v>
      </c>
      <c r="C162" s="6" t="s">
        <v>16</v>
      </c>
      <c r="D162" s="6" t="s">
        <v>17</v>
      </c>
      <c r="E162" s="6" t="s">
        <v>18</v>
      </c>
      <c r="F162" s="6">
        <v>1161</v>
      </c>
      <c r="G162" s="6">
        <v>50831.66</v>
      </c>
      <c r="H162" s="7">
        <v>39796</v>
      </c>
      <c r="I162" s="6" t="s">
        <v>19</v>
      </c>
      <c r="J162" s="6" t="s">
        <v>378</v>
      </c>
      <c r="K162" s="6" t="s">
        <v>21</v>
      </c>
      <c r="L162" s="6" t="s">
        <v>22</v>
      </c>
      <c r="M162" s="6" t="s">
        <v>23</v>
      </c>
      <c r="N162" s="6">
        <v>3.04</v>
      </c>
      <c r="O162" s="6">
        <v>96</v>
      </c>
    </row>
    <row r="163" spans="1:15" ht="14.25" customHeight="1" x14ac:dyDescent="0.3">
      <c r="A163" s="6" t="s">
        <v>379</v>
      </c>
      <c r="B163" s="6">
        <v>33</v>
      </c>
      <c r="C163" s="6" t="s">
        <v>16</v>
      </c>
      <c r="D163" s="6" t="s">
        <v>17</v>
      </c>
      <c r="E163" s="6" t="s">
        <v>27</v>
      </c>
      <c r="F163" s="6">
        <v>1162</v>
      </c>
      <c r="G163" s="6">
        <v>178449.14</v>
      </c>
      <c r="H163" s="7">
        <v>41340</v>
      </c>
      <c r="I163" s="6" t="s">
        <v>28</v>
      </c>
      <c r="J163" s="6" t="s">
        <v>380</v>
      </c>
      <c r="K163" s="6" t="s">
        <v>30</v>
      </c>
      <c r="L163" s="6" t="s">
        <v>31</v>
      </c>
      <c r="M163" s="6" t="s">
        <v>32</v>
      </c>
      <c r="N163" s="6">
        <v>3.19</v>
      </c>
      <c r="O163" s="6">
        <v>78</v>
      </c>
    </row>
    <row r="164" spans="1:15" ht="14.25" customHeight="1" x14ac:dyDescent="0.3">
      <c r="A164" s="6" t="s">
        <v>381</v>
      </c>
      <c r="B164" s="6">
        <v>38</v>
      </c>
      <c r="C164" s="6" t="s">
        <v>62</v>
      </c>
      <c r="D164" s="6" t="s">
        <v>55</v>
      </c>
      <c r="E164" s="6" t="s">
        <v>27</v>
      </c>
      <c r="F164" s="6">
        <v>1163</v>
      </c>
      <c r="G164" s="6">
        <v>137283.79999999999</v>
      </c>
      <c r="H164" s="7">
        <v>42563</v>
      </c>
      <c r="I164" s="6" t="s">
        <v>35</v>
      </c>
      <c r="J164" s="6" t="s">
        <v>382</v>
      </c>
      <c r="K164" s="6" t="s">
        <v>37</v>
      </c>
      <c r="L164" s="6" t="s">
        <v>38</v>
      </c>
      <c r="M164" s="6" t="s">
        <v>39</v>
      </c>
      <c r="N164" s="6">
        <v>4.71</v>
      </c>
      <c r="O164" s="6">
        <v>153</v>
      </c>
    </row>
    <row r="165" spans="1:15" ht="14.25" customHeight="1" x14ac:dyDescent="0.3">
      <c r="A165" s="6" t="s">
        <v>383</v>
      </c>
      <c r="B165" s="6">
        <v>46</v>
      </c>
      <c r="C165" s="6" t="s">
        <v>16</v>
      </c>
      <c r="D165" s="6" t="s">
        <v>26</v>
      </c>
      <c r="E165" s="6" t="s">
        <v>80</v>
      </c>
      <c r="F165" s="6">
        <v>1164</v>
      </c>
      <c r="G165" s="6">
        <v>110179.37</v>
      </c>
      <c r="H165" s="7">
        <v>40817</v>
      </c>
      <c r="I165" s="6" t="s">
        <v>41</v>
      </c>
      <c r="J165" s="6" t="s">
        <v>384</v>
      </c>
      <c r="K165" s="6" t="s">
        <v>43</v>
      </c>
      <c r="L165" s="6" t="s">
        <v>44</v>
      </c>
      <c r="M165" s="6" t="s">
        <v>45</v>
      </c>
      <c r="N165" s="6">
        <v>4.88</v>
      </c>
      <c r="O165" s="6">
        <v>191</v>
      </c>
    </row>
    <row r="166" spans="1:15" ht="14.25" customHeight="1" x14ac:dyDescent="0.3">
      <c r="A166" s="6" t="s">
        <v>385</v>
      </c>
      <c r="B166" s="6">
        <v>51</v>
      </c>
      <c r="C166" s="6" t="s">
        <v>62</v>
      </c>
      <c r="D166" s="6" t="s">
        <v>47</v>
      </c>
      <c r="E166" s="6" t="s">
        <v>48</v>
      </c>
      <c r="F166" s="6">
        <v>1165</v>
      </c>
      <c r="G166" s="6">
        <v>146244.54999999999</v>
      </c>
      <c r="H166" s="7">
        <v>39521</v>
      </c>
      <c r="I166" s="6" t="s">
        <v>49</v>
      </c>
      <c r="J166" s="6" t="s">
        <v>386</v>
      </c>
      <c r="K166" s="6" t="s">
        <v>51</v>
      </c>
      <c r="L166" s="6" t="s">
        <v>52</v>
      </c>
      <c r="M166" s="6" t="s">
        <v>53</v>
      </c>
      <c r="N166" s="6">
        <v>3.74</v>
      </c>
      <c r="O166" s="6">
        <v>61</v>
      </c>
    </row>
    <row r="167" spans="1:15" ht="14.25" customHeight="1" x14ac:dyDescent="0.3">
      <c r="A167" s="6" t="s">
        <v>387</v>
      </c>
      <c r="B167" s="6">
        <v>43</v>
      </c>
      <c r="C167" s="6" t="s">
        <v>62</v>
      </c>
      <c r="D167" s="6" t="s">
        <v>47</v>
      </c>
      <c r="E167" s="6" t="s">
        <v>18</v>
      </c>
      <c r="F167" s="6">
        <v>1166</v>
      </c>
      <c r="G167" s="6">
        <v>135417.26</v>
      </c>
      <c r="H167" s="7">
        <v>42701</v>
      </c>
      <c r="I167" s="6" t="s">
        <v>56</v>
      </c>
      <c r="J167" s="6" t="s">
        <v>388</v>
      </c>
      <c r="K167" s="6" t="s">
        <v>21</v>
      </c>
      <c r="L167" s="6" t="s">
        <v>22</v>
      </c>
      <c r="M167" s="6" t="s">
        <v>23</v>
      </c>
      <c r="N167" s="6">
        <v>2.85</v>
      </c>
      <c r="O167" s="6">
        <v>97</v>
      </c>
    </row>
    <row r="168" spans="1:15" ht="14.25" customHeight="1" x14ac:dyDescent="0.3">
      <c r="A168" s="6" t="s">
        <v>389</v>
      </c>
      <c r="B168" s="6">
        <v>47</v>
      </c>
      <c r="C168" s="6" t="s">
        <v>62</v>
      </c>
      <c r="D168" s="6" t="s">
        <v>69</v>
      </c>
      <c r="E168" s="6" t="s">
        <v>34</v>
      </c>
      <c r="F168" s="6">
        <v>1167</v>
      </c>
      <c r="G168" s="6">
        <v>80727.91</v>
      </c>
      <c r="H168" s="7">
        <v>41249</v>
      </c>
      <c r="I168" s="6" t="s">
        <v>63</v>
      </c>
      <c r="J168" s="6" t="s">
        <v>390</v>
      </c>
      <c r="K168" s="6" t="s">
        <v>30</v>
      </c>
      <c r="L168" s="6" t="s">
        <v>31</v>
      </c>
      <c r="M168" s="6" t="s">
        <v>32</v>
      </c>
      <c r="N168" s="6">
        <v>2.15</v>
      </c>
      <c r="O168" s="6">
        <v>197</v>
      </c>
    </row>
    <row r="169" spans="1:15" ht="14.25" customHeight="1" x14ac:dyDescent="0.3">
      <c r="A169" s="6" t="s">
        <v>391</v>
      </c>
      <c r="B169" s="6">
        <v>38</v>
      </c>
      <c r="C169" s="6" t="s">
        <v>16</v>
      </c>
      <c r="D169" s="6" t="s">
        <v>26</v>
      </c>
      <c r="E169" s="6" t="s">
        <v>48</v>
      </c>
      <c r="F169" s="6">
        <v>1168</v>
      </c>
      <c r="G169" s="6">
        <v>62707.45</v>
      </c>
      <c r="H169" s="7">
        <v>39973</v>
      </c>
      <c r="I169" s="6" t="s">
        <v>66</v>
      </c>
      <c r="J169" s="6" t="s">
        <v>392</v>
      </c>
      <c r="K169" s="6" t="s">
        <v>37</v>
      </c>
      <c r="L169" s="6" t="s">
        <v>38</v>
      </c>
      <c r="M169" s="6" t="s">
        <v>39</v>
      </c>
      <c r="N169" s="6">
        <v>2.4500000000000002</v>
      </c>
      <c r="O169" s="6">
        <v>155</v>
      </c>
    </row>
    <row r="170" spans="1:15" ht="14.25" customHeight="1" x14ac:dyDescent="0.3">
      <c r="A170" s="6" t="s">
        <v>393</v>
      </c>
      <c r="B170" s="6">
        <v>41</v>
      </c>
      <c r="C170" s="6" t="s">
        <v>25</v>
      </c>
      <c r="D170" s="6" t="s">
        <v>55</v>
      </c>
      <c r="E170" s="6" t="s">
        <v>48</v>
      </c>
      <c r="F170" s="6">
        <v>1169</v>
      </c>
      <c r="G170" s="6">
        <v>78835.399999999994</v>
      </c>
      <c r="H170" s="7">
        <v>40270</v>
      </c>
      <c r="I170" s="6" t="s">
        <v>70</v>
      </c>
      <c r="J170" s="6" t="s">
        <v>394</v>
      </c>
      <c r="K170" s="6" t="s">
        <v>43</v>
      </c>
      <c r="L170" s="6" t="s">
        <v>44</v>
      </c>
      <c r="M170" s="6" t="s">
        <v>45</v>
      </c>
      <c r="N170" s="6">
        <v>2.5099999999999998</v>
      </c>
      <c r="O170" s="6">
        <v>101</v>
      </c>
    </row>
    <row r="171" spans="1:15" ht="14.25" customHeight="1" x14ac:dyDescent="0.3">
      <c r="A171" s="6" t="s">
        <v>395</v>
      </c>
      <c r="B171" s="6">
        <v>55</v>
      </c>
      <c r="C171" s="6" t="s">
        <v>16</v>
      </c>
      <c r="D171" s="6" t="s">
        <v>47</v>
      </c>
      <c r="E171" s="6" t="s">
        <v>18</v>
      </c>
      <c r="F171" s="6">
        <v>1170</v>
      </c>
      <c r="G171" s="6">
        <v>84119.27</v>
      </c>
      <c r="H171" s="7">
        <v>44643</v>
      </c>
      <c r="I171" s="6" t="s">
        <v>73</v>
      </c>
      <c r="J171" s="6" t="s">
        <v>396</v>
      </c>
      <c r="K171" s="6" t="s">
        <v>51</v>
      </c>
      <c r="L171" s="6" t="s">
        <v>52</v>
      </c>
      <c r="M171" s="6" t="s">
        <v>53</v>
      </c>
      <c r="N171" s="6">
        <v>2.42</v>
      </c>
      <c r="O171" s="6">
        <v>54</v>
      </c>
    </row>
    <row r="172" spans="1:15" ht="14.25" customHeight="1" x14ac:dyDescent="0.3">
      <c r="A172" s="6" t="s">
        <v>397</v>
      </c>
      <c r="B172" s="6">
        <v>62</v>
      </c>
      <c r="C172" s="6" t="s">
        <v>25</v>
      </c>
      <c r="D172" s="6" t="s">
        <v>17</v>
      </c>
      <c r="E172" s="6" t="s">
        <v>80</v>
      </c>
      <c r="F172" s="6">
        <v>1171</v>
      </c>
      <c r="G172" s="6">
        <v>138503.97</v>
      </c>
      <c r="H172" s="7">
        <v>42503</v>
      </c>
      <c r="I172" s="6" t="s">
        <v>19</v>
      </c>
      <c r="J172" s="6" t="s">
        <v>398</v>
      </c>
      <c r="K172" s="6" t="s">
        <v>21</v>
      </c>
      <c r="L172" s="6" t="s">
        <v>22</v>
      </c>
      <c r="M172" s="6" t="s">
        <v>23</v>
      </c>
      <c r="N172" s="6">
        <v>3.47</v>
      </c>
      <c r="O172" s="6">
        <v>148</v>
      </c>
    </row>
    <row r="173" spans="1:15" ht="14.25" customHeight="1" x14ac:dyDescent="0.3">
      <c r="A173" s="6" t="s">
        <v>399</v>
      </c>
      <c r="B173" s="6">
        <v>54</v>
      </c>
      <c r="C173" s="6" t="s">
        <v>16</v>
      </c>
      <c r="D173" s="6" t="s">
        <v>26</v>
      </c>
      <c r="E173" s="6" t="s">
        <v>18</v>
      </c>
      <c r="F173" s="6">
        <v>1172</v>
      </c>
      <c r="G173" s="6">
        <v>92393.52</v>
      </c>
      <c r="H173" s="7">
        <v>43552</v>
      </c>
      <c r="I173" s="6" t="s">
        <v>28</v>
      </c>
      <c r="J173" s="6" t="s">
        <v>400</v>
      </c>
      <c r="K173" s="6" t="s">
        <v>30</v>
      </c>
      <c r="L173" s="6" t="s">
        <v>31</v>
      </c>
      <c r="M173" s="6" t="s">
        <v>32</v>
      </c>
      <c r="N173" s="6">
        <v>2</v>
      </c>
      <c r="O173" s="6">
        <v>67</v>
      </c>
    </row>
    <row r="174" spans="1:15" ht="14.25" customHeight="1" x14ac:dyDescent="0.3">
      <c r="A174" s="6" t="s">
        <v>401</v>
      </c>
      <c r="B174" s="6">
        <v>58</v>
      </c>
      <c r="C174" s="6" t="s">
        <v>25</v>
      </c>
      <c r="D174" s="6" t="s">
        <v>17</v>
      </c>
      <c r="E174" s="6" t="s">
        <v>18</v>
      </c>
      <c r="F174" s="6">
        <v>1173</v>
      </c>
      <c r="G174" s="6">
        <v>128933.96</v>
      </c>
      <c r="H174" s="7">
        <v>41511</v>
      </c>
      <c r="I174" s="6" t="s">
        <v>35</v>
      </c>
      <c r="J174" s="6" t="s">
        <v>402</v>
      </c>
      <c r="K174" s="6" t="s">
        <v>37</v>
      </c>
      <c r="L174" s="6" t="s">
        <v>38</v>
      </c>
      <c r="M174" s="6" t="s">
        <v>39</v>
      </c>
      <c r="N174" s="6">
        <v>2.0499999999999998</v>
      </c>
      <c r="O174" s="6">
        <v>86</v>
      </c>
    </row>
    <row r="175" spans="1:15" ht="14.25" customHeight="1" x14ac:dyDescent="0.3">
      <c r="A175" s="6" t="s">
        <v>403</v>
      </c>
      <c r="B175" s="6">
        <v>28</v>
      </c>
      <c r="C175" s="6" t="s">
        <v>25</v>
      </c>
      <c r="D175" s="6" t="s">
        <v>17</v>
      </c>
      <c r="E175" s="6" t="s">
        <v>80</v>
      </c>
      <c r="F175" s="6">
        <v>1174</v>
      </c>
      <c r="G175" s="6">
        <v>117712.36</v>
      </c>
      <c r="H175" s="7">
        <v>38454</v>
      </c>
      <c r="I175" s="6" t="s">
        <v>41</v>
      </c>
      <c r="J175" s="6" t="s">
        <v>404</v>
      </c>
      <c r="K175" s="6" t="s">
        <v>43</v>
      </c>
      <c r="L175" s="6" t="s">
        <v>44</v>
      </c>
      <c r="M175" s="6" t="s">
        <v>45</v>
      </c>
      <c r="N175" s="6">
        <v>2.56</v>
      </c>
      <c r="O175" s="6">
        <v>198</v>
      </c>
    </row>
    <row r="176" spans="1:15" ht="14.25" customHeight="1" x14ac:dyDescent="0.3">
      <c r="A176" s="6" t="s">
        <v>405</v>
      </c>
      <c r="B176" s="6">
        <v>43</v>
      </c>
      <c r="C176" s="6" t="s">
        <v>62</v>
      </c>
      <c r="D176" s="6" t="s">
        <v>47</v>
      </c>
      <c r="E176" s="6" t="s">
        <v>48</v>
      </c>
      <c r="F176" s="6">
        <v>1175</v>
      </c>
      <c r="G176" s="6">
        <v>130926.87</v>
      </c>
      <c r="H176" s="7">
        <v>43861</v>
      </c>
      <c r="I176" s="6" t="s">
        <v>49</v>
      </c>
      <c r="J176" s="6" t="s">
        <v>406</v>
      </c>
      <c r="K176" s="6" t="s">
        <v>51</v>
      </c>
      <c r="L176" s="6" t="s">
        <v>52</v>
      </c>
      <c r="M176" s="6" t="s">
        <v>53</v>
      </c>
      <c r="N176" s="6">
        <v>2.06</v>
      </c>
      <c r="O176" s="6">
        <v>159</v>
      </c>
    </row>
    <row r="177" spans="1:15" ht="14.25" customHeight="1" x14ac:dyDescent="0.3">
      <c r="A177" s="6" t="s">
        <v>407</v>
      </c>
      <c r="B177" s="6">
        <v>53</v>
      </c>
      <c r="C177" s="6" t="s">
        <v>16</v>
      </c>
      <c r="D177" s="6" t="s">
        <v>55</v>
      </c>
      <c r="E177" s="6" t="s">
        <v>48</v>
      </c>
      <c r="F177" s="6">
        <v>1176</v>
      </c>
      <c r="G177" s="6">
        <v>77898.44</v>
      </c>
      <c r="H177" s="7">
        <v>41728</v>
      </c>
      <c r="I177" s="6" t="s">
        <v>56</v>
      </c>
      <c r="J177" s="6" t="s">
        <v>408</v>
      </c>
      <c r="K177" s="6" t="s">
        <v>21</v>
      </c>
      <c r="L177" s="6" t="s">
        <v>22</v>
      </c>
      <c r="M177" s="6" t="s">
        <v>23</v>
      </c>
      <c r="N177" s="6">
        <v>4.59</v>
      </c>
      <c r="O177" s="6">
        <v>133</v>
      </c>
    </row>
    <row r="178" spans="1:15" ht="14.25" customHeight="1" x14ac:dyDescent="0.3">
      <c r="A178" s="6" t="s">
        <v>409</v>
      </c>
      <c r="B178" s="6">
        <v>35</v>
      </c>
      <c r="C178" s="6" t="s">
        <v>25</v>
      </c>
      <c r="D178" s="6" t="s">
        <v>55</v>
      </c>
      <c r="E178" s="6" t="s">
        <v>34</v>
      </c>
      <c r="F178" s="6">
        <v>1177</v>
      </c>
      <c r="G178" s="6">
        <v>178306.49</v>
      </c>
      <c r="H178" s="7">
        <v>37048</v>
      </c>
      <c r="I178" s="6" t="s">
        <v>63</v>
      </c>
      <c r="J178" s="6" t="s">
        <v>410</v>
      </c>
      <c r="K178" s="6" t="s">
        <v>30</v>
      </c>
      <c r="L178" s="6" t="s">
        <v>31</v>
      </c>
      <c r="M178" s="6" t="s">
        <v>32</v>
      </c>
      <c r="N178" s="6">
        <v>1.1200000000000001</v>
      </c>
      <c r="O178" s="6">
        <v>27</v>
      </c>
    </row>
    <row r="179" spans="1:15" ht="14.25" customHeight="1" x14ac:dyDescent="0.3">
      <c r="A179" s="6" t="s">
        <v>411</v>
      </c>
      <c r="B179" s="6">
        <v>29</v>
      </c>
      <c r="C179" s="6" t="s">
        <v>16</v>
      </c>
      <c r="D179" s="6" t="s">
        <v>55</v>
      </c>
      <c r="E179" s="6" t="s">
        <v>80</v>
      </c>
      <c r="F179" s="6">
        <v>1178</v>
      </c>
      <c r="G179" s="6">
        <v>160380.57999999999</v>
      </c>
      <c r="H179" s="7">
        <v>39483</v>
      </c>
      <c r="I179" s="6" t="s">
        <v>66</v>
      </c>
      <c r="J179" s="6" t="s">
        <v>412</v>
      </c>
      <c r="K179" s="6" t="s">
        <v>37</v>
      </c>
      <c r="L179" s="6" t="s">
        <v>38</v>
      </c>
      <c r="M179" s="6" t="s">
        <v>39</v>
      </c>
      <c r="N179" s="6">
        <v>3.61</v>
      </c>
      <c r="O179" s="6">
        <v>144</v>
      </c>
    </row>
    <row r="180" spans="1:15" ht="14.25" customHeight="1" x14ac:dyDescent="0.3">
      <c r="A180" s="6" t="s">
        <v>413</v>
      </c>
      <c r="B180" s="6">
        <v>46</v>
      </c>
      <c r="C180" s="6" t="s">
        <v>62</v>
      </c>
      <c r="D180" s="6" t="s">
        <v>47</v>
      </c>
      <c r="E180" s="6" t="s">
        <v>48</v>
      </c>
      <c r="F180" s="6">
        <v>1179</v>
      </c>
      <c r="G180" s="6">
        <v>61575.01</v>
      </c>
      <c r="H180" s="7">
        <v>43226</v>
      </c>
      <c r="I180" s="6" t="s">
        <v>70</v>
      </c>
      <c r="J180" s="6" t="s">
        <v>414</v>
      </c>
      <c r="K180" s="6" t="s">
        <v>43</v>
      </c>
      <c r="L180" s="6" t="s">
        <v>44</v>
      </c>
      <c r="M180" s="6" t="s">
        <v>45</v>
      </c>
      <c r="N180" s="6">
        <v>4.28</v>
      </c>
      <c r="O180" s="6">
        <v>12</v>
      </c>
    </row>
    <row r="181" spans="1:15" ht="14.25" customHeight="1" x14ac:dyDescent="0.3">
      <c r="A181" s="6" t="s">
        <v>415</v>
      </c>
      <c r="B181" s="6">
        <v>37</v>
      </c>
      <c r="C181" s="6" t="s">
        <v>62</v>
      </c>
      <c r="D181" s="6" t="s">
        <v>69</v>
      </c>
      <c r="E181" s="6" t="s">
        <v>48</v>
      </c>
      <c r="F181" s="6">
        <v>1180</v>
      </c>
      <c r="G181" s="6">
        <v>183559.83</v>
      </c>
      <c r="H181" s="7">
        <v>36878</v>
      </c>
      <c r="I181" s="6" t="s">
        <v>73</v>
      </c>
      <c r="J181" s="6" t="s">
        <v>416</v>
      </c>
      <c r="K181" s="6" t="s">
        <v>51</v>
      </c>
      <c r="L181" s="6" t="s">
        <v>52</v>
      </c>
      <c r="M181" s="6" t="s">
        <v>53</v>
      </c>
      <c r="N181" s="6">
        <v>2.61</v>
      </c>
      <c r="O181" s="6">
        <v>167</v>
      </c>
    </row>
    <row r="182" spans="1:15" ht="14.25" customHeight="1" x14ac:dyDescent="0.3">
      <c r="A182" s="6" t="s">
        <v>417</v>
      </c>
      <c r="B182" s="6">
        <v>63</v>
      </c>
      <c r="C182" s="6" t="s">
        <v>25</v>
      </c>
      <c r="D182" s="6" t="s">
        <v>55</v>
      </c>
      <c r="E182" s="6" t="s">
        <v>80</v>
      </c>
      <c r="F182" s="6">
        <v>1181</v>
      </c>
      <c r="G182" s="6">
        <v>101829.91</v>
      </c>
      <c r="H182" s="7">
        <v>41229</v>
      </c>
      <c r="I182" s="6" t="s">
        <v>19</v>
      </c>
      <c r="J182" s="6" t="s">
        <v>418</v>
      </c>
      <c r="K182" s="6" t="s">
        <v>21</v>
      </c>
      <c r="L182" s="6" t="s">
        <v>22</v>
      </c>
      <c r="M182" s="6" t="s">
        <v>23</v>
      </c>
      <c r="N182" s="6">
        <v>1.68</v>
      </c>
      <c r="O182" s="6">
        <v>182</v>
      </c>
    </row>
    <row r="183" spans="1:15" ht="14.25" customHeight="1" x14ac:dyDescent="0.3">
      <c r="A183" s="6" t="s">
        <v>419</v>
      </c>
      <c r="B183" s="6">
        <v>40</v>
      </c>
      <c r="C183" s="6" t="s">
        <v>62</v>
      </c>
      <c r="D183" s="6" t="s">
        <v>17</v>
      </c>
      <c r="E183" s="6" t="s">
        <v>27</v>
      </c>
      <c r="F183" s="6">
        <v>1182</v>
      </c>
      <c r="G183" s="6">
        <v>195532.2</v>
      </c>
      <c r="H183" s="7">
        <v>43350</v>
      </c>
      <c r="I183" s="6" t="s">
        <v>28</v>
      </c>
      <c r="J183" s="6" t="s">
        <v>420</v>
      </c>
      <c r="K183" s="6" t="s">
        <v>30</v>
      </c>
      <c r="L183" s="6" t="s">
        <v>31</v>
      </c>
      <c r="M183" s="6" t="s">
        <v>32</v>
      </c>
      <c r="N183" s="6">
        <v>1.85</v>
      </c>
      <c r="O183" s="6">
        <v>107</v>
      </c>
    </row>
    <row r="184" spans="1:15" ht="14.25" customHeight="1" x14ac:dyDescent="0.3">
      <c r="A184" s="6" t="s">
        <v>421</v>
      </c>
      <c r="B184" s="6">
        <v>62</v>
      </c>
      <c r="C184" s="6" t="s">
        <v>16</v>
      </c>
      <c r="D184" s="6" t="s">
        <v>17</v>
      </c>
      <c r="E184" s="6" t="s">
        <v>48</v>
      </c>
      <c r="F184" s="6">
        <v>1183</v>
      </c>
      <c r="G184" s="6">
        <v>164843.44</v>
      </c>
      <c r="H184" s="7">
        <v>42091</v>
      </c>
      <c r="I184" s="6" t="s">
        <v>35</v>
      </c>
      <c r="J184" s="6" t="s">
        <v>422</v>
      </c>
      <c r="K184" s="6" t="s">
        <v>37</v>
      </c>
      <c r="L184" s="6" t="s">
        <v>38</v>
      </c>
      <c r="M184" s="6" t="s">
        <v>39</v>
      </c>
      <c r="N184" s="6">
        <v>4.09</v>
      </c>
      <c r="O184" s="6">
        <v>123</v>
      </c>
    </row>
    <row r="185" spans="1:15" ht="14.25" customHeight="1" x14ac:dyDescent="0.3">
      <c r="A185" s="6" t="s">
        <v>423</v>
      </c>
      <c r="B185" s="6">
        <v>37</v>
      </c>
      <c r="C185" s="6" t="s">
        <v>62</v>
      </c>
      <c r="D185" s="6" t="s">
        <v>69</v>
      </c>
      <c r="E185" s="6" t="s">
        <v>80</v>
      </c>
      <c r="F185" s="6">
        <v>1184</v>
      </c>
      <c r="G185" s="6">
        <v>132118.04</v>
      </c>
      <c r="H185" s="7">
        <v>41638</v>
      </c>
      <c r="I185" s="6" t="s">
        <v>41</v>
      </c>
      <c r="J185" s="6" t="s">
        <v>424</v>
      </c>
      <c r="K185" s="6" t="s">
        <v>43</v>
      </c>
      <c r="L185" s="6" t="s">
        <v>44</v>
      </c>
      <c r="M185" s="6" t="s">
        <v>45</v>
      </c>
      <c r="N185" s="6">
        <v>2.46</v>
      </c>
      <c r="O185" s="6">
        <v>74</v>
      </c>
    </row>
    <row r="186" spans="1:15" ht="14.25" customHeight="1" x14ac:dyDescent="0.3">
      <c r="A186" s="6" t="s">
        <v>425</v>
      </c>
      <c r="B186" s="6">
        <v>33</v>
      </c>
      <c r="C186" s="6" t="s">
        <v>62</v>
      </c>
      <c r="D186" s="6" t="s">
        <v>26</v>
      </c>
      <c r="E186" s="6" t="s">
        <v>27</v>
      </c>
      <c r="F186" s="6">
        <v>1185</v>
      </c>
      <c r="G186" s="6">
        <v>173839.41</v>
      </c>
      <c r="H186" s="7">
        <v>36764</v>
      </c>
      <c r="I186" s="6" t="s">
        <v>49</v>
      </c>
      <c r="J186" s="6" t="s">
        <v>426</v>
      </c>
      <c r="K186" s="6" t="s">
        <v>51</v>
      </c>
      <c r="L186" s="6" t="s">
        <v>52</v>
      </c>
      <c r="M186" s="6" t="s">
        <v>53</v>
      </c>
      <c r="N186" s="6">
        <v>3.89</v>
      </c>
      <c r="O186" s="6">
        <v>25</v>
      </c>
    </row>
    <row r="187" spans="1:15" ht="14.25" customHeight="1" x14ac:dyDescent="0.3">
      <c r="A187" s="6" t="s">
        <v>427</v>
      </c>
      <c r="B187" s="6">
        <v>60</v>
      </c>
      <c r="C187" s="6" t="s">
        <v>62</v>
      </c>
      <c r="D187" s="6" t="s">
        <v>47</v>
      </c>
      <c r="E187" s="6" t="s">
        <v>27</v>
      </c>
      <c r="F187" s="6">
        <v>1186</v>
      </c>
      <c r="G187" s="6">
        <v>185049.93</v>
      </c>
      <c r="H187" s="7">
        <v>40329</v>
      </c>
      <c r="I187" s="6" t="s">
        <v>56</v>
      </c>
      <c r="J187" s="6" t="s">
        <v>428</v>
      </c>
      <c r="K187" s="6" t="s">
        <v>21</v>
      </c>
      <c r="L187" s="6" t="s">
        <v>22</v>
      </c>
      <c r="M187" s="6" t="s">
        <v>23</v>
      </c>
      <c r="N187" s="6">
        <v>4.75</v>
      </c>
      <c r="O187" s="6">
        <v>90</v>
      </c>
    </row>
    <row r="188" spans="1:15" ht="14.25" customHeight="1" x14ac:dyDescent="0.3">
      <c r="A188" s="6" t="s">
        <v>429</v>
      </c>
      <c r="B188" s="6">
        <v>51</v>
      </c>
      <c r="C188" s="6" t="s">
        <v>62</v>
      </c>
      <c r="D188" s="6" t="s">
        <v>47</v>
      </c>
      <c r="E188" s="6" t="s">
        <v>48</v>
      </c>
      <c r="F188" s="6">
        <v>1187</v>
      </c>
      <c r="G188" s="6">
        <v>82501.289999999994</v>
      </c>
      <c r="H188" s="7">
        <v>40067</v>
      </c>
      <c r="I188" s="6" t="s">
        <v>63</v>
      </c>
      <c r="J188" s="6" t="s">
        <v>430</v>
      </c>
      <c r="K188" s="6" t="s">
        <v>30</v>
      </c>
      <c r="L188" s="6" t="s">
        <v>31</v>
      </c>
      <c r="M188" s="6" t="s">
        <v>32</v>
      </c>
      <c r="N188" s="6">
        <v>3.1</v>
      </c>
      <c r="O188" s="6">
        <v>55</v>
      </c>
    </row>
    <row r="189" spans="1:15" ht="14.25" customHeight="1" x14ac:dyDescent="0.3">
      <c r="A189" s="6" t="s">
        <v>431</v>
      </c>
      <c r="B189" s="6">
        <v>23</v>
      </c>
      <c r="C189" s="6" t="s">
        <v>16</v>
      </c>
      <c r="D189" s="6" t="s">
        <v>17</v>
      </c>
      <c r="E189" s="6" t="s">
        <v>34</v>
      </c>
      <c r="F189" s="6">
        <v>1188</v>
      </c>
      <c r="G189" s="6">
        <v>127951.58</v>
      </c>
      <c r="H189" s="7">
        <v>38490</v>
      </c>
      <c r="I189" s="6" t="s">
        <v>66</v>
      </c>
      <c r="J189" s="6" t="s">
        <v>432</v>
      </c>
      <c r="K189" s="6" t="s">
        <v>37</v>
      </c>
      <c r="L189" s="6" t="s">
        <v>38</v>
      </c>
      <c r="M189" s="6" t="s">
        <v>39</v>
      </c>
      <c r="N189" s="6">
        <v>1.01</v>
      </c>
      <c r="O189" s="6">
        <v>196</v>
      </c>
    </row>
    <row r="190" spans="1:15" ht="14.25" customHeight="1" x14ac:dyDescent="0.3">
      <c r="A190" s="6" t="s">
        <v>433</v>
      </c>
      <c r="B190" s="6">
        <v>53</v>
      </c>
      <c r="C190" s="6" t="s">
        <v>16</v>
      </c>
      <c r="D190" s="6" t="s">
        <v>55</v>
      </c>
      <c r="E190" s="6" t="s">
        <v>18</v>
      </c>
      <c r="F190" s="6">
        <v>1189</v>
      </c>
      <c r="G190" s="6">
        <v>123811.86</v>
      </c>
      <c r="H190" s="7">
        <v>41225</v>
      </c>
      <c r="I190" s="6" t="s">
        <v>70</v>
      </c>
      <c r="J190" s="6" t="s">
        <v>434</v>
      </c>
      <c r="K190" s="6" t="s">
        <v>43</v>
      </c>
      <c r="L190" s="6" t="s">
        <v>44</v>
      </c>
      <c r="M190" s="6" t="s">
        <v>45</v>
      </c>
      <c r="N190" s="6">
        <v>2.3199999999999998</v>
      </c>
      <c r="O190" s="6">
        <v>183</v>
      </c>
    </row>
    <row r="191" spans="1:15" ht="14.25" customHeight="1" x14ac:dyDescent="0.3">
      <c r="A191" s="6" t="s">
        <v>435</v>
      </c>
      <c r="B191" s="6">
        <v>46</v>
      </c>
      <c r="C191" s="6" t="s">
        <v>25</v>
      </c>
      <c r="D191" s="6" t="s">
        <v>55</v>
      </c>
      <c r="E191" s="6" t="s">
        <v>34</v>
      </c>
      <c r="F191" s="6">
        <v>1190</v>
      </c>
      <c r="G191" s="6">
        <v>169519.69</v>
      </c>
      <c r="H191" s="7">
        <v>42638</v>
      </c>
      <c r="I191" s="6" t="s">
        <v>73</v>
      </c>
      <c r="J191" s="6" t="s">
        <v>436</v>
      </c>
      <c r="K191" s="6" t="s">
        <v>51</v>
      </c>
      <c r="L191" s="6" t="s">
        <v>52</v>
      </c>
      <c r="M191" s="6" t="s">
        <v>53</v>
      </c>
      <c r="N191" s="6">
        <v>3.58</v>
      </c>
      <c r="O191" s="6">
        <v>91</v>
      </c>
    </row>
    <row r="192" spans="1:15" ht="14.25" customHeight="1" x14ac:dyDescent="0.3">
      <c r="A192" s="6" t="s">
        <v>437</v>
      </c>
      <c r="B192" s="6">
        <v>46</v>
      </c>
      <c r="C192" s="6" t="s">
        <v>62</v>
      </c>
      <c r="D192" s="6" t="s">
        <v>69</v>
      </c>
      <c r="E192" s="6" t="s">
        <v>34</v>
      </c>
      <c r="F192" s="6">
        <v>1191</v>
      </c>
      <c r="G192" s="6">
        <v>193583.63</v>
      </c>
      <c r="H192" s="7">
        <v>37078</v>
      </c>
      <c r="I192" s="6" t="s">
        <v>19</v>
      </c>
      <c r="J192" s="6" t="s">
        <v>438</v>
      </c>
      <c r="K192" s="6" t="s">
        <v>21</v>
      </c>
      <c r="L192" s="6" t="s">
        <v>22</v>
      </c>
      <c r="M192" s="6" t="s">
        <v>23</v>
      </c>
      <c r="N192" s="6">
        <v>1.1000000000000001</v>
      </c>
      <c r="O192" s="6">
        <v>163</v>
      </c>
    </row>
    <row r="193" spans="1:15" ht="14.25" customHeight="1" x14ac:dyDescent="0.3">
      <c r="A193" s="6" t="s">
        <v>439</v>
      </c>
      <c r="B193" s="6">
        <v>25</v>
      </c>
      <c r="C193" s="6" t="s">
        <v>25</v>
      </c>
      <c r="D193" s="6" t="s">
        <v>26</v>
      </c>
      <c r="E193" s="6" t="s">
        <v>48</v>
      </c>
      <c r="F193" s="6">
        <v>1192</v>
      </c>
      <c r="G193" s="6">
        <v>125357.1</v>
      </c>
      <c r="H193" s="7">
        <v>43832</v>
      </c>
      <c r="I193" s="6" t="s">
        <v>28</v>
      </c>
      <c r="J193" s="6" t="s">
        <v>440</v>
      </c>
      <c r="K193" s="6" t="s">
        <v>30</v>
      </c>
      <c r="L193" s="6" t="s">
        <v>31</v>
      </c>
      <c r="M193" s="6" t="s">
        <v>32</v>
      </c>
      <c r="N193" s="6">
        <v>4.99</v>
      </c>
      <c r="O193" s="6">
        <v>24</v>
      </c>
    </row>
    <row r="194" spans="1:15" ht="14.25" customHeight="1" x14ac:dyDescent="0.3">
      <c r="A194" s="6" t="s">
        <v>441</v>
      </c>
      <c r="B194" s="6">
        <v>40</v>
      </c>
      <c r="C194" s="6" t="s">
        <v>25</v>
      </c>
      <c r="D194" s="6" t="s">
        <v>55</v>
      </c>
      <c r="E194" s="6" t="s">
        <v>80</v>
      </c>
      <c r="F194" s="6">
        <v>1193</v>
      </c>
      <c r="G194" s="6">
        <v>134070.73000000001</v>
      </c>
      <c r="H194" s="7">
        <v>43874</v>
      </c>
      <c r="I194" s="6" t="s">
        <v>35</v>
      </c>
      <c r="J194" s="6" t="s">
        <v>442</v>
      </c>
      <c r="K194" s="6" t="s">
        <v>37</v>
      </c>
      <c r="L194" s="6" t="s">
        <v>38</v>
      </c>
      <c r="M194" s="6" t="s">
        <v>39</v>
      </c>
      <c r="N194" s="6">
        <v>3.69</v>
      </c>
      <c r="O194" s="6">
        <v>96</v>
      </c>
    </row>
    <row r="195" spans="1:15" ht="14.25" customHeight="1" x14ac:dyDescent="0.3">
      <c r="A195" s="6" t="s">
        <v>443</v>
      </c>
      <c r="B195" s="6">
        <v>25</v>
      </c>
      <c r="C195" s="6" t="s">
        <v>16</v>
      </c>
      <c r="D195" s="6" t="s">
        <v>55</v>
      </c>
      <c r="E195" s="6" t="s">
        <v>80</v>
      </c>
      <c r="F195" s="6">
        <v>1194</v>
      </c>
      <c r="G195" s="6">
        <v>113482.71</v>
      </c>
      <c r="H195" s="7">
        <v>41539</v>
      </c>
      <c r="I195" s="6" t="s">
        <v>41</v>
      </c>
      <c r="J195" s="6" t="s">
        <v>444</v>
      </c>
      <c r="K195" s="6" t="s">
        <v>43</v>
      </c>
      <c r="L195" s="6" t="s">
        <v>44</v>
      </c>
      <c r="M195" s="6" t="s">
        <v>45</v>
      </c>
      <c r="N195" s="6">
        <v>2.5299999999999998</v>
      </c>
      <c r="O195" s="6">
        <v>195</v>
      </c>
    </row>
    <row r="196" spans="1:15" ht="14.25" customHeight="1" x14ac:dyDescent="0.3">
      <c r="A196" s="6" t="s">
        <v>445</v>
      </c>
      <c r="B196" s="6">
        <v>64</v>
      </c>
      <c r="C196" s="6" t="s">
        <v>62</v>
      </c>
      <c r="D196" s="6" t="s">
        <v>17</v>
      </c>
      <c r="E196" s="6" t="s">
        <v>27</v>
      </c>
      <c r="F196" s="6">
        <v>1195</v>
      </c>
      <c r="G196" s="6">
        <v>124727.5</v>
      </c>
      <c r="H196" s="7">
        <v>44370</v>
      </c>
      <c r="I196" s="6" t="s">
        <v>49</v>
      </c>
      <c r="J196" s="6" t="s">
        <v>446</v>
      </c>
      <c r="K196" s="6" t="s">
        <v>51</v>
      </c>
      <c r="L196" s="6" t="s">
        <v>52</v>
      </c>
      <c r="M196" s="6" t="s">
        <v>53</v>
      </c>
      <c r="N196" s="6">
        <v>3.09</v>
      </c>
      <c r="O196" s="6">
        <v>76</v>
      </c>
    </row>
    <row r="197" spans="1:15" ht="14.25" customHeight="1" x14ac:dyDescent="0.3">
      <c r="A197" s="6" t="s">
        <v>447</v>
      </c>
      <c r="B197" s="6">
        <v>34</v>
      </c>
      <c r="C197" s="6" t="s">
        <v>62</v>
      </c>
      <c r="D197" s="6" t="s">
        <v>55</v>
      </c>
      <c r="E197" s="6" t="s">
        <v>34</v>
      </c>
      <c r="F197" s="6">
        <v>1196</v>
      </c>
      <c r="G197" s="6">
        <v>130015.62</v>
      </c>
      <c r="H197" s="7">
        <v>44384</v>
      </c>
      <c r="I197" s="6" t="s">
        <v>56</v>
      </c>
      <c r="J197" s="6" t="s">
        <v>448</v>
      </c>
      <c r="K197" s="6" t="s">
        <v>21</v>
      </c>
      <c r="L197" s="6" t="s">
        <v>22</v>
      </c>
      <c r="M197" s="6" t="s">
        <v>23</v>
      </c>
      <c r="N197" s="6">
        <v>4.88</v>
      </c>
      <c r="O197" s="6">
        <v>74</v>
      </c>
    </row>
    <row r="198" spans="1:15" ht="14.25" customHeight="1" x14ac:dyDescent="0.3">
      <c r="A198" s="6" t="s">
        <v>449</v>
      </c>
      <c r="B198" s="6">
        <v>60</v>
      </c>
      <c r="C198" s="6" t="s">
        <v>16</v>
      </c>
      <c r="D198" s="6" t="s">
        <v>47</v>
      </c>
      <c r="E198" s="6" t="s">
        <v>18</v>
      </c>
      <c r="F198" s="6">
        <v>1197</v>
      </c>
      <c r="G198" s="6">
        <v>163719.73000000001</v>
      </c>
      <c r="H198" s="7">
        <v>42087</v>
      </c>
      <c r="I198" s="6" t="s">
        <v>63</v>
      </c>
      <c r="J198" s="6" t="s">
        <v>450</v>
      </c>
      <c r="K198" s="6" t="s">
        <v>30</v>
      </c>
      <c r="L198" s="6" t="s">
        <v>31</v>
      </c>
      <c r="M198" s="6" t="s">
        <v>32</v>
      </c>
      <c r="N198" s="6">
        <v>6.01</v>
      </c>
      <c r="O198" s="6">
        <v>58</v>
      </c>
    </row>
    <row r="199" spans="1:15" ht="14.25" customHeight="1" x14ac:dyDescent="0.3">
      <c r="A199" s="6" t="s">
        <v>451</v>
      </c>
      <c r="B199" s="6">
        <v>57</v>
      </c>
      <c r="C199" s="6" t="s">
        <v>16</v>
      </c>
      <c r="D199" s="6" t="s">
        <v>55</v>
      </c>
      <c r="E199" s="6" t="s">
        <v>27</v>
      </c>
      <c r="F199" s="6">
        <v>1198</v>
      </c>
      <c r="G199" s="6">
        <v>197654.17</v>
      </c>
      <c r="H199" s="7">
        <v>40256</v>
      </c>
      <c r="I199" s="6" t="s">
        <v>66</v>
      </c>
      <c r="J199" s="6" t="s">
        <v>452</v>
      </c>
      <c r="K199" s="6" t="s">
        <v>37</v>
      </c>
      <c r="L199" s="6" t="s">
        <v>38</v>
      </c>
      <c r="M199" s="6" t="s">
        <v>39</v>
      </c>
      <c r="N199" s="6">
        <v>4.17</v>
      </c>
      <c r="O199" s="6">
        <v>187</v>
      </c>
    </row>
    <row r="200" spans="1:15" ht="14.25" customHeight="1" x14ac:dyDescent="0.3">
      <c r="A200" s="6" t="s">
        <v>453</v>
      </c>
      <c r="B200" s="6">
        <v>44</v>
      </c>
      <c r="C200" s="6" t="s">
        <v>16</v>
      </c>
      <c r="D200" s="6" t="s">
        <v>55</v>
      </c>
      <c r="E200" s="6" t="s">
        <v>18</v>
      </c>
      <c r="F200" s="6">
        <v>1199</v>
      </c>
      <c r="G200" s="6">
        <v>173855.59</v>
      </c>
      <c r="H200" s="7">
        <v>40138</v>
      </c>
      <c r="I200" s="6" t="s">
        <v>70</v>
      </c>
      <c r="J200" s="6" t="s">
        <v>454</v>
      </c>
      <c r="K200" s="6" t="s">
        <v>43</v>
      </c>
      <c r="L200" s="6" t="s">
        <v>44</v>
      </c>
      <c r="M200" s="6" t="s">
        <v>45</v>
      </c>
      <c r="N200" s="6">
        <v>2.41</v>
      </c>
      <c r="O200" s="6">
        <v>42</v>
      </c>
    </row>
    <row r="201" spans="1:15" ht="14.25" customHeight="1" x14ac:dyDescent="0.3">
      <c r="A201" s="6" t="s">
        <v>455</v>
      </c>
      <c r="B201" s="6">
        <v>27</v>
      </c>
      <c r="C201" s="6" t="s">
        <v>62</v>
      </c>
      <c r="D201" s="6" t="s">
        <v>26</v>
      </c>
      <c r="E201" s="6" t="s">
        <v>27</v>
      </c>
      <c r="F201" s="6">
        <v>1200</v>
      </c>
      <c r="G201" s="6">
        <v>192673.27</v>
      </c>
      <c r="H201" s="7">
        <v>37424</v>
      </c>
      <c r="I201" s="6" t="s">
        <v>73</v>
      </c>
      <c r="J201" s="6" t="s">
        <v>456</v>
      </c>
      <c r="K201" s="6" t="s">
        <v>51</v>
      </c>
      <c r="L201" s="6" t="s">
        <v>52</v>
      </c>
      <c r="M201" s="6" t="s">
        <v>53</v>
      </c>
      <c r="N201" s="6">
        <v>2.0299999999999998</v>
      </c>
      <c r="O201" s="6">
        <v>192</v>
      </c>
    </row>
    <row r="202" spans="1:15" ht="14.25" customHeight="1" x14ac:dyDescent="0.3">
      <c r="A202" s="6" t="s">
        <v>457</v>
      </c>
      <c r="B202" s="6">
        <v>45</v>
      </c>
      <c r="C202" s="6" t="s">
        <v>25</v>
      </c>
      <c r="D202" s="6" t="s">
        <v>47</v>
      </c>
      <c r="E202" s="6" t="s">
        <v>80</v>
      </c>
      <c r="F202" s="6">
        <v>1201</v>
      </c>
      <c r="G202" s="6">
        <v>71992.12</v>
      </c>
      <c r="H202" s="7">
        <v>42207</v>
      </c>
      <c r="I202" s="6" t="s">
        <v>19</v>
      </c>
      <c r="J202" s="6" t="s">
        <v>458</v>
      </c>
      <c r="K202" s="6" t="s">
        <v>21</v>
      </c>
      <c r="L202" s="6" t="s">
        <v>22</v>
      </c>
      <c r="M202" s="6" t="s">
        <v>23</v>
      </c>
      <c r="N202" s="6">
        <v>3.75</v>
      </c>
      <c r="O202" s="6">
        <v>143</v>
      </c>
    </row>
    <row r="203" spans="1:15" ht="14.25" customHeight="1" x14ac:dyDescent="0.3">
      <c r="A203" s="6" t="s">
        <v>459</v>
      </c>
      <c r="B203" s="6">
        <v>54</v>
      </c>
      <c r="C203" s="6" t="s">
        <v>25</v>
      </c>
      <c r="D203" s="6" t="s">
        <v>69</v>
      </c>
      <c r="E203" s="6" t="s">
        <v>48</v>
      </c>
      <c r="F203" s="6">
        <v>1202</v>
      </c>
      <c r="G203" s="6">
        <v>74990.37</v>
      </c>
      <c r="H203" s="7">
        <v>37729</v>
      </c>
      <c r="I203" s="6" t="s">
        <v>28</v>
      </c>
      <c r="J203" s="6" t="s">
        <v>460</v>
      </c>
      <c r="K203" s="6" t="s">
        <v>30</v>
      </c>
      <c r="L203" s="6" t="s">
        <v>31</v>
      </c>
      <c r="M203" s="6" t="s">
        <v>32</v>
      </c>
      <c r="N203" s="6">
        <v>3.17</v>
      </c>
      <c r="O203" s="6">
        <v>136</v>
      </c>
    </row>
    <row r="204" spans="1:15" ht="14.25" customHeight="1" x14ac:dyDescent="0.3">
      <c r="A204" s="6" t="s">
        <v>461</v>
      </c>
      <c r="B204" s="6">
        <v>33</v>
      </c>
      <c r="C204" s="6" t="s">
        <v>62</v>
      </c>
      <c r="D204" s="6" t="s">
        <v>47</v>
      </c>
      <c r="E204" s="6" t="s">
        <v>18</v>
      </c>
      <c r="F204" s="6">
        <v>1203</v>
      </c>
      <c r="G204" s="6">
        <v>109528.23</v>
      </c>
      <c r="H204" s="7">
        <v>38308</v>
      </c>
      <c r="I204" s="6" t="s">
        <v>35</v>
      </c>
      <c r="J204" s="6" t="s">
        <v>462</v>
      </c>
      <c r="K204" s="6" t="s">
        <v>37</v>
      </c>
      <c r="L204" s="6" t="s">
        <v>38</v>
      </c>
      <c r="M204" s="6" t="s">
        <v>39</v>
      </c>
      <c r="N204" s="6">
        <v>4.13</v>
      </c>
      <c r="O204" s="6">
        <v>164</v>
      </c>
    </row>
    <row r="205" spans="1:15" ht="14.25" customHeight="1" x14ac:dyDescent="0.3">
      <c r="A205" s="6" t="s">
        <v>463</v>
      </c>
      <c r="B205" s="6">
        <v>62</v>
      </c>
      <c r="C205" s="6" t="s">
        <v>25</v>
      </c>
      <c r="D205" s="6" t="s">
        <v>69</v>
      </c>
      <c r="E205" s="6" t="s">
        <v>48</v>
      </c>
      <c r="F205" s="6">
        <v>1204</v>
      </c>
      <c r="G205" s="6">
        <v>113534.96</v>
      </c>
      <c r="H205" s="7">
        <v>39294</v>
      </c>
      <c r="I205" s="6" t="s">
        <v>41</v>
      </c>
      <c r="J205" s="6" t="s">
        <v>464</v>
      </c>
      <c r="K205" s="6" t="s">
        <v>43</v>
      </c>
      <c r="L205" s="6" t="s">
        <v>44</v>
      </c>
      <c r="M205" s="6" t="s">
        <v>45</v>
      </c>
      <c r="N205" s="6">
        <v>3.77</v>
      </c>
      <c r="O205" s="6">
        <v>55</v>
      </c>
    </row>
    <row r="206" spans="1:15" ht="14.25" customHeight="1" x14ac:dyDescent="0.3">
      <c r="A206" s="6" t="s">
        <v>465</v>
      </c>
      <c r="B206" s="6">
        <v>42</v>
      </c>
      <c r="C206" s="6" t="s">
        <v>62</v>
      </c>
      <c r="D206" s="6" t="s">
        <v>26</v>
      </c>
      <c r="E206" s="6" t="s">
        <v>27</v>
      </c>
      <c r="F206" s="6">
        <v>1205</v>
      </c>
      <c r="G206" s="6">
        <v>193982.72</v>
      </c>
      <c r="H206" s="7">
        <v>40735</v>
      </c>
      <c r="I206" s="6" t="s">
        <v>49</v>
      </c>
      <c r="J206" s="6" t="s">
        <v>466</v>
      </c>
      <c r="K206" s="6" t="s">
        <v>51</v>
      </c>
      <c r="L206" s="6" t="s">
        <v>52</v>
      </c>
      <c r="M206" s="6" t="s">
        <v>53</v>
      </c>
      <c r="N206" s="6">
        <v>1.79</v>
      </c>
      <c r="O206" s="6">
        <v>158</v>
      </c>
    </row>
    <row r="207" spans="1:15" ht="14.25" customHeight="1" x14ac:dyDescent="0.3">
      <c r="A207" s="6" t="s">
        <v>467</v>
      </c>
      <c r="B207" s="6">
        <v>32</v>
      </c>
      <c r="C207" s="6" t="s">
        <v>62</v>
      </c>
      <c r="D207" s="6" t="s">
        <v>26</v>
      </c>
      <c r="E207" s="6" t="s">
        <v>27</v>
      </c>
      <c r="F207" s="6">
        <v>1206</v>
      </c>
      <c r="G207" s="6">
        <v>164553.85</v>
      </c>
      <c r="H207" s="7">
        <v>42419</v>
      </c>
      <c r="I207" s="6" t="s">
        <v>56</v>
      </c>
      <c r="J207" s="6" t="s">
        <v>468</v>
      </c>
      <c r="K207" s="6" t="s">
        <v>21</v>
      </c>
      <c r="L207" s="6" t="s">
        <v>22</v>
      </c>
      <c r="M207" s="6" t="s">
        <v>23</v>
      </c>
      <c r="N207" s="6">
        <v>3.59</v>
      </c>
      <c r="O207" s="6">
        <v>124</v>
      </c>
    </row>
    <row r="208" spans="1:15" ht="14.25" customHeight="1" x14ac:dyDescent="0.3">
      <c r="A208" s="6" t="s">
        <v>469</v>
      </c>
      <c r="B208" s="6">
        <v>59</v>
      </c>
      <c r="C208" s="6" t="s">
        <v>16</v>
      </c>
      <c r="D208" s="6" t="s">
        <v>17</v>
      </c>
      <c r="E208" s="6" t="s">
        <v>48</v>
      </c>
      <c r="F208" s="6">
        <v>1207</v>
      </c>
      <c r="G208" s="6">
        <v>192770.19</v>
      </c>
      <c r="H208" s="7">
        <v>38995</v>
      </c>
      <c r="I208" s="6" t="s">
        <v>63</v>
      </c>
      <c r="J208" s="6" t="s">
        <v>470</v>
      </c>
      <c r="K208" s="6" t="s">
        <v>30</v>
      </c>
      <c r="L208" s="6" t="s">
        <v>31</v>
      </c>
      <c r="M208" s="6" t="s">
        <v>32</v>
      </c>
      <c r="N208" s="6">
        <v>3.97</v>
      </c>
      <c r="O208" s="6">
        <v>46</v>
      </c>
    </row>
    <row r="209" spans="1:15" ht="14.25" customHeight="1" x14ac:dyDescent="0.3">
      <c r="A209" s="6" t="s">
        <v>471</v>
      </c>
      <c r="B209" s="6">
        <v>50</v>
      </c>
      <c r="C209" s="6" t="s">
        <v>62</v>
      </c>
      <c r="D209" s="6" t="s">
        <v>26</v>
      </c>
      <c r="E209" s="6" t="s">
        <v>80</v>
      </c>
      <c r="F209" s="6">
        <v>1208</v>
      </c>
      <c r="G209" s="6">
        <v>101364.32</v>
      </c>
      <c r="H209" s="7">
        <v>39027</v>
      </c>
      <c r="I209" s="6" t="s">
        <v>66</v>
      </c>
      <c r="J209" s="6" t="s">
        <v>472</v>
      </c>
      <c r="K209" s="6" t="s">
        <v>37</v>
      </c>
      <c r="L209" s="6" t="s">
        <v>38</v>
      </c>
      <c r="M209" s="6" t="s">
        <v>39</v>
      </c>
      <c r="N209" s="6">
        <v>2.82</v>
      </c>
      <c r="O209" s="6">
        <v>67</v>
      </c>
    </row>
    <row r="210" spans="1:15" ht="14.25" customHeight="1" x14ac:dyDescent="0.3">
      <c r="A210" s="6" t="s">
        <v>473</v>
      </c>
      <c r="B210" s="6">
        <v>62</v>
      </c>
      <c r="C210" s="6" t="s">
        <v>16</v>
      </c>
      <c r="D210" s="6" t="s">
        <v>55</v>
      </c>
      <c r="E210" s="6" t="s">
        <v>18</v>
      </c>
      <c r="F210" s="6">
        <v>1209</v>
      </c>
      <c r="G210" s="6">
        <v>138571.32999999999</v>
      </c>
      <c r="H210" s="7">
        <v>43484</v>
      </c>
      <c r="I210" s="6" t="s">
        <v>70</v>
      </c>
      <c r="J210" s="6" t="s">
        <v>474</v>
      </c>
      <c r="K210" s="6" t="s">
        <v>43</v>
      </c>
      <c r="L210" s="6" t="s">
        <v>44</v>
      </c>
      <c r="M210" s="6" t="s">
        <v>45</v>
      </c>
      <c r="N210" s="6">
        <v>4.29</v>
      </c>
      <c r="O210" s="6">
        <v>57</v>
      </c>
    </row>
    <row r="211" spans="1:15" ht="14.25" customHeight="1" x14ac:dyDescent="0.3">
      <c r="A211" s="6" t="s">
        <v>475</v>
      </c>
      <c r="B211" s="6">
        <v>24</v>
      </c>
      <c r="C211" s="6" t="s">
        <v>16</v>
      </c>
      <c r="D211" s="6" t="s">
        <v>47</v>
      </c>
      <c r="E211" s="6" t="s">
        <v>48</v>
      </c>
      <c r="F211" s="6">
        <v>1210</v>
      </c>
      <c r="G211" s="6">
        <v>182403.37</v>
      </c>
      <c r="H211" s="7">
        <v>41150</v>
      </c>
      <c r="I211" s="6" t="s">
        <v>73</v>
      </c>
      <c r="J211" s="6" t="s">
        <v>476</v>
      </c>
      <c r="K211" s="6" t="s">
        <v>51</v>
      </c>
      <c r="L211" s="6" t="s">
        <v>52</v>
      </c>
      <c r="M211" s="6" t="s">
        <v>53</v>
      </c>
      <c r="N211" s="6">
        <v>3.19</v>
      </c>
      <c r="O211" s="6">
        <v>19</v>
      </c>
    </row>
    <row r="212" spans="1:15" ht="14.25" customHeight="1" x14ac:dyDescent="0.3">
      <c r="A212" s="6" t="s">
        <v>477</v>
      </c>
      <c r="B212" s="6">
        <v>49</v>
      </c>
      <c r="C212" s="6" t="s">
        <v>25</v>
      </c>
      <c r="D212" s="6" t="s">
        <v>69</v>
      </c>
      <c r="E212" s="6" t="s">
        <v>27</v>
      </c>
      <c r="F212" s="6">
        <v>1211</v>
      </c>
      <c r="G212" s="6">
        <v>99791.67</v>
      </c>
      <c r="H212" s="7">
        <v>41827</v>
      </c>
      <c r="I212" s="6" t="s">
        <v>19</v>
      </c>
      <c r="J212" s="6" t="s">
        <v>478</v>
      </c>
      <c r="K212" s="6" t="s">
        <v>21</v>
      </c>
      <c r="L212" s="6" t="s">
        <v>22</v>
      </c>
      <c r="M212" s="6" t="s">
        <v>23</v>
      </c>
      <c r="N212" s="6">
        <v>4.7300000000000004</v>
      </c>
      <c r="O212" s="6">
        <v>161</v>
      </c>
    </row>
    <row r="213" spans="1:15" ht="14.25" customHeight="1" x14ac:dyDescent="0.3">
      <c r="A213" s="6" t="s">
        <v>479</v>
      </c>
      <c r="B213" s="6">
        <v>41</v>
      </c>
      <c r="C213" s="6" t="s">
        <v>16</v>
      </c>
      <c r="D213" s="6" t="s">
        <v>47</v>
      </c>
      <c r="E213" s="6" t="s">
        <v>18</v>
      </c>
      <c r="F213" s="6">
        <v>1212</v>
      </c>
      <c r="G213" s="6">
        <v>76041.3</v>
      </c>
      <c r="H213" s="7">
        <v>37607</v>
      </c>
      <c r="I213" s="6" t="s">
        <v>28</v>
      </c>
      <c r="J213" s="6" t="s">
        <v>480</v>
      </c>
      <c r="K213" s="6" t="s">
        <v>30</v>
      </c>
      <c r="L213" s="6" t="s">
        <v>31</v>
      </c>
      <c r="M213" s="6" t="s">
        <v>32</v>
      </c>
      <c r="N213" s="6">
        <v>4.38</v>
      </c>
      <c r="O213" s="6">
        <v>62</v>
      </c>
    </row>
    <row r="214" spans="1:15" ht="14.25" customHeight="1" x14ac:dyDescent="0.3">
      <c r="A214" s="6" t="s">
        <v>481</v>
      </c>
      <c r="B214" s="6">
        <v>47</v>
      </c>
      <c r="C214" s="6" t="s">
        <v>25</v>
      </c>
      <c r="D214" s="6" t="s">
        <v>47</v>
      </c>
      <c r="E214" s="6" t="s">
        <v>18</v>
      </c>
      <c r="F214" s="6">
        <v>1213</v>
      </c>
      <c r="G214" s="6">
        <v>89391.84</v>
      </c>
      <c r="H214" s="7">
        <v>42206</v>
      </c>
      <c r="I214" s="6" t="s">
        <v>35</v>
      </c>
      <c r="J214" s="6" t="s">
        <v>482</v>
      </c>
      <c r="K214" s="6" t="s">
        <v>37</v>
      </c>
      <c r="L214" s="6" t="s">
        <v>38</v>
      </c>
      <c r="M214" s="6" t="s">
        <v>39</v>
      </c>
      <c r="N214" s="6">
        <v>3.52</v>
      </c>
      <c r="O214" s="6">
        <v>53</v>
      </c>
    </row>
    <row r="215" spans="1:15" ht="14.25" customHeight="1" x14ac:dyDescent="0.3">
      <c r="A215" s="6" t="s">
        <v>483</v>
      </c>
      <c r="B215" s="6">
        <v>45</v>
      </c>
      <c r="C215" s="6" t="s">
        <v>62</v>
      </c>
      <c r="D215" s="6" t="s">
        <v>47</v>
      </c>
      <c r="E215" s="6" t="s">
        <v>34</v>
      </c>
      <c r="F215" s="6">
        <v>1214</v>
      </c>
      <c r="G215" s="6">
        <v>89788.08</v>
      </c>
      <c r="H215" s="7">
        <v>42754</v>
      </c>
      <c r="I215" s="6" t="s">
        <v>41</v>
      </c>
      <c r="J215" s="6" t="s">
        <v>484</v>
      </c>
      <c r="K215" s="6" t="s">
        <v>43</v>
      </c>
      <c r="L215" s="6" t="s">
        <v>44</v>
      </c>
      <c r="M215" s="6" t="s">
        <v>45</v>
      </c>
      <c r="N215" s="6">
        <v>2.77</v>
      </c>
      <c r="O215" s="6">
        <v>7</v>
      </c>
    </row>
    <row r="216" spans="1:15" ht="14.25" customHeight="1" x14ac:dyDescent="0.3">
      <c r="A216" s="6" t="s">
        <v>485</v>
      </c>
      <c r="B216" s="6">
        <v>42</v>
      </c>
      <c r="C216" s="6" t="s">
        <v>25</v>
      </c>
      <c r="D216" s="6" t="s">
        <v>47</v>
      </c>
      <c r="E216" s="6" t="s">
        <v>18</v>
      </c>
      <c r="F216" s="6">
        <v>1215</v>
      </c>
      <c r="G216" s="6">
        <v>184949.46</v>
      </c>
      <c r="H216" s="7">
        <v>36526</v>
      </c>
      <c r="I216" s="6" t="s">
        <v>49</v>
      </c>
      <c r="J216" s="6" t="s">
        <v>486</v>
      </c>
      <c r="K216" s="6" t="s">
        <v>51</v>
      </c>
      <c r="L216" s="6" t="s">
        <v>52</v>
      </c>
      <c r="M216" s="6" t="s">
        <v>53</v>
      </c>
      <c r="N216" s="6">
        <v>4.08</v>
      </c>
      <c r="O216" s="6">
        <v>115</v>
      </c>
    </row>
    <row r="217" spans="1:15" ht="14.25" customHeight="1" x14ac:dyDescent="0.3">
      <c r="A217" s="6" t="s">
        <v>487</v>
      </c>
      <c r="B217" s="6">
        <v>51</v>
      </c>
      <c r="C217" s="6" t="s">
        <v>25</v>
      </c>
      <c r="D217" s="6" t="s">
        <v>47</v>
      </c>
      <c r="E217" s="6" t="s">
        <v>80</v>
      </c>
      <c r="F217" s="6">
        <v>1216</v>
      </c>
      <c r="G217" s="6">
        <v>167271.48000000001</v>
      </c>
      <c r="H217" s="7">
        <v>36731</v>
      </c>
      <c r="I217" s="6" t="s">
        <v>56</v>
      </c>
      <c r="J217" s="6" t="s">
        <v>488</v>
      </c>
      <c r="K217" s="6" t="s">
        <v>21</v>
      </c>
      <c r="L217" s="6" t="s">
        <v>22</v>
      </c>
      <c r="M217" s="6" t="s">
        <v>23</v>
      </c>
      <c r="N217" s="6">
        <v>2.2999999999999998</v>
      </c>
      <c r="O217" s="6">
        <v>138</v>
      </c>
    </row>
    <row r="218" spans="1:15" ht="14.25" customHeight="1" x14ac:dyDescent="0.3">
      <c r="A218" s="6" t="s">
        <v>489</v>
      </c>
      <c r="B218" s="6">
        <v>25</v>
      </c>
      <c r="C218" s="6" t="s">
        <v>25</v>
      </c>
      <c r="D218" s="6" t="s">
        <v>26</v>
      </c>
      <c r="E218" s="6" t="s">
        <v>48</v>
      </c>
      <c r="F218" s="6">
        <v>1217</v>
      </c>
      <c r="G218" s="6">
        <v>132362.87</v>
      </c>
      <c r="H218" s="7">
        <v>44728</v>
      </c>
      <c r="I218" s="6" t="s">
        <v>63</v>
      </c>
      <c r="J218" s="6" t="s">
        <v>490</v>
      </c>
      <c r="K218" s="6" t="s">
        <v>30</v>
      </c>
      <c r="L218" s="6" t="s">
        <v>31</v>
      </c>
      <c r="M218" s="6" t="s">
        <v>32</v>
      </c>
      <c r="N218" s="6">
        <v>2.0299999999999998</v>
      </c>
      <c r="O218" s="6">
        <v>173</v>
      </c>
    </row>
    <row r="219" spans="1:15" ht="14.25" customHeight="1" x14ac:dyDescent="0.3">
      <c r="A219" s="6" t="s">
        <v>491</v>
      </c>
      <c r="B219" s="6">
        <v>57</v>
      </c>
      <c r="C219" s="6" t="s">
        <v>62</v>
      </c>
      <c r="D219" s="6" t="s">
        <v>47</v>
      </c>
      <c r="E219" s="6" t="s">
        <v>80</v>
      </c>
      <c r="F219" s="6">
        <v>1218</v>
      </c>
      <c r="G219" s="6">
        <v>131962.38</v>
      </c>
      <c r="H219" s="7">
        <v>43675</v>
      </c>
      <c r="I219" s="6" t="s">
        <v>66</v>
      </c>
      <c r="J219" s="6" t="s">
        <v>492</v>
      </c>
      <c r="K219" s="6" t="s">
        <v>37</v>
      </c>
      <c r="L219" s="6" t="s">
        <v>38</v>
      </c>
      <c r="M219" s="6" t="s">
        <v>39</v>
      </c>
      <c r="N219" s="6">
        <v>1.5</v>
      </c>
      <c r="O219" s="6">
        <v>12</v>
      </c>
    </row>
    <row r="220" spans="1:15" ht="14.25" customHeight="1" x14ac:dyDescent="0.3">
      <c r="A220" s="6" t="s">
        <v>493</v>
      </c>
      <c r="B220" s="6">
        <v>61</v>
      </c>
      <c r="C220" s="6" t="s">
        <v>62</v>
      </c>
      <c r="D220" s="6" t="s">
        <v>47</v>
      </c>
      <c r="E220" s="6" t="s">
        <v>34</v>
      </c>
      <c r="F220" s="6">
        <v>1219</v>
      </c>
      <c r="G220" s="6">
        <v>74255.320000000007</v>
      </c>
      <c r="H220" s="7">
        <v>39294</v>
      </c>
      <c r="I220" s="6" t="s">
        <v>70</v>
      </c>
      <c r="J220" s="6" t="s">
        <v>494</v>
      </c>
      <c r="K220" s="6" t="s">
        <v>43</v>
      </c>
      <c r="L220" s="6" t="s">
        <v>44</v>
      </c>
      <c r="M220" s="6" t="s">
        <v>45</v>
      </c>
      <c r="N220" s="6">
        <v>1.89</v>
      </c>
      <c r="O220" s="6">
        <v>111</v>
      </c>
    </row>
    <row r="221" spans="1:15" ht="14.25" customHeight="1" x14ac:dyDescent="0.3">
      <c r="A221" s="6" t="s">
        <v>495</v>
      </c>
      <c r="B221" s="6">
        <v>31</v>
      </c>
      <c r="C221" s="6" t="s">
        <v>16</v>
      </c>
      <c r="D221" s="6" t="s">
        <v>69</v>
      </c>
      <c r="E221" s="6" t="s">
        <v>80</v>
      </c>
      <c r="F221" s="6">
        <v>1220</v>
      </c>
      <c r="G221" s="6">
        <v>99664.94</v>
      </c>
      <c r="H221" s="7">
        <v>38413</v>
      </c>
      <c r="I221" s="6" t="s">
        <v>73</v>
      </c>
      <c r="J221" s="6" t="s">
        <v>496</v>
      </c>
      <c r="K221" s="6" t="s">
        <v>51</v>
      </c>
      <c r="L221" s="6" t="s">
        <v>52</v>
      </c>
      <c r="M221" s="6" t="s">
        <v>53</v>
      </c>
      <c r="N221" s="6">
        <v>2.86</v>
      </c>
      <c r="O221" s="6">
        <v>170</v>
      </c>
    </row>
    <row r="222" spans="1:15" ht="14.25" customHeight="1" x14ac:dyDescent="0.3">
      <c r="A222" s="6" t="s">
        <v>497</v>
      </c>
      <c r="B222" s="6">
        <v>31</v>
      </c>
      <c r="C222" s="6" t="s">
        <v>62</v>
      </c>
      <c r="D222" s="6" t="s">
        <v>47</v>
      </c>
      <c r="E222" s="6" t="s">
        <v>18</v>
      </c>
      <c r="F222" s="6">
        <v>1221</v>
      </c>
      <c r="G222" s="6">
        <v>81216.87</v>
      </c>
      <c r="H222" s="7">
        <v>38730</v>
      </c>
      <c r="I222" s="6" t="s">
        <v>19</v>
      </c>
      <c r="J222" s="6" t="s">
        <v>498</v>
      </c>
      <c r="K222" s="6" t="s">
        <v>21</v>
      </c>
      <c r="L222" s="6" t="s">
        <v>22</v>
      </c>
      <c r="M222" s="6" t="s">
        <v>23</v>
      </c>
      <c r="N222" s="6">
        <v>4.5599999999999996</v>
      </c>
      <c r="O222" s="6">
        <v>84</v>
      </c>
    </row>
    <row r="223" spans="1:15" ht="14.25" customHeight="1" x14ac:dyDescent="0.3">
      <c r="A223" s="6" t="s">
        <v>499</v>
      </c>
      <c r="B223" s="6">
        <v>63</v>
      </c>
      <c r="C223" s="6" t="s">
        <v>16</v>
      </c>
      <c r="D223" s="6" t="s">
        <v>47</v>
      </c>
      <c r="E223" s="6" t="s">
        <v>18</v>
      </c>
      <c r="F223" s="6">
        <v>1222</v>
      </c>
      <c r="G223" s="6">
        <v>112649.78</v>
      </c>
      <c r="H223" s="7">
        <v>37027</v>
      </c>
      <c r="I223" s="6" t="s">
        <v>28</v>
      </c>
      <c r="J223" s="6" t="s">
        <v>500</v>
      </c>
      <c r="K223" s="6" t="s">
        <v>30</v>
      </c>
      <c r="L223" s="6" t="s">
        <v>31</v>
      </c>
      <c r="M223" s="6" t="s">
        <v>32</v>
      </c>
      <c r="N223" s="6">
        <v>2.9</v>
      </c>
      <c r="O223" s="6">
        <v>27</v>
      </c>
    </row>
    <row r="224" spans="1:15" ht="14.25" customHeight="1" x14ac:dyDescent="0.3">
      <c r="A224" s="6" t="s">
        <v>501</v>
      </c>
      <c r="B224" s="6">
        <v>45</v>
      </c>
      <c r="C224" s="6" t="s">
        <v>62</v>
      </c>
      <c r="D224" s="6" t="s">
        <v>47</v>
      </c>
      <c r="E224" s="6" t="s">
        <v>18</v>
      </c>
      <c r="F224" s="6">
        <v>1223</v>
      </c>
      <c r="G224" s="6">
        <v>135377.04999999999</v>
      </c>
      <c r="H224" s="7">
        <v>44902</v>
      </c>
      <c r="I224" s="6" t="s">
        <v>35</v>
      </c>
      <c r="J224" s="6" t="s">
        <v>502</v>
      </c>
      <c r="K224" s="6" t="s">
        <v>37</v>
      </c>
      <c r="L224" s="6" t="s">
        <v>38</v>
      </c>
      <c r="M224" s="6" t="s">
        <v>39</v>
      </c>
      <c r="N224" s="6">
        <v>1.82</v>
      </c>
      <c r="O224" s="6">
        <v>109</v>
      </c>
    </row>
    <row r="225" spans="1:15" ht="14.25" customHeight="1" x14ac:dyDescent="0.3">
      <c r="A225" s="6" t="s">
        <v>503</v>
      </c>
      <c r="B225" s="6">
        <v>25</v>
      </c>
      <c r="C225" s="6" t="s">
        <v>25</v>
      </c>
      <c r="D225" s="6" t="s">
        <v>55</v>
      </c>
      <c r="E225" s="6" t="s">
        <v>48</v>
      </c>
      <c r="F225" s="6">
        <v>1224</v>
      </c>
      <c r="G225" s="6">
        <v>75203.62</v>
      </c>
      <c r="H225" s="7">
        <v>42498</v>
      </c>
      <c r="I225" s="6" t="s">
        <v>41</v>
      </c>
      <c r="J225" s="6" t="s">
        <v>504</v>
      </c>
      <c r="K225" s="6" t="s">
        <v>43</v>
      </c>
      <c r="L225" s="6" t="s">
        <v>44</v>
      </c>
      <c r="M225" s="6" t="s">
        <v>45</v>
      </c>
      <c r="N225" s="6">
        <v>2.17</v>
      </c>
      <c r="O225" s="6">
        <v>105</v>
      </c>
    </row>
    <row r="226" spans="1:15" ht="14.25" customHeight="1" x14ac:dyDescent="0.3">
      <c r="A226" s="6" t="s">
        <v>505</v>
      </c>
      <c r="B226" s="6">
        <v>48</v>
      </c>
      <c r="C226" s="6" t="s">
        <v>16</v>
      </c>
      <c r="D226" s="6" t="s">
        <v>55</v>
      </c>
      <c r="E226" s="6" t="s">
        <v>27</v>
      </c>
      <c r="F226" s="6">
        <v>1225</v>
      </c>
      <c r="G226" s="6">
        <v>172822.37</v>
      </c>
      <c r="H226" s="7">
        <v>44735</v>
      </c>
      <c r="I226" s="6" t="s">
        <v>49</v>
      </c>
      <c r="J226" s="6" t="s">
        <v>506</v>
      </c>
      <c r="K226" s="6" t="s">
        <v>51</v>
      </c>
      <c r="L226" s="6" t="s">
        <v>52</v>
      </c>
      <c r="M226" s="6" t="s">
        <v>53</v>
      </c>
      <c r="N226" s="6">
        <v>4.18</v>
      </c>
      <c r="O226" s="6">
        <v>64</v>
      </c>
    </row>
    <row r="227" spans="1:15" ht="14.25" customHeight="1" x14ac:dyDescent="0.3">
      <c r="A227" s="6" t="s">
        <v>507</v>
      </c>
      <c r="B227" s="6">
        <v>25</v>
      </c>
      <c r="C227" s="6" t="s">
        <v>62</v>
      </c>
      <c r="D227" s="6" t="s">
        <v>55</v>
      </c>
      <c r="E227" s="6" t="s">
        <v>27</v>
      </c>
      <c r="F227" s="6">
        <v>1226</v>
      </c>
      <c r="G227" s="6">
        <v>121301.24</v>
      </c>
      <c r="H227" s="7">
        <v>41641</v>
      </c>
      <c r="I227" s="6" t="s">
        <v>56</v>
      </c>
      <c r="J227" s="6" t="s">
        <v>508</v>
      </c>
      <c r="K227" s="6" t="s">
        <v>21</v>
      </c>
      <c r="L227" s="6" t="s">
        <v>22</v>
      </c>
      <c r="M227" s="6" t="s">
        <v>23</v>
      </c>
      <c r="N227" s="6">
        <v>3.99</v>
      </c>
      <c r="O227" s="6">
        <v>40</v>
      </c>
    </row>
    <row r="228" spans="1:15" ht="14.25" customHeight="1" x14ac:dyDescent="0.3">
      <c r="A228" s="6" t="s">
        <v>509</v>
      </c>
      <c r="B228" s="6">
        <v>53</v>
      </c>
      <c r="C228" s="6" t="s">
        <v>62</v>
      </c>
      <c r="D228" s="6" t="s">
        <v>47</v>
      </c>
      <c r="E228" s="6" t="s">
        <v>34</v>
      </c>
      <c r="F228" s="6">
        <v>1227</v>
      </c>
      <c r="G228" s="6">
        <v>81721.25</v>
      </c>
      <c r="H228" s="7">
        <v>42593</v>
      </c>
      <c r="I228" s="6" t="s">
        <v>63</v>
      </c>
      <c r="J228" s="6" t="s">
        <v>510</v>
      </c>
      <c r="K228" s="6" t="s">
        <v>30</v>
      </c>
      <c r="L228" s="6" t="s">
        <v>31</v>
      </c>
      <c r="M228" s="6" t="s">
        <v>32</v>
      </c>
      <c r="N228" s="6">
        <v>4.8</v>
      </c>
      <c r="O228" s="6">
        <v>170</v>
      </c>
    </row>
    <row r="229" spans="1:15" ht="14.25" customHeight="1" x14ac:dyDescent="0.3">
      <c r="A229" s="6" t="s">
        <v>511</v>
      </c>
      <c r="B229" s="6">
        <v>31</v>
      </c>
      <c r="C229" s="6" t="s">
        <v>62</v>
      </c>
      <c r="D229" s="6" t="s">
        <v>26</v>
      </c>
      <c r="E229" s="6" t="s">
        <v>80</v>
      </c>
      <c r="F229" s="6">
        <v>1228</v>
      </c>
      <c r="G229" s="6">
        <v>143421.70000000001</v>
      </c>
      <c r="H229" s="7">
        <v>37314</v>
      </c>
      <c r="I229" s="6" t="s">
        <v>66</v>
      </c>
      <c r="J229" s="6" t="s">
        <v>512</v>
      </c>
      <c r="K229" s="6" t="s">
        <v>37</v>
      </c>
      <c r="L229" s="6" t="s">
        <v>38</v>
      </c>
      <c r="M229" s="6" t="s">
        <v>39</v>
      </c>
      <c r="N229" s="6">
        <v>1.03</v>
      </c>
      <c r="O229" s="6">
        <v>63</v>
      </c>
    </row>
    <row r="230" spans="1:15" ht="14.25" customHeight="1" x14ac:dyDescent="0.3">
      <c r="A230" s="6" t="s">
        <v>513</v>
      </c>
      <c r="B230" s="6">
        <v>32</v>
      </c>
      <c r="C230" s="6" t="s">
        <v>25</v>
      </c>
      <c r="D230" s="6" t="s">
        <v>55</v>
      </c>
      <c r="E230" s="6" t="s">
        <v>27</v>
      </c>
      <c r="F230" s="6">
        <v>1229</v>
      </c>
      <c r="G230" s="6">
        <v>54925.41</v>
      </c>
      <c r="H230" s="7">
        <v>39232</v>
      </c>
      <c r="I230" s="6" t="s">
        <v>70</v>
      </c>
      <c r="J230" s="6" t="s">
        <v>514</v>
      </c>
      <c r="K230" s="6" t="s">
        <v>43</v>
      </c>
      <c r="L230" s="6" t="s">
        <v>44</v>
      </c>
      <c r="M230" s="6" t="s">
        <v>45</v>
      </c>
      <c r="N230" s="6">
        <v>1.78</v>
      </c>
      <c r="O230" s="6">
        <v>33</v>
      </c>
    </row>
    <row r="231" spans="1:15" ht="14.25" customHeight="1" x14ac:dyDescent="0.3">
      <c r="A231" s="6" t="s">
        <v>515</v>
      </c>
      <c r="B231" s="6">
        <v>49</v>
      </c>
      <c r="C231" s="6" t="s">
        <v>16</v>
      </c>
      <c r="D231" s="6" t="s">
        <v>17</v>
      </c>
      <c r="E231" s="6" t="s">
        <v>48</v>
      </c>
      <c r="F231" s="6">
        <v>1230</v>
      </c>
      <c r="G231" s="6">
        <v>118633.76</v>
      </c>
      <c r="H231" s="7">
        <v>42144</v>
      </c>
      <c r="I231" s="6" t="s">
        <v>73</v>
      </c>
      <c r="J231" s="6" t="s">
        <v>516</v>
      </c>
      <c r="K231" s="6" t="s">
        <v>51</v>
      </c>
      <c r="L231" s="6" t="s">
        <v>52</v>
      </c>
      <c r="M231" s="6" t="s">
        <v>53</v>
      </c>
      <c r="N231" s="6">
        <v>4.45</v>
      </c>
      <c r="O231" s="6">
        <v>58</v>
      </c>
    </row>
    <row r="232" spans="1:15" ht="14.25" customHeight="1" x14ac:dyDescent="0.3">
      <c r="A232" s="6" t="s">
        <v>517</v>
      </c>
      <c r="B232" s="6">
        <v>29</v>
      </c>
      <c r="C232" s="6" t="s">
        <v>16</v>
      </c>
      <c r="D232" s="6" t="s">
        <v>55</v>
      </c>
      <c r="E232" s="6" t="s">
        <v>18</v>
      </c>
      <c r="F232" s="6">
        <v>1231</v>
      </c>
      <c r="G232" s="6">
        <v>59600.23</v>
      </c>
      <c r="H232" s="7">
        <v>44915</v>
      </c>
      <c r="I232" s="6" t="s">
        <v>19</v>
      </c>
      <c r="J232" s="6" t="s">
        <v>518</v>
      </c>
      <c r="K232" s="6" t="s">
        <v>21</v>
      </c>
      <c r="L232" s="6" t="s">
        <v>22</v>
      </c>
      <c r="M232" s="6" t="s">
        <v>23</v>
      </c>
      <c r="N232" s="6">
        <v>4.2699999999999996</v>
      </c>
      <c r="O232" s="6">
        <v>6</v>
      </c>
    </row>
    <row r="233" spans="1:15" ht="14.25" customHeight="1" x14ac:dyDescent="0.3">
      <c r="A233" s="6" t="s">
        <v>519</v>
      </c>
      <c r="B233" s="6">
        <v>61</v>
      </c>
      <c r="C233" s="6" t="s">
        <v>16</v>
      </c>
      <c r="D233" s="6" t="s">
        <v>69</v>
      </c>
      <c r="E233" s="6" t="s">
        <v>34</v>
      </c>
      <c r="F233" s="6">
        <v>1232</v>
      </c>
      <c r="G233" s="6">
        <v>155324.64000000001</v>
      </c>
      <c r="H233" s="7">
        <v>44417</v>
      </c>
      <c r="I233" s="6" t="s">
        <v>28</v>
      </c>
      <c r="J233" s="6" t="s">
        <v>520</v>
      </c>
      <c r="K233" s="6" t="s">
        <v>30</v>
      </c>
      <c r="L233" s="6" t="s">
        <v>31</v>
      </c>
      <c r="M233" s="6" t="s">
        <v>32</v>
      </c>
      <c r="N233" s="6">
        <v>1.71</v>
      </c>
      <c r="O233" s="6">
        <v>91</v>
      </c>
    </row>
    <row r="234" spans="1:15" ht="14.25" customHeight="1" x14ac:dyDescent="0.3">
      <c r="A234" s="6" t="s">
        <v>521</v>
      </c>
      <c r="B234" s="6">
        <v>43</v>
      </c>
      <c r="C234" s="6" t="s">
        <v>62</v>
      </c>
      <c r="D234" s="6" t="s">
        <v>26</v>
      </c>
      <c r="E234" s="6" t="s">
        <v>18</v>
      </c>
      <c r="F234" s="6">
        <v>1233</v>
      </c>
      <c r="G234" s="6">
        <v>130433.43</v>
      </c>
      <c r="H234" s="7">
        <v>39135</v>
      </c>
      <c r="I234" s="6" t="s">
        <v>35</v>
      </c>
      <c r="J234" s="6" t="s">
        <v>522</v>
      </c>
      <c r="K234" s="6" t="s">
        <v>37</v>
      </c>
      <c r="L234" s="6" t="s">
        <v>38</v>
      </c>
      <c r="M234" s="6" t="s">
        <v>39</v>
      </c>
      <c r="N234" s="6">
        <v>4.53</v>
      </c>
      <c r="O234" s="6">
        <v>26</v>
      </c>
    </row>
    <row r="235" spans="1:15" ht="14.25" customHeight="1" x14ac:dyDescent="0.3">
      <c r="A235" s="6" t="s">
        <v>523</v>
      </c>
      <c r="B235" s="6">
        <v>55</v>
      </c>
      <c r="C235" s="6" t="s">
        <v>16</v>
      </c>
      <c r="D235" s="6" t="s">
        <v>69</v>
      </c>
      <c r="E235" s="6" t="s">
        <v>48</v>
      </c>
      <c r="F235" s="6">
        <v>1234</v>
      </c>
      <c r="G235" s="6">
        <v>142181</v>
      </c>
      <c r="H235" s="7">
        <v>38063</v>
      </c>
      <c r="I235" s="6" t="s">
        <v>41</v>
      </c>
      <c r="J235" s="6" t="s">
        <v>524</v>
      </c>
      <c r="K235" s="6" t="s">
        <v>43</v>
      </c>
      <c r="L235" s="6" t="s">
        <v>44</v>
      </c>
      <c r="M235" s="6" t="s">
        <v>45</v>
      </c>
      <c r="N235" s="6">
        <v>1.93</v>
      </c>
      <c r="O235" s="6">
        <v>161</v>
      </c>
    </row>
    <row r="236" spans="1:15" ht="14.25" customHeight="1" x14ac:dyDescent="0.3">
      <c r="A236" s="6" t="s">
        <v>525</v>
      </c>
      <c r="B236" s="6">
        <v>56</v>
      </c>
      <c r="C236" s="6" t="s">
        <v>16</v>
      </c>
      <c r="D236" s="6" t="s">
        <v>69</v>
      </c>
      <c r="E236" s="6" t="s">
        <v>18</v>
      </c>
      <c r="F236" s="6">
        <v>1235</v>
      </c>
      <c r="G236" s="6">
        <v>62515.58</v>
      </c>
      <c r="H236" s="7">
        <v>41789</v>
      </c>
      <c r="I236" s="6" t="s">
        <v>49</v>
      </c>
      <c r="J236" s="6" t="s">
        <v>526</v>
      </c>
      <c r="K236" s="6" t="s">
        <v>51</v>
      </c>
      <c r="L236" s="6" t="s">
        <v>52</v>
      </c>
      <c r="M236" s="6" t="s">
        <v>53</v>
      </c>
      <c r="N236" s="6">
        <v>1.31</v>
      </c>
      <c r="O236" s="6">
        <v>5</v>
      </c>
    </row>
    <row r="237" spans="1:15" ht="14.25" customHeight="1" x14ac:dyDescent="0.3">
      <c r="A237" s="6" t="s">
        <v>527</v>
      </c>
      <c r="B237" s="6">
        <v>56</v>
      </c>
      <c r="C237" s="6" t="s">
        <v>62</v>
      </c>
      <c r="D237" s="6" t="s">
        <v>55</v>
      </c>
      <c r="E237" s="6" t="s">
        <v>48</v>
      </c>
      <c r="F237" s="6">
        <v>1236</v>
      </c>
      <c r="G237" s="6">
        <v>83871.509999999995</v>
      </c>
      <c r="H237" s="7">
        <v>40958</v>
      </c>
      <c r="I237" s="6" t="s">
        <v>56</v>
      </c>
      <c r="J237" s="6" t="s">
        <v>528</v>
      </c>
      <c r="K237" s="6" t="s">
        <v>21</v>
      </c>
      <c r="L237" s="6" t="s">
        <v>22</v>
      </c>
      <c r="M237" s="6" t="s">
        <v>23</v>
      </c>
      <c r="N237" s="6">
        <v>3.89</v>
      </c>
      <c r="O237" s="6">
        <v>70</v>
      </c>
    </row>
    <row r="238" spans="1:15" ht="14.25" customHeight="1" x14ac:dyDescent="0.3">
      <c r="A238" s="6" t="s">
        <v>529</v>
      </c>
      <c r="B238" s="6">
        <v>46</v>
      </c>
      <c r="C238" s="6" t="s">
        <v>62</v>
      </c>
      <c r="D238" s="6" t="s">
        <v>69</v>
      </c>
      <c r="E238" s="6" t="s">
        <v>80</v>
      </c>
      <c r="F238" s="6">
        <v>1237</v>
      </c>
      <c r="G238" s="6">
        <v>112677.21</v>
      </c>
      <c r="H238" s="7">
        <v>41432</v>
      </c>
      <c r="I238" s="6" t="s">
        <v>63</v>
      </c>
      <c r="J238" s="6" t="s">
        <v>530</v>
      </c>
      <c r="K238" s="6" t="s">
        <v>30</v>
      </c>
      <c r="L238" s="6" t="s">
        <v>31</v>
      </c>
      <c r="M238" s="6" t="s">
        <v>32</v>
      </c>
      <c r="N238" s="6">
        <v>1.21</v>
      </c>
      <c r="O238" s="6">
        <v>101</v>
      </c>
    </row>
    <row r="239" spans="1:15" ht="14.25" customHeight="1" x14ac:dyDescent="0.3">
      <c r="A239" s="6" t="s">
        <v>531</v>
      </c>
      <c r="B239" s="6">
        <v>55</v>
      </c>
      <c r="C239" s="6" t="s">
        <v>62</v>
      </c>
      <c r="D239" s="6" t="s">
        <v>69</v>
      </c>
      <c r="E239" s="6" t="s">
        <v>48</v>
      </c>
      <c r="F239" s="6">
        <v>1238</v>
      </c>
      <c r="G239" s="6">
        <v>175174.77</v>
      </c>
      <c r="H239" s="7">
        <v>41235</v>
      </c>
      <c r="I239" s="6" t="s">
        <v>66</v>
      </c>
      <c r="J239" s="6" t="s">
        <v>532</v>
      </c>
      <c r="K239" s="6" t="s">
        <v>37</v>
      </c>
      <c r="L239" s="6" t="s">
        <v>38</v>
      </c>
      <c r="M239" s="6" t="s">
        <v>39</v>
      </c>
      <c r="N239" s="6">
        <v>4.43</v>
      </c>
      <c r="O239" s="6">
        <v>180</v>
      </c>
    </row>
    <row r="240" spans="1:15" ht="14.25" customHeight="1" x14ac:dyDescent="0.3">
      <c r="A240" s="6" t="s">
        <v>533</v>
      </c>
      <c r="B240" s="6">
        <v>27</v>
      </c>
      <c r="C240" s="6" t="s">
        <v>62</v>
      </c>
      <c r="D240" s="6" t="s">
        <v>26</v>
      </c>
      <c r="E240" s="6" t="s">
        <v>80</v>
      </c>
      <c r="F240" s="6">
        <v>1239</v>
      </c>
      <c r="G240" s="6">
        <v>128635.02</v>
      </c>
      <c r="H240" s="7">
        <v>44449</v>
      </c>
      <c r="I240" s="6" t="s">
        <v>70</v>
      </c>
      <c r="J240" s="6" t="s">
        <v>534</v>
      </c>
      <c r="K240" s="6" t="s">
        <v>43</v>
      </c>
      <c r="L240" s="6" t="s">
        <v>44</v>
      </c>
      <c r="M240" s="6" t="s">
        <v>45</v>
      </c>
      <c r="N240" s="6">
        <v>4.13</v>
      </c>
      <c r="O240" s="6">
        <v>18</v>
      </c>
    </row>
    <row r="241" spans="1:15" ht="14.25" customHeight="1" x14ac:dyDescent="0.3">
      <c r="A241" s="6" t="s">
        <v>535</v>
      </c>
      <c r="B241" s="6">
        <v>62</v>
      </c>
      <c r="C241" s="6" t="s">
        <v>25</v>
      </c>
      <c r="D241" s="6" t="s">
        <v>55</v>
      </c>
      <c r="E241" s="6" t="s">
        <v>80</v>
      </c>
      <c r="F241" s="6">
        <v>1240</v>
      </c>
      <c r="G241" s="6">
        <v>113961.94</v>
      </c>
      <c r="H241" s="7">
        <v>38834</v>
      </c>
      <c r="I241" s="6" t="s">
        <v>73</v>
      </c>
      <c r="J241" s="6" t="s">
        <v>536</v>
      </c>
      <c r="K241" s="6" t="s">
        <v>51</v>
      </c>
      <c r="L241" s="6" t="s">
        <v>52</v>
      </c>
      <c r="M241" s="6" t="s">
        <v>53</v>
      </c>
      <c r="N241" s="6">
        <v>1.1399999999999999</v>
      </c>
      <c r="O241" s="6">
        <v>51</v>
      </c>
    </row>
    <row r="242" spans="1:15" ht="14.25" customHeight="1" x14ac:dyDescent="0.3">
      <c r="A242" s="6" t="s">
        <v>537</v>
      </c>
      <c r="B242" s="6">
        <v>58</v>
      </c>
      <c r="C242" s="6" t="s">
        <v>25</v>
      </c>
      <c r="D242" s="6" t="s">
        <v>26</v>
      </c>
      <c r="E242" s="6" t="s">
        <v>80</v>
      </c>
      <c r="F242" s="6">
        <v>1241</v>
      </c>
      <c r="G242" s="6">
        <v>100375.51</v>
      </c>
      <c r="H242" s="7">
        <v>37460</v>
      </c>
      <c r="I242" s="6" t="s">
        <v>19</v>
      </c>
      <c r="J242" s="6" t="s">
        <v>538</v>
      </c>
      <c r="K242" s="6" t="s">
        <v>21</v>
      </c>
      <c r="L242" s="6" t="s">
        <v>22</v>
      </c>
      <c r="M242" s="6" t="s">
        <v>23</v>
      </c>
      <c r="N242" s="6">
        <v>4.95</v>
      </c>
      <c r="O242" s="6">
        <v>13</v>
      </c>
    </row>
    <row r="243" spans="1:15" ht="14.25" customHeight="1" x14ac:dyDescent="0.3">
      <c r="A243" s="6" t="s">
        <v>539</v>
      </c>
      <c r="B243" s="6">
        <v>22</v>
      </c>
      <c r="C243" s="6" t="s">
        <v>16</v>
      </c>
      <c r="D243" s="6" t="s">
        <v>47</v>
      </c>
      <c r="E243" s="6" t="s">
        <v>18</v>
      </c>
      <c r="F243" s="6">
        <v>1242</v>
      </c>
      <c r="G243" s="6">
        <v>84741.68</v>
      </c>
      <c r="H243" s="7">
        <v>37492</v>
      </c>
      <c r="I243" s="6" t="s">
        <v>28</v>
      </c>
      <c r="J243" s="6" t="s">
        <v>540</v>
      </c>
      <c r="K243" s="6" t="s">
        <v>30</v>
      </c>
      <c r="L243" s="6" t="s">
        <v>31</v>
      </c>
      <c r="M243" s="6" t="s">
        <v>32</v>
      </c>
      <c r="N243" s="6">
        <v>3.25</v>
      </c>
      <c r="O243" s="6">
        <v>13</v>
      </c>
    </row>
    <row r="244" spans="1:15" ht="14.25" customHeight="1" x14ac:dyDescent="0.3">
      <c r="A244" s="6" t="s">
        <v>541</v>
      </c>
      <c r="B244" s="6">
        <v>33</v>
      </c>
      <c r="C244" s="6" t="s">
        <v>25</v>
      </c>
      <c r="D244" s="6" t="s">
        <v>55</v>
      </c>
      <c r="E244" s="6" t="s">
        <v>18</v>
      </c>
      <c r="F244" s="6">
        <v>1243</v>
      </c>
      <c r="G244" s="6">
        <v>57050.02</v>
      </c>
      <c r="H244" s="7">
        <v>40481</v>
      </c>
      <c r="I244" s="6" t="s">
        <v>35</v>
      </c>
      <c r="J244" s="6" t="s">
        <v>542</v>
      </c>
      <c r="K244" s="6" t="s">
        <v>37</v>
      </c>
      <c r="L244" s="6" t="s">
        <v>38</v>
      </c>
      <c r="M244" s="6" t="s">
        <v>39</v>
      </c>
      <c r="N244" s="6">
        <v>1.29</v>
      </c>
      <c r="O244" s="6">
        <v>130</v>
      </c>
    </row>
    <row r="245" spans="1:15" ht="14.25" customHeight="1" x14ac:dyDescent="0.3">
      <c r="A245" s="6" t="s">
        <v>543</v>
      </c>
      <c r="B245" s="6">
        <v>56</v>
      </c>
      <c r="C245" s="6" t="s">
        <v>62</v>
      </c>
      <c r="D245" s="6" t="s">
        <v>69</v>
      </c>
      <c r="E245" s="6" t="s">
        <v>18</v>
      </c>
      <c r="F245" s="6">
        <v>1244</v>
      </c>
      <c r="G245" s="6">
        <v>85831.32</v>
      </c>
      <c r="H245" s="7">
        <v>36953</v>
      </c>
      <c r="I245" s="6" t="s">
        <v>41</v>
      </c>
      <c r="J245" s="6" t="s">
        <v>544</v>
      </c>
      <c r="K245" s="6" t="s">
        <v>43</v>
      </c>
      <c r="L245" s="6" t="s">
        <v>44</v>
      </c>
      <c r="M245" s="6" t="s">
        <v>45</v>
      </c>
      <c r="N245" s="6">
        <v>4.91</v>
      </c>
      <c r="O245" s="6">
        <v>51</v>
      </c>
    </row>
    <row r="246" spans="1:15" ht="14.25" customHeight="1" x14ac:dyDescent="0.3">
      <c r="A246" s="6" t="s">
        <v>545</v>
      </c>
      <c r="B246" s="6">
        <v>27</v>
      </c>
      <c r="C246" s="6" t="s">
        <v>25</v>
      </c>
      <c r="D246" s="6" t="s">
        <v>55</v>
      </c>
      <c r="E246" s="6" t="s">
        <v>34</v>
      </c>
      <c r="F246" s="6">
        <v>1245</v>
      </c>
      <c r="G246" s="6">
        <v>92977.95</v>
      </c>
      <c r="H246" s="7">
        <v>40455</v>
      </c>
      <c r="I246" s="6" t="s">
        <v>49</v>
      </c>
      <c r="J246" s="6" t="s">
        <v>546</v>
      </c>
      <c r="K246" s="6" t="s">
        <v>51</v>
      </c>
      <c r="L246" s="6" t="s">
        <v>52</v>
      </c>
      <c r="M246" s="6" t="s">
        <v>53</v>
      </c>
      <c r="N246" s="6">
        <v>4.5199999999999996</v>
      </c>
      <c r="O246" s="6">
        <v>57</v>
      </c>
    </row>
    <row r="247" spans="1:15" ht="14.25" customHeight="1" x14ac:dyDescent="0.3">
      <c r="A247" s="6" t="s">
        <v>547</v>
      </c>
      <c r="B247" s="6">
        <v>38</v>
      </c>
      <c r="C247" s="6" t="s">
        <v>62</v>
      </c>
      <c r="D247" s="6" t="s">
        <v>55</v>
      </c>
      <c r="E247" s="6" t="s">
        <v>34</v>
      </c>
      <c r="F247" s="6">
        <v>1246</v>
      </c>
      <c r="G247" s="6">
        <v>168191.05</v>
      </c>
      <c r="H247" s="7">
        <v>40526</v>
      </c>
      <c r="I247" s="6" t="s">
        <v>56</v>
      </c>
      <c r="J247" s="6" t="s">
        <v>548</v>
      </c>
      <c r="K247" s="6" t="s">
        <v>21</v>
      </c>
      <c r="L247" s="6" t="s">
        <v>22</v>
      </c>
      <c r="M247" s="6" t="s">
        <v>23</v>
      </c>
      <c r="N247" s="6">
        <v>4.92</v>
      </c>
      <c r="O247" s="6">
        <v>115</v>
      </c>
    </row>
    <row r="248" spans="1:15" ht="14.25" customHeight="1" x14ac:dyDescent="0.3">
      <c r="A248" s="6" t="s">
        <v>549</v>
      </c>
      <c r="B248" s="6">
        <v>30</v>
      </c>
      <c r="C248" s="6" t="s">
        <v>25</v>
      </c>
      <c r="D248" s="6" t="s">
        <v>47</v>
      </c>
      <c r="E248" s="6" t="s">
        <v>27</v>
      </c>
      <c r="F248" s="6">
        <v>1247</v>
      </c>
      <c r="G248" s="6">
        <v>170068.4</v>
      </c>
      <c r="H248" s="7">
        <v>39821</v>
      </c>
      <c r="I248" s="6" t="s">
        <v>63</v>
      </c>
      <c r="J248" s="6" t="s">
        <v>550</v>
      </c>
      <c r="K248" s="6" t="s">
        <v>30</v>
      </c>
      <c r="L248" s="6" t="s">
        <v>31</v>
      </c>
      <c r="M248" s="6" t="s">
        <v>32</v>
      </c>
      <c r="N248" s="6">
        <v>4.5999999999999996</v>
      </c>
      <c r="O248" s="6">
        <v>129</v>
      </c>
    </row>
    <row r="249" spans="1:15" ht="14.25" customHeight="1" x14ac:dyDescent="0.3">
      <c r="A249" s="6" t="s">
        <v>551</v>
      </c>
      <c r="B249" s="6">
        <v>23</v>
      </c>
      <c r="C249" s="6" t="s">
        <v>62</v>
      </c>
      <c r="D249" s="6" t="s">
        <v>26</v>
      </c>
      <c r="E249" s="6" t="s">
        <v>34</v>
      </c>
      <c r="F249" s="6">
        <v>1248</v>
      </c>
      <c r="G249" s="6">
        <v>106539.51</v>
      </c>
      <c r="H249" s="7">
        <v>43992</v>
      </c>
      <c r="I249" s="6" t="s">
        <v>66</v>
      </c>
      <c r="J249" s="6" t="s">
        <v>552</v>
      </c>
      <c r="K249" s="6" t="s">
        <v>37</v>
      </c>
      <c r="L249" s="6" t="s">
        <v>38</v>
      </c>
      <c r="M249" s="6" t="s">
        <v>39</v>
      </c>
      <c r="N249" s="6">
        <v>3.23</v>
      </c>
      <c r="O249" s="6">
        <v>7</v>
      </c>
    </row>
    <row r="250" spans="1:15" ht="14.25" customHeight="1" x14ac:dyDescent="0.3">
      <c r="A250" s="6" t="s">
        <v>553</v>
      </c>
      <c r="B250" s="6">
        <v>39</v>
      </c>
      <c r="C250" s="6" t="s">
        <v>16</v>
      </c>
      <c r="D250" s="6" t="s">
        <v>55</v>
      </c>
      <c r="E250" s="6" t="s">
        <v>18</v>
      </c>
      <c r="F250" s="6">
        <v>1249</v>
      </c>
      <c r="G250" s="6">
        <v>53768.17</v>
      </c>
      <c r="H250" s="7">
        <v>36643</v>
      </c>
      <c r="I250" s="6" t="s">
        <v>70</v>
      </c>
      <c r="J250" s="6" t="s">
        <v>554</v>
      </c>
      <c r="K250" s="6" t="s">
        <v>43</v>
      </c>
      <c r="L250" s="6" t="s">
        <v>44</v>
      </c>
      <c r="M250" s="6" t="s">
        <v>45</v>
      </c>
      <c r="N250" s="6">
        <v>4.59</v>
      </c>
      <c r="O250" s="6">
        <v>11</v>
      </c>
    </row>
    <row r="251" spans="1:15" ht="14.25" customHeight="1" x14ac:dyDescent="0.3">
      <c r="A251" s="6" t="s">
        <v>555</v>
      </c>
      <c r="B251" s="6">
        <v>57</v>
      </c>
      <c r="C251" s="6" t="s">
        <v>16</v>
      </c>
      <c r="D251" s="6" t="s">
        <v>55</v>
      </c>
      <c r="E251" s="6" t="s">
        <v>34</v>
      </c>
      <c r="F251" s="6">
        <v>1250</v>
      </c>
      <c r="G251" s="6">
        <v>120671.16</v>
      </c>
      <c r="H251" s="7">
        <v>38895</v>
      </c>
      <c r="I251" s="6" t="s">
        <v>73</v>
      </c>
      <c r="J251" s="6" t="s">
        <v>556</v>
      </c>
      <c r="K251" s="6" t="s">
        <v>51</v>
      </c>
      <c r="L251" s="6" t="s">
        <v>52</v>
      </c>
      <c r="M251" s="6" t="s">
        <v>53</v>
      </c>
      <c r="N251" s="6">
        <v>1.94</v>
      </c>
      <c r="O251" s="6">
        <v>177</v>
      </c>
    </row>
    <row r="252" spans="1:15" ht="14.25" customHeight="1" x14ac:dyDescent="0.3">
      <c r="A252" s="6" t="s">
        <v>557</v>
      </c>
      <c r="B252" s="6">
        <v>49</v>
      </c>
      <c r="C252" s="6" t="s">
        <v>25</v>
      </c>
      <c r="D252" s="6" t="s">
        <v>17</v>
      </c>
      <c r="E252" s="6" t="s">
        <v>34</v>
      </c>
      <c r="F252" s="6">
        <v>1251</v>
      </c>
      <c r="G252" s="6">
        <v>184784.51</v>
      </c>
      <c r="H252" s="7">
        <v>41070</v>
      </c>
      <c r="I252" s="6" t="s">
        <v>19</v>
      </c>
      <c r="J252" s="6" t="s">
        <v>558</v>
      </c>
      <c r="K252" s="6" t="s">
        <v>21</v>
      </c>
      <c r="L252" s="6" t="s">
        <v>22</v>
      </c>
      <c r="M252" s="6" t="s">
        <v>23</v>
      </c>
      <c r="N252" s="6">
        <v>4.5199999999999996</v>
      </c>
      <c r="O252" s="6">
        <v>92</v>
      </c>
    </row>
    <row r="253" spans="1:15" ht="14.25" customHeight="1" x14ac:dyDescent="0.3">
      <c r="A253" s="6" t="s">
        <v>559</v>
      </c>
      <c r="B253" s="6">
        <v>62</v>
      </c>
      <c r="C253" s="6" t="s">
        <v>62</v>
      </c>
      <c r="D253" s="6" t="s">
        <v>55</v>
      </c>
      <c r="E253" s="6" t="s">
        <v>34</v>
      </c>
      <c r="F253" s="6">
        <v>1252</v>
      </c>
      <c r="G253" s="6">
        <v>159433.12</v>
      </c>
      <c r="H253" s="7">
        <v>38190</v>
      </c>
      <c r="I253" s="6" t="s">
        <v>28</v>
      </c>
      <c r="J253" s="6" t="s">
        <v>560</v>
      </c>
      <c r="K253" s="6" t="s">
        <v>30</v>
      </c>
      <c r="L253" s="6" t="s">
        <v>31</v>
      </c>
      <c r="M253" s="6" t="s">
        <v>32</v>
      </c>
      <c r="N253" s="6">
        <v>2.62</v>
      </c>
      <c r="O253" s="6">
        <v>56</v>
      </c>
    </row>
    <row r="254" spans="1:15" ht="14.25" customHeight="1" x14ac:dyDescent="0.3">
      <c r="A254" s="6" t="s">
        <v>561</v>
      </c>
      <c r="B254" s="6">
        <v>58</v>
      </c>
      <c r="C254" s="6" t="s">
        <v>16</v>
      </c>
      <c r="D254" s="6" t="s">
        <v>26</v>
      </c>
      <c r="E254" s="6" t="s">
        <v>27</v>
      </c>
      <c r="F254" s="6">
        <v>1253</v>
      </c>
      <c r="G254" s="6">
        <v>61498.81</v>
      </c>
      <c r="H254" s="7">
        <v>37832</v>
      </c>
      <c r="I254" s="6" t="s">
        <v>35</v>
      </c>
      <c r="J254" s="6" t="s">
        <v>562</v>
      </c>
      <c r="K254" s="6" t="s">
        <v>37</v>
      </c>
      <c r="L254" s="6" t="s">
        <v>38</v>
      </c>
      <c r="M254" s="6" t="s">
        <v>39</v>
      </c>
      <c r="N254" s="6">
        <v>2.25</v>
      </c>
      <c r="O254" s="6">
        <v>119</v>
      </c>
    </row>
    <row r="255" spans="1:15" ht="14.25" customHeight="1" x14ac:dyDescent="0.3">
      <c r="A255" s="6" t="s">
        <v>563</v>
      </c>
      <c r="B255" s="6">
        <v>47</v>
      </c>
      <c r="C255" s="6" t="s">
        <v>62</v>
      </c>
      <c r="D255" s="6" t="s">
        <v>17</v>
      </c>
      <c r="E255" s="6" t="s">
        <v>80</v>
      </c>
      <c r="F255" s="6">
        <v>1254</v>
      </c>
      <c r="G255" s="6">
        <v>151849.89000000001</v>
      </c>
      <c r="H255" s="7">
        <v>36751</v>
      </c>
      <c r="I255" s="6" t="s">
        <v>41</v>
      </c>
      <c r="J255" s="6" t="s">
        <v>564</v>
      </c>
      <c r="K255" s="6" t="s">
        <v>43</v>
      </c>
      <c r="L255" s="6" t="s">
        <v>44</v>
      </c>
      <c r="M255" s="6" t="s">
        <v>45</v>
      </c>
      <c r="N255" s="6">
        <v>4.92</v>
      </c>
      <c r="O255" s="6">
        <v>81</v>
      </c>
    </row>
    <row r="256" spans="1:15" ht="14.25" customHeight="1" x14ac:dyDescent="0.3">
      <c r="A256" s="6" t="s">
        <v>565</v>
      </c>
      <c r="B256" s="6">
        <v>25</v>
      </c>
      <c r="C256" s="6" t="s">
        <v>25</v>
      </c>
      <c r="D256" s="6" t="s">
        <v>69</v>
      </c>
      <c r="E256" s="6" t="s">
        <v>18</v>
      </c>
      <c r="F256" s="6">
        <v>1255</v>
      </c>
      <c r="G256" s="6">
        <v>138610.54</v>
      </c>
      <c r="H256" s="7">
        <v>39727</v>
      </c>
      <c r="I256" s="6" t="s">
        <v>49</v>
      </c>
      <c r="J256" s="6" t="s">
        <v>566</v>
      </c>
      <c r="K256" s="6" t="s">
        <v>51</v>
      </c>
      <c r="L256" s="6" t="s">
        <v>52</v>
      </c>
      <c r="M256" s="6" t="s">
        <v>53</v>
      </c>
      <c r="N256" s="6">
        <v>1.92</v>
      </c>
      <c r="O256" s="6">
        <v>92</v>
      </c>
    </row>
    <row r="257" spans="1:15" ht="14.25" customHeight="1" x14ac:dyDescent="0.3">
      <c r="A257" s="6" t="s">
        <v>567</v>
      </c>
      <c r="B257" s="6">
        <v>61</v>
      </c>
      <c r="C257" s="6" t="s">
        <v>62</v>
      </c>
      <c r="D257" s="6" t="s">
        <v>69</v>
      </c>
      <c r="E257" s="6" t="s">
        <v>18</v>
      </c>
      <c r="F257" s="6">
        <v>1256</v>
      </c>
      <c r="G257" s="6">
        <v>177443.98</v>
      </c>
      <c r="H257" s="7">
        <v>42056</v>
      </c>
      <c r="I257" s="6" t="s">
        <v>56</v>
      </c>
      <c r="J257" s="6" t="s">
        <v>568</v>
      </c>
      <c r="K257" s="6" t="s">
        <v>21</v>
      </c>
      <c r="L257" s="6" t="s">
        <v>22</v>
      </c>
      <c r="M257" s="6" t="s">
        <v>23</v>
      </c>
      <c r="N257" s="6">
        <v>4.38</v>
      </c>
      <c r="O257" s="6">
        <v>122</v>
      </c>
    </row>
    <row r="258" spans="1:15" ht="14.25" customHeight="1" x14ac:dyDescent="0.3">
      <c r="A258" s="6" t="s">
        <v>569</v>
      </c>
      <c r="B258" s="6">
        <v>57</v>
      </c>
      <c r="C258" s="6" t="s">
        <v>62</v>
      </c>
      <c r="D258" s="6" t="s">
        <v>55</v>
      </c>
      <c r="E258" s="6" t="s">
        <v>27</v>
      </c>
      <c r="F258" s="6">
        <v>1257</v>
      </c>
      <c r="G258" s="6">
        <v>120788.75</v>
      </c>
      <c r="H258" s="7">
        <v>43089</v>
      </c>
      <c r="I258" s="6" t="s">
        <v>63</v>
      </c>
      <c r="J258" s="6" t="s">
        <v>570</v>
      </c>
      <c r="K258" s="6" t="s">
        <v>30</v>
      </c>
      <c r="L258" s="6" t="s">
        <v>31</v>
      </c>
      <c r="M258" s="6" t="s">
        <v>32</v>
      </c>
      <c r="N258" s="6">
        <v>2.34</v>
      </c>
      <c r="O258" s="6">
        <v>126</v>
      </c>
    </row>
    <row r="259" spans="1:15" ht="14.25" customHeight="1" x14ac:dyDescent="0.3">
      <c r="A259" s="6" t="s">
        <v>571</v>
      </c>
      <c r="B259" s="6">
        <v>52</v>
      </c>
      <c r="C259" s="6" t="s">
        <v>25</v>
      </c>
      <c r="D259" s="6" t="s">
        <v>26</v>
      </c>
      <c r="E259" s="6" t="s">
        <v>48</v>
      </c>
      <c r="F259" s="6">
        <v>1258</v>
      </c>
      <c r="G259" s="6">
        <v>86559.05</v>
      </c>
      <c r="H259" s="7">
        <v>41816</v>
      </c>
      <c r="I259" s="6" t="s">
        <v>66</v>
      </c>
      <c r="J259" s="6" t="s">
        <v>572</v>
      </c>
      <c r="K259" s="6" t="s">
        <v>37</v>
      </c>
      <c r="L259" s="6" t="s">
        <v>38</v>
      </c>
      <c r="M259" s="6" t="s">
        <v>39</v>
      </c>
      <c r="N259" s="6">
        <v>1.42</v>
      </c>
      <c r="O259" s="6">
        <v>167</v>
      </c>
    </row>
    <row r="260" spans="1:15" ht="14.25" customHeight="1" x14ac:dyDescent="0.3">
      <c r="A260" s="6" t="s">
        <v>573</v>
      </c>
      <c r="B260" s="6">
        <v>51</v>
      </c>
      <c r="C260" s="6" t="s">
        <v>16</v>
      </c>
      <c r="D260" s="6" t="s">
        <v>55</v>
      </c>
      <c r="E260" s="6" t="s">
        <v>80</v>
      </c>
      <c r="F260" s="6">
        <v>1259</v>
      </c>
      <c r="G260" s="6">
        <v>178608.16</v>
      </c>
      <c r="H260" s="7">
        <v>36617</v>
      </c>
      <c r="I260" s="6" t="s">
        <v>70</v>
      </c>
      <c r="J260" s="6" t="s">
        <v>574</v>
      </c>
      <c r="K260" s="6" t="s">
        <v>43</v>
      </c>
      <c r="L260" s="6" t="s">
        <v>44</v>
      </c>
      <c r="M260" s="6" t="s">
        <v>45</v>
      </c>
      <c r="N260" s="6">
        <v>1.1299999999999999</v>
      </c>
      <c r="O260" s="6">
        <v>172</v>
      </c>
    </row>
    <row r="261" spans="1:15" ht="14.25" customHeight="1" x14ac:dyDescent="0.3">
      <c r="A261" s="6" t="s">
        <v>575</v>
      </c>
      <c r="B261" s="6">
        <v>55</v>
      </c>
      <c r="C261" s="6" t="s">
        <v>25</v>
      </c>
      <c r="D261" s="6" t="s">
        <v>69</v>
      </c>
      <c r="E261" s="6" t="s">
        <v>27</v>
      </c>
      <c r="F261" s="6">
        <v>1260</v>
      </c>
      <c r="G261" s="6">
        <v>164742.84</v>
      </c>
      <c r="H261" s="7">
        <v>44418</v>
      </c>
      <c r="I261" s="6" t="s">
        <v>73</v>
      </c>
      <c r="J261" s="6" t="s">
        <v>576</v>
      </c>
      <c r="K261" s="6" t="s">
        <v>51</v>
      </c>
      <c r="L261" s="6" t="s">
        <v>52</v>
      </c>
      <c r="M261" s="6" t="s">
        <v>53</v>
      </c>
      <c r="N261" s="6">
        <v>3.79</v>
      </c>
      <c r="O261" s="6">
        <v>45</v>
      </c>
    </row>
    <row r="262" spans="1:15" ht="14.25" customHeight="1" x14ac:dyDescent="0.3">
      <c r="A262" s="6" t="s">
        <v>577</v>
      </c>
      <c r="B262" s="6">
        <v>40</v>
      </c>
      <c r="C262" s="6" t="s">
        <v>62</v>
      </c>
      <c r="D262" s="6" t="s">
        <v>55</v>
      </c>
      <c r="E262" s="6" t="s">
        <v>18</v>
      </c>
      <c r="F262" s="6">
        <v>1261</v>
      </c>
      <c r="G262" s="6">
        <v>148731.92000000001</v>
      </c>
      <c r="H262" s="7">
        <v>42945</v>
      </c>
      <c r="I262" s="6" t="s">
        <v>19</v>
      </c>
      <c r="J262" s="6" t="s">
        <v>578</v>
      </c>
      <c r="K262" s="6" t="s">
        <v>21</v>
      </c>
      <c r="L262" s="6" t="s">
        <v>22</v>
      </c>
      <c r="M262" s="6" t="s">
        <v>23</v>
      </c>
      <c r="N262" s="6">
        <v>1.34</v>
      </c>
      <c r="O262" s="6">
        <v>75</v>
      </c>
    </row>
    <row r="263" spans="1:15" ht="14.25" customHeight="1" x14ac:dyDescent="0.3">
      <c r="A263" s="6" t="s">
        <v>579</v>
      </c>
      <c r="B263" s="6">
        <v>39</v>
      </c>
      <c r="C263" s="6" t="s">
        <v>25</v>
      </c>
      <c r="D263" s="6" t="s">
        <v>55</v>
      </c>
      <c r="E263" s="6" t="s">
        <v>34</v>
      </c>
      <c r="F263" s="6">
        <v>1262</v>
      </c>
      <c r="G263" s="6">
        <v>54169.54</v>
      </c>
      <c r="H263" s="7">
        <v>37943</v>
      </c>
      <c r="I263" s="6" t="s">
        <v>28</v>
      </c>
      <c r="J263" s="6" t="s">
        <v>580</v>
      </c>
      <c r="K263" s="6" t="s">
        <v>30</v>
      </c>
      <c r="L263" s="6" t="s">
        <v>31</v>
      </c>
      <c r="M263" s="6" t="s">
        <v>32</v>
      </c>
      <c r="N263" s="6">
        <v>2.98</v>
      </c>
      <c r="O263" s="6">
        <v>118</v>
      </c>
    </row>
    <row r="264" spans="1:15" ht="14.25" customHeight="1" x14ac:dyDescent="0.3">
      <c r="A264" s="6" t="s">
        <v>581</v>
      </c>
      <c r="B264" s="6">
        <v>51</v>
      </c>
      <c r="C264" s="6" t="s">
        <v>25</v>
      </c>
      <c r="D264" s="6" t="s">
        <v>69</v>
      </c>
      <c r="E264" s="6" t="s">
        <v>27</v>
      </c>
      <c r="F264" s="6">
        <v>1263</v>
      </c>
      <c r="G264" s="6">
        <v>111304.76</v>
      </c>
      <c r="H264" s="7">
        <v>39539</v>
      </c>
      <c r="I264" s="6" t="s">
        <v>35</v>
      </c>
      <c r="J264" s="6" t="s">
        <v>582</v>
      </c>
      <c r="K264" s="6" t="s">
        <v>37</v>
      </c>
      <c r="L264" s="6" t="s">
        <v>38</v>
      </c>
      <c r="M264" s="6" t="s">
        <v>39</v>
      </c>
      <c r="N264" s="6">
        <v>2.54</v>
      </c>
      <c r="O264" s="6">
        <v>30</v>
      </c>
    </row>
    <row r="265" spans="1:15" ht="14.25" customHeight="1" x14ac:dyDescent="0.3">
      <c r="A265" s="6" t="s">
        <v>583</v>
      </c>
      <c r="B265" s="6">
        <v>42</v>
      </c>
      <c r="C265" s="6" t="s">
        <v>62</v>
      </c>
      <c r="D265" s="6" t="s">
        <v>69</v>
      </c>
      <c r="E265" s="6" t="s">
        <v>48</v>
      </c>
      <c r="F265" s="6">
        <v>1264</v>
      </c>
      <c r="G265" s="6">
        <v>70896.56</v>
      </c>
      <c r="H265" s="7">
        <v>39389</v>
      </c>
      <c r="I265" s="6" t="s">
        <v>41</v>
      </c>
      <c r="J265" s="6" t="s">
        <v>584</v>
      </c>
      <c r="K265" s="6" t="s">
        <v>43</v>
      </c>
      <c r="L265" s="6" t="s">
        <v>44</v>
      </c>
      <c r="M265" s="6" t="s">
        <v>45</v>
      </c>
      <c r="N265" s="6">
        <v>4.12</v>
      </c>
      <c r="O265" s="6">
        <v>28</v>
      </c>
    </row>
    <row r="266" spans="1:15" ht="14.25" customHeight="1" x14ac:dyDescent="0.3">
      <c r="A266" s="6" t="s">
        <v>585</v>
      </c>
      <c r="B266" s="6">
        <v>24</v>
      </c>
      <c r="C266" s="6" t="s">
        <v>25</v>
      </c>
      <c r="D266" s="6" t="s">
        <v>17</v>
      </c>
      <c r="E266" s="6" t="s">
        <v>27</v>
      </c>
      <c r="F266" s="6">
        <v>1265</v>
      </c>
      <c r="G266" s="6">
        <v>119251.38</v>
      </c>
      <c r="H266" s="7">
        <v>39532</v>
      </c>
      <c r="I266" s="6" t="s">
        <v>49</v>
      </c>
      <c r="J266" s="6" t="s">
        <v>586</v>
      </c>
      <c r="K266" s="6" t="s">
        <v>51</v>
      </c>
      <c r="L266" s="6" t="s">
        <v>52</v>
      </c>
      <c r="M266" s="6" t="s">
        <v>53</v>
      </c>
      <c r="N266" s="6">
        <v>2.78</v>
      </c>
      <c r="O266" s="6">
        <v>29</v>
      </c>
    </row>
    <row r="267" spans="1:15" ht="14.25" customHeight="1" x14ac:dyDescent="0.3">
      <c r="A267" s="6" t="s">
        <v>587</v>
      </c>
      <c r="B267" s="6">
        <v>27</v>
      </c>
      <c r="C267" s="6" t="s">
        <v>16</v>
      </c>
      <c r="D267" s="6" t="s">
        <v>17</v>
      </c>
      <c r="E267" s="6" t="s">
        <v>48</v>
      </c>
      <c r="F267" s="6">
        <v>1266</v>
      </c>
      <c r="G267" s="6">
        <v>185497.47</v>
      </c>
      <c r="H267" s="7">
        <v>44080</v>
      </c>
      <c r="I267" s="6" t="s">
        <v>56</v>
      </c>
      <c r="J267" s="6" t="s">
        <v>588</v>
      </c>
      <c r="K267" s="6" t="s">
        <v>21</v>
      </c>
      <c r="L267" s="6" t="s">
        <v>22</v>
      </c>
      <c r="M267" s="6" t="s">
        <v>23</v>
      </c>
      <c r="N267" s="6">
        <v>3.7</v>
      </c>
      <c r="O267" s="6">
        <v>85</v>
      </c>
    </row>
    <row r="268" spans="1:15" ht="14.25" customHeight="1" x14ac:dyDescent="0.3">
      <c r="A268" s="6" t="s">
        <v>589</v>
      </c>
      <c r="B268" s="6">
        <v>59</v>
      </c>
      <c r="C268" s="6" t="s">
        <v>16</v>
      </c>
      <c r="D268" s="6" t="s">
        <v>26</v>
      </c>
      <c r="E268" s="6" t="s">
        <v>27</v>
      </c>
      <c r="F268" s="6">
        <v>1267</v>
      </c>
      <c r="G268" s="6">
        <v>76888.94</v>
      </c>
      <c r="H268" s="7">
        <v>44685</v>
      </c>
      <c r="I268" s="6" t="s">
        <v>63</v>
      </c>
      <c r="J268" s="6" t="s">
        <v>590</v>
      </c>
      <c r="K268" s="6" t="s">
        <v>30</v>
      </c>
      <c r="L268" s="6" t="s">
        <v>31</v>
      </c>
      <c r="M268" s="6" t="s">
        <v>32</v>
      </c>
      <c r="N268" s="6">
        <v>3.35</v>
      </c>
      <c r="O268" s="6">
        <v>97</v>
      </c>
    </row>
    <row r="269" spans="1:15" ht="14.25" customHeight="1" x14ac:dyDescent="0.3">
      <c r="A269" s="6" t="s">
        <v>591</v>
      </c>
      <c r="B269" s="6">
        <v>34</v>
      </c>
      <c r="C269" s="6" t="s">
        <v>25</v>
      </c>
      <c r="D269" s="6" t="s">
        <v>26</v>
      </c>
      <c r="E269" s="6" t="s">
        <v>48</v>
      </c>
      <c r="F269" s="6">
        <v>1268</v>
      </c>
      <c r="G269" s="6">
        <v>111964.28</v>
      </c>
      <c r="H269" s="7">
        <v>39455</v>
      </c>
      <c r="I269" s="6" t="s">
        <v>66</v>
      </c>
      <c r="J269" s="6" t="s">
        <v>592</v>
      </c>
      <c r="K269" s="6" t="s">
        <v>37</v>
      </c>
      <c r="L269" s="6" t="s">
        <v>38</v>
      </c>
      <c r="M269" s="6" t="s">
        <v>39</v>
      </c>
      <c r="N269" s="6">
        <v>1.8</v>
      </c>
      <c r="O269" s="6">
        <v>118</v>
      </c>
    </row>
    <row r="270" spans="1:15" ht="14.25" customHeight="1" x14ac:dyDescent="0.3">
      <c r="A270" s="6" t="s">
        <v>593</v>
      </c>
      <c r="B270" s="6">
        <v>24</v>
      </c>
      <c r="C270" s="6" t="s">
        <v>62</v>
      </c>
      <c r="D270" s="6" t="s">
        <v>69</v>
      </c>
      <c r="E270" s="6" t="s">
        <v>27</v>
      </c>
      <c r="F270" s="6">
        <v>1269</v>
      </c>
      <c r="G270" s="6">
        <v>99758.57</v>
      </c>
      <c r="H270" s="7">
        <v>41842</v>
      </c>
      <c r="I270" s="6" t="s">
        <v>70</v>
      </c>
      <c r="J270" s="6" t="s">
        <v>594</v>
      </c>
      <c r="K270" s="6" t="s">
        <v>43</v>
      </c>
      <c r="L270" s="6" t="s">
        <v>44</v>
      </c>
      <c r="M270" s="6" t="s">
        <v>45</v>
      </c>
      <c r="N270" s="6">
        <v>4.7</v>
      </c>
      <c r="O270" s="6">
        <v>186</v>
      </c>
    </row>
    <row r="271" spans="1:15" ht="14.25" customHeight="1" x14ac:dyDescent="0.3">
      <c r="A271" s="6" t="s">
        <v>595</v>
      </c>
      <c r="B271" s="6">
        <v>49</v>
      </c>
      <c r="C271" s="6" t="s">
        <v>25</v>
      </c>
      <c r="D271" s="6" t="s">
        <v>26</v>
      </c>
      <c r="E271" s="6" t="s">
        <v>48</v>
      </c>
      <c r="F271" s="6">
        <v>1270</v>
      </c>
      <c r="G271" s="6">
        <v>54618.06</v>
      </c>
      <c r="H271" s="7">
        <v>38013</v>
      </c>
      <c r="I271" s="6" t="s">
        <v>73</v>
      </c>
      <c r="J271" s="6" t="s">
        <v>596</v>
      </c>
      <c r="K271" s="6" t="s">
        <v>51</v>
      </c>
      <c r="L271" s="6" t="s">
        <v>52</v>
      </c>
      <c r="M271" s="6" t="s">
        <v>53</v>
      </c>
      <c r="N271" s="6">
        <v>1.48</v>
      </c>
      <c r="O271" s="6">
        <v>158</v>
      </c>
    </row>
    <row r="272" spans="1:15" ht="14.25" customHeight="1" x14ac:dyDescent="0.3">
      <c r="A272" s="6" t="s">
        <v>597</v>
      </c>
      <c r="B272" s="6">
        <v>43</v>
      </c>
      <c r="C272" s="6" t="s">
        <v>25</v>
      </c>
      <c r="D272" s="6" t="s">
        <v>26</v>
      </c>
      <c r="E272" s="6" t="s">
        <v>48</v>
      </c>
      <c r="F272" s="6">
        <v>1271</v>
      </c>
      <c r="G272" s="6">
        <v>74378.06</v>
      </c>
      <c r="H272" s="7">
        <v>43623</v>
      </c>
      <c r="I272" s="6" t="s">
        <v>19</v>
      </c>
      <c r="J272" s="6" t="s">
        <v>598</v>
      </c>
      <c r="K272" s="6" t="s">
        <v>21</v>
      </c>
      <c r="L272" s="6" t="s">
        <v>22</v>
      </c>
      <c r="M272" s="6" t="s">
        <v>23</v>
      </c>
      <c r="N272" s="6">
        <v>2.87</v>
      </c>
      <c r="O272" s="6">
        <v>123</v>
      </c>
    </row>
    <row r="273" spans="1:15" ht="14.25" customHeight="1" x14ac:dyDescent="0.3">
      <c r="A273" s="6" t="s">
        <v>599</v>
      </c>
      <c r="B273" s="6">
        <v>61</v>
      </c>
      <c r="C273" s="6" t="s">
        <v>16</v>
      </c>
      <c r="D273" s="6" t="s">
        <v>17</v>
      </c>
      <c r="E273" s="6" t="s">
        <v>27</v>
      </c>
      <c r="F273" s="6">
        <v>1272</v>
      </c>
      <c r="G273" s="6">
        <v>115673.3</v>
      </c>
      <c r="H273" s="7">
        <v>42031</v>
      </c>
      <c r="I273" s="6" t="s">
        <v>28</v>
      </c>
      <c r="J273" s="6" t="s">
        <v>600</v>
      </c>
      <c r="K273" s="6" t="s">
        <v>30</v>
      </c>
      <c r="L273" s="6" t="s">
        <v>31</v>
      </c>
      <c r="M273" s="6" t="s">
        <v>32</v>
      </c>
      <c r="N273" s="6">
        <v>2.97</v>
      </c>
      <c r="O273" s="6">
        <v>50</v>
      </c>
    </row>
    <row r="274" spans="1:15" ht="14.25" customHeight="1" x14ac:dyDescent="0.3">
      <c r="A274" s="6" t="s">
        <v>601</v>
      </c>
      <c r="B274" s="6">
        <v>61</v>
      </c>
      <c r="C274" s="6" t="s">
        <v>16</v>
      </c>
      <c r="D274" s="6" t="s">
        <v>69</v>
      </c>
      <c r="E274" s="6" t="s">
        <v>18</v>
      </c>
      <c r="F274" s="6">
        <v>1273</v>
      </c>
      <c r="G274" s="6">
        <v>169588.36</v>
      </c>
      <c r="H274" s="7">
        <v>39089</v>
      </c>
      <c r="I274" s="6" t="s">
        <v>35</v>
      </c>
      <c r="J274" s="6" t="s">
        <v>602</v>
      </c>
      <c r="K274" s="6" t="s">
        <v>37</v>
      </c>
      <c r="L274" s="6" t="s">
        <v>38</v>
      </c>
      <c r="M274" s="6" t="s">
        <v>39</v>
      </c>
      <c r="N274" s="6">
        <v>3.08</v>
      </c>
      <c r="O274" s="6">
        <v>68</v>
      </c>
    </row>
    <row r="275" spans="1:15" ht="14.25" customHeight="1" x14ac:dyDescent="0.3">
      <c r="A275" s="6" t="s">
        <v>603</v>
      </c>
      <c r="B275" s="6">
        <v>33</v>
      </c>
      <c r="C275" s="6" t="s">
        <v>62</v>
      </c>
      <c r="D275" s="6" t="s">
        <v>17</v>
      </c>
      <c r="E275" s="6" t="s">
        <v>27</v>
      </c>
      <c r="F275" s="6">
        <v>1274</v>
      </c>
      <c r="G275" s="6">
        <v>88571.34</v>
      </c>
      <c r="H275" s="7">
        <v>39654</v>
      </c>
      <c r="I275" s="6" t="s">
        <v>41</v>
      </c>
      <c r="J275" s="6" t="s">
        <v>604</v>
      </c>
      <c r="K275" s="6" t="s">
        <v>43</v>
      </c>
      <c r="L275" s="6" t="s">
        <v>44</v>
      </c>
      <c r="M275" s="6" t="s">
        <v>45</v>
      </c>
      <c r="N275" s="6">
        <v>3.7</v>
      </c>
      <c r="O275" s="6">
        <v>176</v>
      </c>
    </row>
    <row r="276" spans="1:15" ht="14.25" customHeight="1" x14ac:dyDescent="0.3">
      <c r="A276" s="6" t="s">
        <v>605</v>
      </c>
      <c r="B276" s="6">
        <v>44</v>
      </c>
      <c r="C276" s="6" t="s">
        <v>62</v>
      </c>
      <c r="D276" s="6" t="s">
        <v>55</v>
      </c>
      <c r="E276" s="6" t="s">
        <v>18</v>
      </c>
      <c r="F276" s="6">
        <v>1275</v>
      </c>
      <c r="G276" s="6">
        <v>142590.68</v>
      </c>
      <c r="H276" s="7">
        <v>40820</v>
      </c>
      <c r="I276" s="6" t="s">
        <v>49</v>
      </c>
      <c r="J276" s="6" t="s">
        <v>606</v>
      </c>
      <c r="K276" s="6" t="s">
        <v>51</v>
      </c>
      <c r="L276" s="6" t="s">
        <v>52</v>
      </c>
      <c r="M276" s="6" t="s">
        <v>53</v>
      </c>
      <c r="N276" s="6">
        <v>1.07</v>
      </c>
      <c r="O276" s="6">
        <v>76</v>
      </c>
    </row>
    <row r="277" spans="1:15" ht="14.25" customHeight="1" x14ac:dyDescent="0.3">
      <c r="A277" s="6" t="s">
        <v>607</v>
      </c>
      <c r="B277" s="6">
        <v>52</v>
      </c>
      <c r="C277" s="6" t="s">
        <v>62</v>
      </c>
      <c r="D277" s="6" t="s">
        <v>69</v>
      </c>
      <c r="E277" s="6" t="s">
        <v>48</v>
      </c>
      <c r="F277" s="6">
        <v>1276</v>
      </c>
      <c r="G277" s="6">
        <v>109148.24</v>
      </c>
      <c r="H277" s="7">
        <v>42620</v>
      </c>
      <c r="I277" s="6" t="s">
        <v>56</v>
      </c>
      <c r="J277" s="6" t="s">
        <v>608</v>
      </c>
      <c r="K277" s="6" t="s">
        <v>21</v>
      </c>
      <c r="L277" s="6" t="s">
        <v>22</v>
      </c>
      <c r="M277" s="6" t="s">
        <v>23</v>
      </c>
      <c r="N277" s="6">
        <v>1.52</v>
      </c>
      <c r="O277" s="6">
        <v>23</v>
      </c>
    </row>
    <row r="278" spans="1:15" ht="14.25" customHeight="1" x14ac:dyDescent="0.3">
      <c r="A278" s="6" t="s">
        <v>609</v>
      </c>
      <c r="B278" s="6">
        <v>39</v>
      </c>
      <c r="C278" s="6" t="s">
        <v>25</v>
      </c>
      <c r="D278" s="6" t="s">
        <v>47</v>
      </c>
      <c r="E278" s="6" t="s">
        <v>27</v>
      </c>
      <c r="F278" s="6">
        <v>1277</v>
      </c>
      <c r="G278" s="6">
        <v>136160.51</v>
      </c>
      <c r="H278" s="7">
        <v>44582</v>
      </c>
      <c r="I278" s="6" t="s">
        <v>63</v>
      </c>
      <c r="J278" s="6" t="s">
        <v>610</v>
      </c>
      <c r="K278" s="6" t="s">
        <v>30</v>
      </c>
      <c r="L278" s="6" t="s">
        <v>31</v>
      </c>
      <c r="M278" s="6" t="s">
        <v>32</v>
      </c>
      <c r="N278" s="6">
        <v>2.83</v>
      </c>
      <c r="O278" s="6">
        <v>74</v>
      </c>
    </row>
    <row r="279" spans="1:15" ht="14.25" customHeight="1" x14ac:dyDescent="0.3">
      <c r="A279" s="6" t="s">
        <v>611</v>
      </c>
      <c r="B279" s="6">
        <v>28</v>
      </c>
      <c r="C279" s="6" t="s">
        <v>25</v>
      </c>
      <c r="D279" s="6" t="s">
        <v>26</v>
      </c>
      <c r="E279" s="6" t="s">
        <v>48</v>
      </c>
      <c r="F279" s="6">
        <v>1278</v>
      </c>
      <c r="G279" s="6">
        <v>116788.28</v>
      </c>
      <c r="H279" s="7">
        <v>43498</v>
      </c>
      <c r="I279" s="6" t="s">
        <v>66</v>
      </c>
      <c r="J279" s="6" t="s">
        <v>612</v>
      </c>
      <c r="K279" s="6" t="s">
        <v>37</v>
      </c>
      <c r="L279" s="6" t="s">
        <v>38</v>
      </c>
      <c r="M279" s="6" t="s">
        <v>39</v>
      </c>
      <c r="N279" s="6">
        <v>2</v>
      </c>
      <c r="O279" s="6">
        <v>56</v>
      </c>
    </row>
    <row r="280" spans="1:15" ht="14.25" customHeight="1" x14ac:dyDescent="0.3">
      <c r="A280" s="6" t="s">
        <v>613</v>
      </c>
      <c r="B280" s="6">
        <v>29</v>
      </c>
      <c r="C280" s="6" t="s">
        <v>25</v>
      </c>
      <c r="D280" s="6" t="s">
        <v>26</v>
      </c>
      <c r="E280" s="6" t="s">
        <v>18</v>
      </c>
      <c r="F280" s="6">
        <v>1279</v>
      </c>
      <c r="G280" s="6">
        <v>161981.01</v>
      </c>
      <c r="H280" s="7">
        <v>42540</v>
      </c>
      <c r="I280" s="6" t="s">
        <v>70</v>
      </c>
      <c r="J280" s="6" t="s">
        <v>614</v>
      </c>
      <c r="K280" s="6" t="s">
        <v>43</v>
      </c>
      <c r="L280" s="6" t="s">
        <v>44</v>
      </c>
      <c r="M280" s="6" t="s">
        <v>45</v>
      </c>
      <c r="N280" s="6">
        <v>1.4</v>
      </c>
      <c r="O280" s="6">
        <v>18</v>
      </c>
    </row>
    <row r="281" spans="1:15" ht="14.25" customHeight="1" x14ac:dyDescent="0.3">
      <c r="A281" s="6" t="s">
        <v>615</v>
      </c>
      <c r="B281" s="6">
        <v>40</v>
      </c>
      <c r="C281" s="6" t="s">
        <v>25</v>
      </c>
      <c r="D281" s="6" t="s">
        <v>69</v>
      </c>
      <c r="E281" s="6" t="s">
        <v>27</v>
      </c>
      <c r="F281" s="6">
        <v>1280</v>
      </c>
      <c r="G281" s="6">
        <v>103253.23</v>
      </c>
      <c r="H281" s="7">
        <v>38898</v>
      </c>
      <c r="I281" s="6" t="s">
        <v>73</v>
      </c>
      <c r="J281" s="6" t="s">
        <v>616</v>
      </c>
      <c r="K281" s="6" t="s">
        <v>51</v>
      </c>
      <c r="L281" s="6" t="s">
        <v>52</v>
      </c>
      <c r="M281" s="6" t="s">
        <v>53</v>
      </c>
      <c r="N281" s="6">
        <v>3.34</v>
      </c>
      <c r="O281" s="6">
        <v>151</v>
      </c>
    </row>
    <row r="282" spans="1:15" ht="14.25" customHeight="1" x14ac:dyDescent="0.3">
      <c r="A282" s="6" t="s">
        <v>617</v>
      </c>
      <c r="B282" s="6">
        <v>50</v>
      </c>
      <c r="C282" s="6" t="s">
        <v>62</v>
      </c>
      <c r="D282" s="6" t="s">
        <v>47</v>
      </c>
      <c r="E282" s="6" t="s">
        <v>27</v>
      </c>
      <c r="F282" s="6">
        <v>1281</v>
      </c>
      <c r="G282" s="6">
        <v>193535.9</v>
      </c>
      <c r="H282" s="7">
        <v>42922</v>
      </c>
      <c r="I282" s="6" t="s">
        <v>19</v>
      </c>
      <c r="J282" s="6" t="s">
        <v>618</v>
      </c>
      <c r="K282" s="6" t="s">
        <v>21</v>
      </c>
      <c r="L282" s="6" t="s">
        <v>22</v>
      </c>
      <c r="M282" s="6" t="s">
        <v>23</v>
      </c>
      <c r="N282" s="6">
        <v>3.48</v>
      </c>
      <c r="O282" s="6">
        <v>199</v>
      </c>
    </row>
    <row r="283" spans="1:15" ht="14.25" customHeight="1" x14ac:dyDescent="0.3">
      <c r="A283" s="6" t="s">
        <v>619</v>
      </c>
      <c r="B283" s="6">
        <v>41</v>
      </c>
      <c r="C283" s="6" t="s">
        <v>62</v>
      </c>
      <c r="D283" s="6" t="s">
        <v>69</v>
      </c>
      <c r="E283" s="6" t="s">
        <v>27</v>
      </c>
      <c r="F283" s="6">
        <v>1282</v>
      </c>
      <c r="G283" s="6">
        <v>126059.32</v>
      </c>
      <c r="H283" s="7">
        <v>41321</v>
      </c>
      <c r="I283" s="6" t="s">
        <v>28</v>
      </c>
      <c r="J283" s="6" t="s">
        <v>620</v>
      </c>
      <c r="K283" s="6" t="s">
        <v>30</v>
      </c>
      <c r="L283" s="6" t="s">
        <v>31</v>
      </c>
      <c r="M283" s="6" t="s">
        <v>32</v>
      </c>
      <c r="N283" s="6">
        <v>2.0099999999999998</v>
      </c>
      <c r="O283" s="6">
        <v>80</v>
      </c>
    </row>
    <row r="284" spans="1:15" ht="14.25" customHeight="1" x14ac:dyDescent="0.3">
      <c r="A284" s="6" t="s">
        <v>621</v>
      </c>
      <c r="B284" s="6">
        <v>63</v>
      </c>
      <c r="C284" s="6" t="s">
        <v>62</v>
      </c>
      <c r="D284" s="6" t="s">
        <v>26</v>
      </c>
      <c r="E284" s="6" t="s">
        <v>80</v>
      </c>
      <c r="F284" s="6">
        <v>1283</v>
      </c>
      <c r="G284" s="6">
        <v>76570.59</v>
      </c>
      <c r="H284" s="7">
        <v>38789</v>
      </c>
      <c r="I284" s="6" t="s">
        <v>35</v>
      </c>
      <c r="J284" s="6" t="s">
        <v>622</v>
      </c>
      <c r="K284" s="6" t="s">
        <v>37</v>
      </c>
      <c r="L284" s="6" t="s">
        <v>38</v>
      </c>
      <c r="M284" s="6" t="s">
        <v>39</v>
      </c>
      <c r="N284" s="6">
        <v>4.0999999999999996</v>
      </c>
      <c r="O284" s="6">
        <v>104</v>
      </c>
    </row>
    <row r="285" spans="1:15" ht="14.25" customHeight="1" x14ac:dyDescent="0.3">
      <c r="A285" s="6" t="s">
        <v>623</v>
      </c>
      <c r="B285" s="6">
        <v>51</v>
      </c>
      <c r="C285" s="6" t="s">
        <v>25</v>
      </c>
      <c r="D285" s="6" t="s">
        <v>26</v>
      </c>
      <c r="E285" s="6" t="s">
        <v>18</v>
      </c>
      <c r="F285" s="6">
        <v>1284</v>
      </c>
      <c r="G285" s="6">
        <v>149758.34</v>
      </c>
      <c r="H285" s="7">
        <v>41493</v>
      </c>
      <c r="I285" s="6" t="s">
        <v>41</v>
      </c>
      <c r="J285" s="6" t="s">
        <v>624</v>
      </c>
      <c r="K285" s="6" t="s">
        <v>43</v>
      </c>
      <c r="L285" s="6" t="s">
        <v>44</v>
      </c>
      <c r="M285" s="6" t="s">
        <v>45</v>
      </c>
      <c r="N285" s="6">
        <v>4.8</v>
      </c>
      <c r="O285" s="6">
        <v>20</v>
      </c>
    </row>
    <row r="286" spans="1:15" ht="14.25" customHeight="1" x14ac:dyDescent="0.3">
      <c r="A286" s="6" t="s">
        <v>625</v>
      </c>
      <c r="B286" s="6">
        <v>43</v>
      </c>
      <c r="C286" s="6" t="s">
        <v>25</v>
      </c>
      <c r="D286" s="6" t="s">
        <v>69</v>
      </c>
      <c r="E286" s="6" t="s">
        <v>48</v>
      </c>
      <c r="F286" s="6">
        <v>1285</v>
      </c>
      <c r="G286" s="6">
        <v>108352.06</v>
      </c>
      <c r="H286" s="7">
        <v>41908</v>
      </c>
      <c r="I286" s="6" t="s">
        <v>49</v>
      </c>
      <c r="J286" s="6" t="s">
        <v>626</v>
      </c>
      <c r="K286" s="6" t="s">
        <v>51</v>
      </c>
      <c r="L286" s="6" t="s">
        <v>52</v>
      </c>
      <c r="M286" s="6" t="s">
        <v>53</v>
      </c>
      <c r="N286" s="6">
        <v>1.3</v>
      </c>
      <c r="O286" s="6">
        <v>91</v>
      </c>
    </row>
    <row r="287" spans="1:15" ht="14.25" customHeight="1" x14ac:dyDescent="0.3">
      <c r="A287" s="6" t="s">
        <v>627</v>
      </c>
      <c r="B287" s="6">
        <v>31</v>
      </c>
      <c r="C287" s="6" t="s">
        <v>62</v>
      </c>
      <c r="D287" s="6" t="s">
        <v>55</v>
      </c>
      <c r="E287" s="6" t="s">
        <v>48</v>
      </c>
      <c r="F287" s="6">
        <v>1286</v>
      </c>
      <c r="G287" s="6">
        <v>57802.47</v>
      </c>
      <c r="H287" s="7">
        <v>44482</v>
      </c>
      <c r="I287" s="6" t="s">
        <v>56</v>
      </c>
      <c r="J287" s="6" t="s">
        <v>628</v>
      </c>
      <c r="K287" s="6" t="s">
        <v>21</v>
      </c>
      <c r="L287" s="6" t="s">
        <v>22</v>
      </c>
      <c r="M287" s="6" t="s">
        <v>23</v>
      </c>
      <c r="N287" s="6">
        <v>4.5999999999999996</v>
      </c>
      <c r="O287" s="6">
        <v>88</v>
      </c>
    </row>
    <row r="288" spans="1:15" ht="14.25" customHeight="1" x14ac:dyDescent="0.3">
      <c r="A288" s="6" t="s">
        <v>629</v>
      </c>
      <c r="B288" s="6">
        <v>47</v>
      </c>
      <c r="C288" s="6" t="s">
        <v>16</v>
      </c>
      <c r="D288" s="6" t="s">
        <v>17</v>
      </c>
      <c r="E288" s="6" t="s">
        <v>27</v>
      </c>
      <c r="F288" s="6">
        <v>1287</v>
      </c>
      <c r="G288" s="6">
        <v>97920.11</v>
      </c>
      <c r="H288" s="7">
        <v>39831</v>
      </c>
      <c r="I288" s="6" t="s">
        <v>63</v>
      </c>
      <c r="J288" s="6" t="s">
        <v>630</v>
      </c>
      <c r="K288" s="6" t="s">
        <v>30</v>
      </c>
      <c r="L288" s="6" t="s">
        <v>31</v>
      </c>
      <c r="M288" s="6" t="s">
        <v>32</v>
      </c>
      <c r="N288" s="6">
        <v>4.4400000000000004</v>
      </c>
      <c r="O288" s="6">
        <v>108</v>
      </c>
    </row>
    <row r="289" spans="1:15" ht="14.25" customHeight="1" x14ac:dyDescent="0.3">
      <c r="A289" s="6" t="s">
        <v>631</v>
      </c>
      <c r="B289" s="6">
        <v>54</v>
      </c>
      <c r="C289" s="6" t="s">
        <v>62</v>
      </c>
      <c r="D289" s="6" t="s">
        <v>69</v>
      </c>
      <c r="E289" s="6" t="s">
        <v>34</v>
      </c>
      <c r="F289" s="6">
        <v>1288</v>
      </c>
      <c r="G289" s="6">
        <v>177253.69</v>
      </c>
      <c r="H289" s="7">
        <v>38383</v>
      </c>
      <c r="I289" s="6" t="s">
        <v>66</v>
      </c>
      <c r="J289" s="6" t="s">
        <v>632</v>
      </c>
      <c r="K289" s="6" t="s">
        <v>37</v>
      </c>
      <c r="L289" s="6" t="s">
        <v>38</v>
      </c>
      <c r="M289" s="6" t="s">
        <v>39</v>
      </c>
      <c r="N289" s="6">
        <v>2.56</v>
      </c>
      <c r="O289" s="6">
        <v>60</v>
      </c>
    </row>
    <row r="290" spans="1:15" ht="14.25" customHeight="1" x14ac:dyDescent="0.3">
      <c r="A290" s="6" t="s">
        <v>633</v>
      </c>
      <c r="B290" s="6">
        <v>49</v>
      </c>
      <c r="C290" s="6" t="s">
        <v>25</v>
      </c>
      <c r="D290" s="6" t="s">
        <v>55</v>
      </c>
      <c r="E290" s="6" t="s">
        <v>34</v>
      </c>
      <c r="F290" s="6">
        <v>1289</v>
      </c>
      <c r="G290" s="6">
        <v>122504.48</v>
      </c>
      <c r="H290" s="7">
        <v>40546</v>
      </c>
      <c r="I290" s="6" t="s">
        <v>70</v>
      </c>
      <c r="J290" s="6" t="s">
        <v>634</v>
      </c>
      <c r="K290" s="6" t="s">
        <v>43</v>
      </c>
      <c r="L290" s="6" t="s">
        <v>44</v>
      </c>
      <c r="M290" s="6" t="s">
        <v>45</v>
      </c>
      <c r="N290" s="6">
        <v>2.6</v>
      </c>
      <c r="O290" s="6">
        <v>115</v>
      </c>
    </row>
    <row r="291" spans="1:15" ht="14.25" customHeight="1" x14ac:dyDescent="0.3">
      <c r="A291" s="6" t="s">
        <v>635</v>
      </c>
      <c r="B291" s="6">
        <v>31</v>
      </c>
      <c r="C291" s="6" t="s">
        <v>25</v>
      </c>
      <c r="D291" s="6" t="s">
        <v>47</v>
      </c>
      <c r="E291" s="6" t="s">
        <v>80</v>
      </c>
      <c r="F291" s="6">
        <v>1290</v>
      </c>
      <c r="G291" s="6">
        <v>111005.18</v>
      </c>
      <c r="H291" s="7">
        <v>41301</v>
      </c>
      <c r="I291" s="6" t="s">
        <v>73</v>
      </c>
      <c r="J291" s="6" t="s">
        <v>636</v>
      </c>
      <c r="K291" s="6" t="s">
        <v>51</v>
      </c>
      <c r="L291" s="6" t="s">
        <v>52</v>
      </c>
      <c r="M291" s="6" t="s">
        <v>53</v>
      </c>
      <c r="N291" s="6">
        <v>3.41</v>
      </c>
      <c r="O291" s="6">
        <v>85</v>
      </c>
    </row>
    <row r="292" spans="1:15" ht="14.25" customHeight="1" x14ac:dyDescent="0.3">
      <c r="A292" s="6" t="s">
        <v>637</v>
      </c>
      <c r="B292" s="6">
        <v>50</v>
      </c>
      <c r="C292" s="6" t="s">
        <v>62</v>
      </c>
      <c r="D292" s="6" t="s">
        <v>26</v>
      </c>
      <c r="E292" s="6" t="s">
        <v>48</v>
      </c>
      <c r="F292" s="6">
        <v>1291</v>
      </c>
      <c r="G292" s="6">
        <v>186870.01</v>
      </c>
      <c r="H292" s="7">
        <v>44617</v>
      </c>
      <c r="I292" s="6" t="s">
        <v>19</v>
      </c>
      <c r="J292" s="6" t="s">
        <v>638</v>
      </c>
      <c r="K292" s="6" t="s">
        <v>21</v>
      </c>
      <c r="L292" s="6" t="s">
        <v>22</v>
      </c>
      <c r="M292" s="6" t="s">
        <v>23</v>
      </c>
      <c r="N292" s="6">
        <v>3.94</v>
      </c>
      <c r="O292" s="6">
        <v>178</v>
      </c>
    </row>
    <row r="293" spans="1:15" ht="14.25" customHeight="1" x14ac:dyDescent="0.3">
      <c r="A293" s="6" t="s">
        <v>639</v>
      </c>
      <c r="B293" s="6">
        <v>39</v>
      </c>
      <c r="C293" s="6" t="s">
        <v>16</v>
      </c>
      <c r="D293" s="6" t="s">
        <v>26</v>
      </c>
      <c r="E293" s="6" t="s">
        <v>27</v>
      </c>
      <c r="F293" s="6">
        <v>1292</v>
      </c>
      <c r="G293" s="6">
        <v>144259.57</v>
      </c>
      <c r="H293" s="7">
        <v>42779</v>
      </c>
      <c r="I293" s="6" t="s">
        <v>28</v>
      </c>
      <c r="J293" s="6" t="s">
        <v>640</v>
      </c>
      <c r="K293" s="6" t="s">
        <v>30</v>
      </c>
      <c r="L293" s="6" t="s">
        <v>31</v>
      </c>
      <c r="M293" s="6" t="s">
        <v>32</v>
      </c>
      <c r="N293" s="6">
        <v>1.92</v>
      </c>
      <c r="O293" s="6">
        <v>182</v>
      </c>
    </row>
    <row r="294" spans="1:15" ht="14.25" customHeight="1" x14ac:dyDescent="0.3">
      <c r="A294" s="6" t="s">
        <v>641</v>
      </c>
      <c r="B294" s="6">
        <v>63</v>
      </c>
      <c r="C294" s="6" t="s">
        <v>16</v>
      </c>
      <c r="D294" s="6" t="s">
        <v>69</v>
      </c>
      <c r="E294" s="6" t="s">
        <v>80</v>
      </c>
      <c r="F294" s="6">
        <v>1293</v>
      </c>
      <c r="G294" s="6">
        <v>102472.05</v>
      </c>
      <c r="H294" s="7">
        <v>38191</v>
      </c>
      <c r="I294" s="6" t="s">
        <v>35</v>
      </c>
      <c r="J294" s="6" t="s">
        <v>642</v>
      </c>
      <c r="K294" s="6" t="s">
        <v>37</v>
      </c>
      <c r="L294" s="6" t="s">
        <v>38</v>
      </c>
      <c r="M294" s="6" t="s">
        <v>39</v>
      </c>
      <c r="N294" s="6">
        <v>2.0499999999999998</v>
      </c>
      <c r="O294" s="6">
        <v>174</v>
      </c>
    </row>
    <row r="295" spans="1:15" ht="14.25" customHeight="1" x14ac:dyDescent="0.3">
      <c r="A295" s="6" t="s">
        <v>643</v>
      </c>
      <c r="B295" s="6">
        <v>22</v>
      </c>
      <c r="C295" s="6" t="s">
        <v>25</v>
      </c>
      <c r="D295" s="6" t="s">
        <v>47</v>
      </c>
      <c r="E295" s="6" t="s">
        <v>27</v>
      </c>
      <c r="F295" s="6">
        <v>1294</v>
      </c>
      <c r="G295" s="6">
        <v>133219.37</v>
      </c>
      <c r="H295" s="7">
        <v>41621</v>
      </c>
      <c r="I295" s="6" t="s">
        <v>41</v>
      </c>
      <c r="J295" s="6" t="s">
        <v>644</v>
      </c>
      <c r="K295" s="6" t="s">
        <v>43</v>
      </c>
      <c r="L295" s="6" t="s">
        <v>44</v>
      </c>
      <c r="M295" s="6" t="s">
        <v>45</v>
      </c>
      <c r="N295" s="6">
        <v>3.59</v>
      </c>
      <c r="O295" s="6">
        <v>173</v>
      </c>
    </row>
    <row r="296" spans="1:15" ht="14.25" customHeight="1" x14ac:dyDescent="0.3">
      <c r="A296" s="6" t="s">
        <v>645</v>
      </c>
      <c r="B296" s="6">
        <v>44</v>
      </c>
      <c r="C296" s="6" t="s">
        <v>25</v>
      </c>
      <c r="D296" s="6" t="s">
        <v>69</v>
      </c>
      <c r="E296" s="6" t="s">
        <v>48</v>
      </c>
      <c r="F296" s="6">
        <v>1295</v>
      </c>
      <c r="G296" s="6">
        <v>113566.08</v>
      </c>
      <c r="H296" s="7">
        <v>40113</v>
      </c>
      <c r="I296" s="6" t="s">
        <v>49</v>
      </c>
      <c r="J296" s="6" t="s">
        <v>646</v>
      </c>
      <c r="K296" s="6" t="s">
        <v>51</v>
      </c>
      <c r="L296" s="6" t="s">
        <v>52</v>
      </c>
      <c r="M296" s="6" t="s">
        <v>53</v>
      </c>
      <c r="N296" s="6">
        <v>3.49</v>
      </c>
      <c r="O296" s="6">
        <v>172</v>
      </c>
    </row>
    <row r="297" spans="1:15" ht="14.25" customHeight="1" x14ac:dyDescent="0.3">
      <c r="A297" s="6" t="s">
        <v>647</v>
      </c>
      <c r="B297" s="6">
        <v>38</v>
      </c>
      <c r="C297" s="6" t="s">
        <v>25</v>
      </c>
      <c r="D297" s="6" t="s">
        <v>17</v>
      </c>
      <c r="E297" s="6" t="s">
        <v>34</v>
      </c>
      <c r="F297" s="6">
        <v>1296</v>
      </c>
      <c r="G297" s="6">
        <v>98288.22</v>
      </c>
      <c r="H297" s="7">
        <v>38082</v>
      </c>
      <c r="I297" s="6" t="s">
        <v>56</v>
      </c>
      <c r="J297" s="6" t="s">
        <v>648</v>
      </c>
      <c r="K297" s="6" t="s">
        <v>21</v>
      </c>
      <c r="L297" s="6" t="s">
        <v>22</v>
      </c>
      <c r="M297" s="6" t="s">
        <v>23</v>
      </c>
      <c r="N297" s="6">
        <v>2.77</v>
      </c>
      <c r="O297" s="6">
        <v>98</v>
      </c>
    </row>
    <row r="298" spans="1:15" ht="14.25" customHeight="1" x14ac:dyDescent="0.3">
      <c r="A298" s="6" t="s">
        <v>649</v>
      </c>
      <c r="B298" s="6">
        <v>64</v>
      </c>
      <c r="C298" s="6" t="s">
        <v>62</v>
      </c>
      <c r="D298" s="6" t="s">
        <v>69</v>
      </c>
      <c r="E298" s="6" t="s">
        <v>18</v>
      </c>
      <c r="F298" s="6">
        <v>1297</v>
      </c>
      <c r="G298" s="6">
        <v>140831.62</v>
      </c>
      <c r="H298" s="7">
        <v>41731</v>
      </c>
      <c r="I298" s="6" t="s">
        <v>63</v>
      </c>
      <c r="J298" s="6" t="s">
        <v>650</v>
      </c>
      <c r="K298" s="6" t="s">
        <v>30</v>
      </c>
      <c r="L298" s="6" t="s">
        <v>31</v>
      </c>
      <c r="M298" s="6" t="s">
        <v>32</v>
      </c>
      <c r="N298" s="6">
        <v>3.9</v>
      </c>
      <c r="O298" s="6">
        <v>1</v>
      </c>
    </row>
    <row r="299" spans="1:15" ht="14.25" customHeight="1" x14ac:dyDescent="0.3">
      <c r="A299" s="6" t="s">
        <v>651</v>
      </c>
      <c r="B299" s="6">
        <v>58</v>
      </c>
      <c r="C299" s="6" t="s">
        <v>25</v>
      </c>
      <c r="D299" s="6" t="s">
        <v>26</v>
      </c>
      <c r="E299" s="6" t="s">
        <v>18</v>
      </c>
      <c r="F299" s="6">
        <v>1298</v>
      </c>
      <c r="G299" s="6">
        <v>197069.33</v>
      </c>
      <c r="H299" s="7">
        <v>38782</v>
      </c>
      <c r="I299" s="6" t="s">
        <v>66</v>
      </c>
      <c r="J299" s="6" t="s">
        <v>652</v>
      </c>
      <c r="K299" s="6" t="s">
        <v>37</v>
      </c>
      <c r="L299" s="6" t="s">
        <v>38</v>
      </c>
      <c r="M299" s="6" t="s">
        <v>39</v>
      </c>
      <c r="N299" s="6">
        <v>1.68</v>
      </c>
      <c r="O299" s="6">
        <v>107</v>
      </c>
    </row>
    <row r="300" spans="1:15" ht="14.25" customHeight="1" x14ac:dyDescent="0.3">
      <c r="A300" s="6" t="s">
        <v>653</v>
      </c>
      <c r="B300" s="6">
        <v>52</v>
      </c>
      <c r="C300" s="6" t="s">
        <v>25</v>
      </c>
      <c r="D300" s="6" t="s">
        <v>26</v>
      </c>
      <c r="E300" s="6" t="s">
        <v>27</v>
      </c>
      <c r="F300" s="6">
        <v>1299</v>
      </c>
      <c r="G300" s="6">
        <v>107681.22</v>
      </c>
      <c r="H300" s="7">
        <v>39480</v>
      </c>
      <c r="I300" s="6" t="s">
        <v>70</v>
      </c>
      <c r="J300" s="6" t="s">
        <v>654</v>
      </c>
      <c r="K300" s="6" t="s">
        <v>43</v>
      </c>
      <c r="L300" s="6" t="s">
        <v>44</v>
      </c>
      <c r="M300" s="6" t="s">
        <v>45</v>
      </c>
      <c r="N300" s="6">
        <v>4.7</v>
      </c>
      <c r="O300" s="6">
        <v>93</v>
      </c>
    </row>
    <row r="301" spans="1:15" ht="14.25" customHeight="1" x14ac:dyDescent="0.3">
      <c r="A301" s="6" t="s">
        <v>655</v>
      </c>
      <c r="B301" s="6">
        <v>46</v>
      </c>
      <c r="C301" s="6" t="s">
        <v>25</v>
      </c>
      <c r="D301" s="6" t="s">
        <v>55</v>
      </c>
      <c r="E301" s="6" t="s">
        <v>80</v>
      </c>
      <c r="F301" s="6">
        <v>1300</v>
      </c>
      <c r="G301" s="6">
        <v>57746.52</v>
      </c>
      <c r="H301" s="7">
        <v>38638</v>
      </c>
      <c r="I301" s="6" t="s">
        <v>73</v>
      </c>
      <c r="J301" s="6" t="s">
        <v>656</v>
      </c>
      <c r="K301" s="6" t="s">
        <v>51</v>
      </c>
      <c r="L301" s="6" t="s">
        <v>52</v>
      </c>
      <c r="M301" s="6" t="s">
        <v>53</v>
      </c>
      <c r="N301" s="6">
        <v>3.62</v>
      </c>
      <c r="O301" s="6">
        <v>136</v>
      </c>
    </row>
    <row r="302" spans="1:15" ht="14.25" customHeight="1" x14ac:dyDescent="0.3">
      <c r="A302" s="6" t="s">
        <v>657</v>
      </c>
      <c r="B302" s="6">
        <v>25</v>
      </c>
      <c r="C302" s="6" t="s">
        <v>16</v>
      </c>
      <c r="D302" s="6" t="s">
        <v>17</v>
      </c>
      <c r="E302" s="6" t="s">
        <v>18</v>
      </c>
      <c r="F302" s="6">
        <v>1301</v>
      </c>
      <c r="G302" s="6">
        <v>103918.72</v>
      </c>
      <c r="H302" s="7">
        <v>41611</v>
      </c>
      <c r="I302" s="6" t="s">
        <v>19</v>
      </c>
      <c r="J302" s="6" t="s">
        <v>658</v>
      </c>
      <c r="K302" s="6" t="s">
        <v>21</v>
      </c>
      <c r="L302" s="6" t="s">
        <v>22</v>
      </c>
      <c r="M302" s="6" t="s">
        <v>23</v>
      </c>
      <c r="N302" s="6">
        <v>1.88</v>
      </c>
      <c r="O302" s="6">
        <v>14</v>
      </c>
    </row>
    <row r="303" spans="1:15" ht="14.25" customHeight="1" x14ac:dyDescent="0.3">
      <c r="A303" s="6" t="s">
        <v>659</v>
      </c>
      <c r="B303" s="6">
        <v>30</v>
      </c>
      <c r="C303" s="6" t="s">
        <v>16</v>
      </c>
      <c r="D303" s="6" t="s">
        <v>55</v>
      </c>
      <c r="E303" s="6" t="s">
        <v>80</v>
      </c>
      <c r="F303" s="6">
        <v>1302</v>
      </c>
      <c r="G303" s="6">
        <v>83447.59</v>
      </c>
      <c r="H303" s="7">
        <v>37174</v>
      </c>
      <c r="I303" s="6" t="s">
        <v>28</v>
      </c>
      <c r="J303" s="6" t="s">
        <v>660</v>
      </c>
      <c r="K303" s="6" t="s">
        <v>30</v>
      </c>
      <c r="L303" s="6" t="s">
        <v>31</v>
      </c>
      <c r="M303" s="6" t="s">
        <v>32</v>
      </c>
      <c r="N303" s="6">
        <v>4.41</v>
      </c>
      <c r="O303" s="6">
        <v>91</v>
      </c>
    </row>
    <row r="304" spans="1:15" ht="14.25" customHeight="1" x14ac:dyDescent="0.3">
      <c r="A304" s="6" t="s">
        <v>661</v>
      </c>
      <c r="B304" s="6">
        <v>49</v>
      </c>
      <c r="C304" s="6" t="s">
        <v>25</v>
      </c>
      <c r="D304" s="6" t="s">
        <v>17</v>
      </c>
      <c r="E304" s="6" t="s">
        <v>48</v>
      </c>
      <c r="F304" s="6">
        <v>1303</v>
      </c>
      <c r="G304" s="6">
        <v>101062.39999999999</v>
      </c>
      <c r="H304" s="7">
        <v>36630</v>
      </c>
      <c r="I304" s="6" t="s">
        <v>35</v>
      </c>
      <c r="J304" s="6" t="s">
        <v>662</v>
      </c>
      <c r="K304" s="6" t="s">
        <v>37</v>
      </c>
      <c r="L304" s="6" t="s">
        <v>38</v>
      </c>
      <c r="M304" s="6" t="s">
        <v>39</v>
      </c>
      <c r="N304" s="6">
        <v>1.89</v>
      </c>
      <c r="O304" s="6">
        <v>69</v>
      </c>
    </row>
    <row r="305" spans="1:15" ht="14.25" customHeight="1" x14ac:dyDescent="0.3">
      <c r="A305" s="6" t="s">
        <v>663</v>
      </c>
      <c r="B305" s="6">
        <v>51</v>
      </c>
      <c r="C305" s="6" t="s">
        <v>16</v>
      </c>
      <c r="D305" s="6" t="s">
        <v>26</v>
      </c>
      <c r="E305" s="6" t="s">
        <v>27</v>
      </c>
      <c r="F305" s="6">
        <v>1304</v>
      </c>
      <c r="G305" s="6">
        <v>126103.43</v>
      </c>
      <c r="H305" s="7">
        <v>43954</v>
      </c>
      <c r="I305" s="6" t="s">
        <v>41</v>
      </c>
      <c r="J305" s="6" t="s">
        <v>664</v>
      </c>
      <c r="K305" s="6" t="s">
        <v>43</v>
      </c>
      <c r="L305" s="6" t="s">
        <v>44</v>
      </c>
      <c r="M305" s="6" t="s">
        <v>45</v>
      </c>
      <c r="N305" s="6">
        <v>4.21</v>
      </c>
      <c r="O305" s="6">
        <v>110</v>
      </c>
    </row>
    <row r="306" spans="1:15" ht="14.25" customHeight="1" x14ac:dyDescent="0.3">
      <c r="A306" s="6" t="s">
        <v>665</v>
      </c>
      <c r="B306" s="6">
        <v>45</v>
      </c>
      <c r="C306" s="6" t="s">
        <v>16</v>
      </c>
      <c r="D306" s="6" t="s">
        <v>69</v>
      </c>
      <c r="E306" s="6" t="s">
        <v>80</v>
      </c>
      <c r="F306" s="6">
        <v>1305</v>
      </c>
      <c r="G306" s="6">
        <v>60969.99</v>
      </c>
      <c r="H306" s="7">
        <v>40113</v>
      </c>
      <c r="I306" s="6" t="s">
        <v>49</v>
      </c>
      <c r="J306" s="6" t="s">
        <v>666</v>
      </c>
      <c r="K306" s="6" t="s">
        <v>51</v>
      </c>
      <c r="L306" s="6" t="s">
        <v>52</v>
      </c>
      <c r="M306" s="6" t="s">
        <v>53</v>
      </c>
      <c r="N306" s="6">
        <v>4.5</v>
      </c>
      <c r="O306" s="6">
        <v>98</v>
      </c>
    </row>
    <row r="307" spans="1:15" ht="14.25" customHeight="1" x14ac:dyDescent="0.3">
      <c r="A307" s="6" t="s">
        <v>667</v>
      </c>
      <c r="B307" s="6">
        <v>54</v>
      </c>
      <c r="C307" s="6" t="s">
        <v>16</v>
      </c>
      <c r="D307" s="6" t="s">
        <v>26</v>
      </c>
      <c r="E307" s="6" t="s">
        <v>27</v>
      </c>
      <c r="F307" s="6">
        <v>1306</v>
      </c>
      <c r="G307" s="6">
        <v>63775.95</v>
      </c>
      <c r="H307" s="7">
        <v>42992</v>
      </c>
      <c r="I307" s="6" t="s">
        <v>56</v>
      </c>
      <c r="J307" s="6" t="s">
        <v>668</v>
      </c>
      <c r="K307" s="6" t="s">
        <v>21</v>
      </c>
      <c r="L307" s="6" t="s">
        <v>22</v>
      </c>
      <c r="M307" s="6" t="s">
        <v>23</v>
      </c>
      <c r="N307" s="6">
        <v>1.59</v>
      </c>
      <c r="O307" s="6">
        <v>175</v>
      </c>
    </row>
    <row r="308" spans="1:15" ht="14.25" customHeight="1" x14ac:dyDescent="0.3">
      <c r="A308" s="6" t="s">
        <v>669</v>
      </c>
      <c r="B308" s="6">
        <v>41</v>
      </c>
      <c r="C308" s="6" t="s">
        <v>16</v>
      </c>
      <c r="D308" s="6" t="s">
        <v>55</v>
      </c>
      <c r="E308" s="6" t="s">
        <v>18</v>
      </c>
      <c r="F308" s="6">
        <v>1307</v>
      </c>
      <c r="G308" s="6">
        <v>134329.53</v>
      </c>
      <c r="H308" s="7">
        <v>37811</v>
      </c>
      <c r="I308" s="6" t="s">
        <v>63</v>
      </c>
      <c r="J308" s="6" t="s">
        <v>670</v>
      </c>
      <c r="K308" s="6" t="s">
        <v>30</v>
      </c>
      <c r="L308" s="6" t="s">
        <v>31</v>
      </c>
      <c r="M308" s="6" t="s">
        <v>32</v>
      </c>
      <c r="N308" s="6">
        <v>1.71</v>
      </c>
      <c r="O308" s="6">
        <v>10</v>
      </c>
    </row>
    <row r="309" spans="1:15" ht="14.25" customHeight="1" x14ac:dyDescent="0.3">
      <c r="A309" s="6" t="s">
        <v>671</v>
      </c>
      <c r="B309" s="6">
        <v>30</v>
      </c>
      <c r="C309" s="6" t="s">
        <v>62</v>
      </c>
      <c r="D309" s="6" t="s">
        <v>55</v>
      </c>
      <c r="E309" s="6" t="s">
        <v>34</v>
      </c>
      <c r="F309" s="6">
        <v>1308</v>
      </c>
      <c r="G309" s="6">
        <v>180356.76</v>
      </c>
      <c r="H309" s="7">
        <v>39392</v>
      </c>
      <c r="I309" s="6" t="s">
        <v>66</v>
      </c>
      <c r="J309" s="6" t="s">
        <v>672</v>
      </c>
      <c r="K309" s="6" t="s">
        <v>37</v>
      </c>
      <c r="L309" s="6" t="s">
        <v>38</v>
      </c>
      <c r="M309" s="6" t="s">
        <v>39</v>
      </c>
      <c r="N309" s="6">
        <v>3.07</v>
      </c>
      <c r="O309" s="6">
        <v>71</v>
      </c>
    </row>
    <row r="310" spans="1:15" ht="14.25" customHeight="1" x14ac:dyDescent="0.3">
      <c r="A310" s="6" t="s">
        <v>673</v>
      </c>
      <c r="B310" s="6">
        <v>29</v>
      </c>
      <c r="C310" s="6" t="s">
        <v>16</v>
      </c>
      <c r="D310" s="6" t="s">
        <v>69</v>
      </c>
      <c r="E310" s="6" t="s">
        <v>48</v>
      </c>
      <c r="F310" s="6">
        <v>1309</v>
      </c>
      <c r="G310" s="6">
        <v>119810.78</v>
      </c>
      <c r="H310" s="7">
        <v>43121</v>
      </c>
      <c r="I310" s="6" t="s">
        <v>70</v>
      </c>
      <c r="J310" s="6" t="s">
        <v>674</v>
      </c>
      <c r="K310" s="6" t="s">
        <v>43</v>
      </c>
      <c r="L310" s="6" t="s">
        <v>44</v>
      </c>
      <c r="M310" s="6" t="s">
        <v>45</v>
      </c>
      <c r="N310" s="6">
        <v>4.74</v>
      </c>
      <c r="O310" s="6">
        <v>166</v>
      </c>
    </row>
    <row r="311" spans="1:15" ht="14.25" customHeight="1" x14ac:dyDescent="0.3">
      <c r="A311" s="6" t="s">
        <v>675</v>
      </c>
      <c r="B311" s="6">
        <v>45</v>
      </c>
      <c r="C311" s="6" t="s">
        <v>16</v>
      </c>
      <c r="D311" s="6" t="s">
        <v>47</v>
      </c>
      <c r="E311" s="6" t="s">
        <v>18</v>
      </c>
      <c r="F311" s="6">
        <v>1310</v>
      </c>
      <c r="G311" s="6">
        <v>77884.77</v>
      </c>
      <c r="H311" s="7">
        <v>40213</v>
      </c>
      <c r="I311" s="6" t="s">
        <v>73</v>
      </c>
      <c r="J311" s="6" t="s">
        <v>676</v>
      </c>
      <c r="K311" s="6" t="s">
        <v>51</v>
      </c>
      <c r="L311" s="6" t="s">
        <v>52</v>
      </c>
      <c r="M311" s="6" t="s">
        <v>53</v>
      </c>
      <c r="N311" s="6">
        <v>3.3</v>
      </c>
      <c r="O311" s="6">
        <v>36</v>
      </c>
    </row>
    <row r="312" spans="1:15" ht="14.25" customHeight="1" x14ac:dyDescent="0.3">
      <c r="A312" s="6" t="s">
        <v>677</v>
      </c>
      <c r="B312" s="6">
        <v>35</v>
      </c>
      <c r="C312" s="6" t="s">
        <v>16</v>
      </c>
      <c r="D312" s="6" t="s">
        <v>26</v>
      </c>
      <c r="E312" s="6" t="s">
        <v>27</v>
      </c>
      <c r="F312" s="6">
        <v>1311</v>
      </c>
      <c r="G312" s="6">
        <v>189165.58</v>
      </c>
      <c r="H312" s="7">
        <v>44681</v>
      </c>
      <c r="I312" s="6" t="s">
        <v>19</v>
      </c>
      <c r="J312" s="6" t="s">
        <v>678</v>
      </c>
      <c r="K312" s="6" t="s">
        <v>21</v>
      </c>
      <c r="L312" s="6" t="s">
        <v>22</v>
      </c>
      <c r="M312" s="6" t="s">
        <v>23</v>
      </c>
      <c r="N312" s="6">
        <v>3.15</v>
      </c>
      <c r="O312" s="6">
        <v>15</v>
      </c>
    </row>
    <row r="313" spans="1:15" ht="14.25" customHeight="1" x14ac:dyDescent="0.3">
      <c r="A313" s="6" t="s">
        <v>679</v>
      </c>
      <c r="B313" s="6">
        <v>39</v>
      </c>
      <c r="C313" s="6" t="s">
        <v>16</v>
      </c>
      <c r="D313" s="6" t="s">
        <v>55</v>
      </c>
      <c r="E313" s="6" t="s">
        <v>80</v>
      </c>
      <c r="F313" s="6">
        <v>1312</v>
      </c>
      <c r="G313" s="6">
        <v>146767.25</v>
      </c>
      <c r="H313" s="7">
        <v>37634</v>
      </c>
      <c r="I313" s="6" t="s">
        <v>28</v>
      </c>
      <c r="J313" s="6" t="s">
        <v>680</v>
      </c>
      <c r="K313" s="6" t="s">
        <v>30</v>
      </c>
      <c r="L313" s="6" t="s">
        <v>31</v>
      </c>
      <c r="M313" s="6" t="s">
        <v>32</v>
      </c>
      <c r="N313" s="6">
        <v>5</v>
      </c>
      <c r="O313" s="6">
        <v>147</v>
      </c>
    </row>
    <row r="314" spans="1:15" ht="14.25" customHeight="1" x14ac:dyDescent="0.3">
      <c r="A314" s="6" t="s">
        <v>681</v>
      </c>
      <c r="B314" s="6">
        <v>22</v>
      </c>
      <c r="C314" s="6" t="s">
        <v>62</v>
      </c>
      <c r="D314" s="6" t="s">
        <v>47</v>
      </c>
      <c r="E314" s="6" t="s">
        <v>27</v>
      </c>
      <c r="F314" s="6">
        <v>1313</v>
      </c>
      <c r="G314" s="6">
        <v>144878.19</v>
      </c>
      <c r="H314" s="7">
        <v>39093</v>
      </c>
      <c r="I314" s="6" t="s">
        <v>35</v>
      </c>
      <c r="J314" s="6" t="s">
        <v>682</v>
      </c>
      <c r="K314" s="6" t="s">
        <v>37</v>
      </c>
      <c r="L314" s="6" t="s">
        <v>38</v>
      </c>
      <c r="M314" s="6" t="s">
        <v>39</v>
      </c>
      <c r="N314" s="6">
        <v>4.13</v>
      </c>
      <c r="O314" s="6">
        <v>53</v>
      </c>
    </row>
    <row r="315" spans="1:15" ht="14.25" customHeight="1" x14ac:dyDescent="0.3">
      <c r="A315" s="6" t="s">
        <v>683</v>
      </c>
      <c r="B315" s="6">
        <v>33</v>
      </c>
      <c r="C315" s="6" t="s">
        <v>62</v>
      </c>
      <c r="D315" s="6" t="s">
        <v>47</v>
      </c>
      <c r="E315" s="6" t="s">
        <v>80</v>
      </c>
      <c r="F315" s="6">
        <v>1314</v>
      </c>
      <c r="G315" s="6">
        <v>169606.33</v>
      </c>
      <c r="H315" s="7">
        <v>42244</v>
      </c>
      <c r="I315" s="6" t="s">
        <v>41</v>
      </c>
      <c r="J315" s="6" t="s">
        <v>684</v>
      </c>
      <c r="K315" s="6" t="s">
        <v>43</v>
      </c>
      <c r="L315" s="6" t="s">
        <v>44</v>
      </c>
      <c r="M315" s="6" t="s">
        <v>45</v>
      </c>
      <c r="N315" s="6">
        <v>3.63</v>
      </c>
      <c r="O315" s="6">
        <v>160</v>
      </c>
    </row>
    <row r="316" spans="1:15" ht="14.25" customHeight="1" x14ac:dyDescent="0.3">
      <c r="A316" s="6" t="s">
        <v>685</v>
      </c>
      <c r="B316" s="6">
        <v>50</v>
      </c>
      <c r="C316" s="6" t="s">
        <v>25</v>
      </c>
      <c r="D316" s="6" t="s">
        <v>26</v>
      </c>
      <c r="E316" s="6" t="s">
        <v>27</v>
      </c>
      <c r="F316" s="6">
        <v>1315</v>
      </c>
      <c r="G316" s="6">
        <v>127384</v>
      </c>
      <c r="H316" s="7">
        <v>40629</v>
      </c>
      <c r="I316" s="6" t="s">
        <v>49</v>
      </c>
      <c r="J316" s="6" t="s">
        <v>686</v>
      </c>
      <c r="K316" s="6" t="s">
        <v>51</v>
      </c>
      <c r="L316" s="6" t="s">
        <v>52</v>
      </c>
      <c r="M316" s="6" t="s">
        <v>53</v>
      </c>
      <c r="N316" s="6">
        <v>2.88</v>
      </c>
      <c r="O316" s="6">
        <v>142</v>
      </c>
    </row>
    <row r="317" spans="1:15" ht="14.25" customHeight="1" x14ac:dyDescent="0.3">
      <c r="A317" s="6" t="s">
        <v>687</v>
      </c>
      <c r="B317" s="6">
        <v>58</v>
      </c>
      <c r="C317" s="6" t="s">
        <v>16</v>
      </c>
      <c r="D317" s="6" t="s">
        <v>55</v>
      </c>
      <c r="E317" s="6" t="s">
        <v>48</v>
      </c>
      <c r="F317" s="6">
        <v>1316</v>
      </c>
      <c r="G317" s="6">
        <v>184634.15</v>
      </c>
      <c r="H317" s="7">
        <v>43484</v>
      </c>
      <c r="I317" s="6" t="s">
        <v>56</v>
      </c>
      <c r="J317" s="6" t="s">
        <v>688</v>
      </c>
      <c r="K317" s="6" t="s">
        <v>21</v>
      </c>
      <c r="L317" s="6" t="s">
        <v>22</v>
      </c>
      <c r="M317" s="6" t="s">
        <v>23</v>
      </c>
      <c r="N317" s="6">
        <v>2.77</v>
      </c>
      <c r="O317" s="6">
        <v>117</v>
      </c>
    </row>
    <row r="318" spans="1:15" ht="14.25" customHeight="1" x14ac:dyDescent="0.3">
      <c r="A318" s="6" t="s">
        <v>689</v>
      </c>
      <c r="B318" s="6">
        <v>47</v>
      </c>
      <c r="C318" s="6" t="s">
        <v>16</v>
      </c>
      <c r="D318" s="6" t="s">
        <v>47</v>
      </c>
      <c r="E318" s="6" t="s">
        <v>34</v>
      </c>
      <c r="F318" s="6">
        <v>1317</v>
      </c>
      <c r="G318" s="6">
        <v>95364.7</v>
      </c>
      <c r="H318" s="7">
        <v>41756</v>
      </c>
      <c r="I318" s="6" t="s">
        <v>63</v>
      </c>
      <c r="J318" s="6" t="s">
        <v>690</v>
      </c>
      <c r="K318" s="6" t="s">
        <v>30</v>
      </c>
      <c r="L318" s="6" t="s">
        <v>31</v>
      </c>
      <c r="M318" s="6" t="s">
        <v>32</v>
      </c>
      <c r="N318" s="6">
        <v>2.56</v>
      </c>
      <c r="O318" s="6">
        <v>198</v>
      </c>
    </row>
    <row r="319" spans="1:15" ht="14.25" customHeight="1" x14ac:dyDescent="0.3">
      <c r="A319" s="6" t="s">
        <v>691</v>
      </c>
      <c r="B319" s="6">
        <v>54</v>
      </c>
      <c r="C319" s="6" t="s">
        <v>25</v>
      </c>
      <c r="D319" s="6" t="s">
        <v>55</v>
      </c>
      <c r="E319" s="6" t="s">
        <v>80</v>
      </c>
      <c r="F319" s="6">
        <v>1318</v>
      </c>
      <c r="G319" s="6">
        <v>190415.22</v>
      </c>
      <c r="H319" s="7">
        <v>42433</v>
      </c>
      <c r="I319" s="6" t="s">
        <v>66</v>
      </c>
      <c r="J319" s="6" t="s">
        <v>692</v>
      </c>
      <c r="K319" s="6" t="s">
        <v>37</v>
      </c>
      <c r="L319" s="6" t="s">
        <v>38</v>
      </c>
      <c r="M319" s="6" t="s">
        <v>39</v>
      </c>
      <c r="N319" s="6">
        <v>1.7</v>
      </c>
      <c r="O319" s="6">
        <v>84</v>
      </c>
    </row>
    <row r="320" spans="1:15" ht="14.25" customHeight="1" x14ac:dyDescent="0.3">
      <c r="A320" s="6" t="s">
        <v>693</v>
      </c>
      <c r="B320" s="6">
        <v>64</v>
      </c>
      <c r="C320" s="6" t="s">
        <v>62</v>
      </c>
      <c r="D320" s="6" t="s">
        <v>47</v>
      </c>
      <c r="E320" s="6" t="s">
        <v>18</v>
      </c>
      <c r="F320" s="6">
        <v>1319</v>
      </c>
      <c r="G320" s="6">
        <v>81866.41</v>
      </c>
      <c r="H320" s="7">
        <v>39461</v>
      </c>
      <c r="I320" s="6" t="s">
        <v>70</v>
      </c>
      <c r="J320" s="6" t="s">
        <v>694</v>
      </c>
      <c r="K320" s="6" t="s">
        <v>43</v>
      </c>
      <c r="L320" s="6" t="s">
        <v>44</v>
      </c>
      <c r="M320" s="6" t="s">
        <v>45</v>
      </c>
      <c r="N320" s="6">
        <v>1.18</v>
      </c>
      <c r="O320" s="6">
        <v>174</v>
      </c>
    </row>
    <row r="321" spans="1:15" ht="14.25" customHeight="1" x14ac:dyDescent="0.3">
      <c r="A321" s="6" t="s">
        <v>695</v>
      </c>
      <c r="B321" s="6">
        <v>36</v>
      </c>
      <c r="C321" s="6" t="s">
        <v>25</v>
      </c>
      <c r="D321" s="6" t="s">
        <v>26</v>
      </c>
      <c r="E321" s="6" t="s">
        <v>34</v>
      </c>
      <c r="F321" s="6">
        <v>1320</v>
      </c>
      <c r="G321" s="6">
        <v>74136.89</v>
      </c>
      <c r="H321" s="7">
        <v>38042</v>
      </c>
      <c r="I321" s="6" t="s">
        <v>73</v>
      </c>
      <c r="J321" s="6" t="s">
        <v>696</v>
      </c>
      <c r="K321" s="6" t="s">
        <v>51</v>
      </c>
      <c r="L321" s="6" t="s">
        <v>52</v>
      </c>
      <c r="M321" s="6" t="s">
        <v>53</v>
      </c>
      <c r="N321" s="6">
        <v>2.89</v>
      </c>
      <c r="O321" s="6">
        <v>173</v>
      </c>
    </row>
    <row r="322" spans="1:15" ht="14.25" customHeight="1" x14ac:dyDescent="0.3">
      <c r="A322" s="6" t="s">
        <v>697</v>
      </c>
      <c r="B322" s="6">
        <v>44</v>
      </c>
      <c r="C322" s="6" t="s">
        <v>62</v>
      </c>
      <c r="D322" s="6" t="s">
        <v>26</v>
      </c>
      <c r="E322" s="6" t="s">
        <v>48</v>
      </c>
      <c r="F322" s="6">
        <v>1321</v>
      </c>
      <c r="G322" s="6">
        <v>92477.56</v>
      </c>
      <c r="H322" s="7">
        <v>40986</v>
      </c>
      <c r="I322" s="6" t="s">
        <v>19</v>
      </c>
      <c r="J322" s="6" t="s">
        <v>698</v>
      </c>
      <c r="K322" s="6" t="s">
        <v>21</v>
      </c>
      <c r="L322" s="6" t="s">
        <v>22</v>
      </c>
      <c r="M322" s="6" t="s">
        <v>23</v>
      </c>
      <c r="N322" s="6">
        <v>4.1900000000000004</v>
      </c>
      <c r="O322" s="6">
        <v>78</v>
      </c>
    </row>
    <row r="323" spans="1:15" ht="14.25" customHeight="1" x14ac:dyDescent="0.3">
      <c r="A323" s="6" t="s">
        <v>699</v>
      </c>
      <c r="B323" s="6">
        <v>50</v>
      </c>
      <c r="C323" s="6" t="s">
        <v>25</v>
      </c>
      <c r="D323" s="6" t="s">
        <v>55</v>
      </c>
      <c r="E323" s="6" t="s">
        <v>80</v>
      </c>
      <c r="F323" s="6">
        <v>1322</v>
      </c>
      <c r="G323" s="6">
        <v>93684.54</v>
      </c>
      <c r="H323" s="7">
        <v>38596</v>
      </c>
      <c r="I323" s="6" t="s">
        <v>28</v>
      </c>
      <c r="J323" s="6" t="s">
        <v>700</v>
      </c>
      <c r="K323" s="6" t="s">
        <v>30</v>
      </c>
      <c r="L323" s="6" t="s">
        <v>31</v>
      </c>
      <c r="M323" s="6" t="s">
        <v>32</v>
      </c>
      <c r="N323" s="6">
        <v>3.36</v>
      </c>
      <c r="O323" s="6">
        <v>63</v>
      </c>
    </row>
    <row r="324" spans="1:15" ht="14.25" customHeight="1" x14ac:dyDescent="0.3">
      <c r="A324" s="6" t="s">
        <v>701</v>
      </c>
      <c r="B324" s="6">
        <v>42</v>
      </c>
      <c r="C324" s="6" t="s">
        <v>25</v>
      </c>
      <c r="D324" s="6" t="s">
        <v>26</v>
      </c>
      <c r="E324" s="6" t="s">
        <v>27</v>
      </c>
      <c r="F324" s="6">
        <v>1323</v>
      </c>
      <c r="G324" s="6">
        <v>120886.15</v>
      </c>
      <c r="H324" s="7">
        <v>39932</v>
      </c>
      <c r="I324" s="6" t="s">
        <v>35</v>
      </c>
      <c r="J324" s="6" t="s">
        <v>702</v>
      </c>
      <c r="K324" s="6" t="s">
        <v>37</v>
      </c>
      <c r="L324" s="6" t="s">
        <v>38</v>
      </c>
      <c r="M324" s="6" t="s">
        <v>39</v>
      </c>
      <c r="N324" s="6">
        <v>1.77</v>
      </c>
      <c r="O324" s="6">
        <v>182</v>
      </c>
    </row>
    <row r="325" spans="1:15" ht="14.25" customHeight="1" x14ac:dyDescent="0.3">
      <c r="A325" s="6" t="s">
        <v>703</v>
      </c>
      <c r="B325" s="6">
        <v>40</v>
      </c>
      <c r="C325" s="6" t="s">
        <v>16</v>
      </c>
      <c r="D325" s="6" t="s">
        <v>17</v>
      </c>
      <c r="E325" s="6" t="s">
        <v>27</v>
      </c>
      <c r="F325" s="6">
        <v>1324</v>
      </c>
      <c r="G325" s="6">
        <v>66559.820000000007</v>
      </c>
      <c r="H325" s="7">
        <v>41852</v>
      </c>
      <c r="I325" s="6" t="s">
        <v>41</v>
      </c>
      <c r="J325" s="6" t="s">
        <v>704</v>
      </c>
      <c r="K325" s="6" t="s">
        <v>43</v>
      </c>
      <c r="L325" s="6" t="s">
        <v>44</v>
      </c>
      <c r="M325" s="6" t="s">
        <v>45</v>
      </c>
      <c r="N325" s="6">
        <v>3.93</v>
      </c>
      <c r="O325" s="6">
        <v>156</v>
      </c>
    </row>
    <row r="326" spans="1:15" ht="14.25" customHeight="1" x14ac:dyDescent="0.3">
      <c r="A326" s="6" t="s">
        <v>705</v>
      </c>
      <c r="B326" s="6">
        <v>26</v>
      </c>
      <c r="C326" s="6" t="s">
        <v>25</v>
      </c>
      <c r="D326" s="6" t="s">
        <v>26</v>
      </c>
      <c r="E326" s="6" t="s">
        <v>34</v>
      </c>
      <c r="F326" s="6">
        <v>1325</v>
      </c>
      <c r="G326" s="6">
        <v>184012.3</v>
      </c>
      <c r="H326" s="7">
        <v>42124</v>
      </c>
      <c r="I326" s="6" t="s">
        <v>49</v>
      </c>
      <c r="J326" s="6" t="s">
        <v>706</v>
      </c>
      <c r="K326" s="6" t="s">
        <v>51</v>
      </c>
      <c r="L326" s="6" t="s">
        <v>52</v>
      </c>
      <c r="M326" s="6" t="s">
        <v>53</v>
      </c>
      <c r="N326" s="6">
        <v>4.6399999999999997</v>
      </c>
      <c r="O326" s="6">
        <v>25</v>
      </c>
    </row>
    <row r="327" spans="1:15" ht="14.25" customHeight="1" x14ac:dyDescent="0.3">
      <c r="A327" s="6" t="s">
        <v>707</v>
      </c>
      <c r="B327" s="6">
        <v>44</v>
      </c>
      <c r="C327" s="6" t="s">
        <v>62</v>
      </c>
      <c r="D327" s="6" t="s">
        <v>69</v>
      </c>
      <c r="E327" s="6" t="s">
        <v>27</v>
      </c>
      <c r="F327" s="6">
        <v>1326</v>
      </c>
      <c r="G327" s="6">
        <v>193604.34</v>
      </c>
      <c r="H327" s="7">
        <v>41923</v>
      </c>
      <c r="I327" s="6" t="s">
        <v>56</v>
      </c>
      <c r="J327" s="6" t="s">
        <v>708</v>
      </c>
      <c r="K327" s="6" t="s">
        <v>21</v>
      </c>
      <c r="L327" s="6" t="s">
        <v>22</v>
      </c>
      <c r="M327" s="6" t="s">
        <v>23</v>
      </c>
      <c r="N327" s="6">
        <v>4.3899999999999997</v>
      </c>
      <c r="O327" s="6">
        <v>162</v>
      </c>
    </row>
    <row r="328" spans="1:15" ht="14.25" customHeight="1" x14ac:dyDescent="0.3">
      <c r="A328" s="6" t="s">
        <v>709</v>
      </c>
      <c r="B328" s="6">
        <v>57</v>
      </c>
      <c r="C328" s="6" t="s">
        <v>62</v>
      </c>
      <c r="D328" s="6" t="s">
        <v>26</v>
      </c>
      <c r="E328" s="6" t="s">
        <v>34</v>
      </c>
      <c r="F328" s="6">
        <v>1327</v>
      </c>
      <c r="G328" s="6">
        <v>69282.97</v>
      </c>
      <c r="H328" s="7">
        <v>42664</v>
      </c>
      <c r="I328" s="6" t="s">
        <v>63</v>
      </c>
      <c r="J328" s="6" t="s">
        <v>710</v>
      </c>
      <c r="K328" s="6" t="s">
        <v>30</v>
      </c>
      <c r="L328" s="6" t="s">
        <v>31</v>
      </c>
      <c r="M328" s="6" t="s">
        <v>32</v>
      </c>
      <c r="N328" s="6">
        <v>1.79</v>
      </c>
      <c r="O328" s="6">
        <v>133</v>
      </c>
    </row>
    <row r="329" spans="1:15" ht="14.25" customHeight="1" x14ac:dyDescent="0.3">
      <c r="A329" s="6" t="s">
        <v>711</v>
      </c>
      <c r="B329" s="6">
        <v>41</v>
      </c>
      <c r="C329" s="6" t="s">
        <v>25</v>
      </c>
      <c r="D329" s="6" t="s">
        <v>55</v>
      </c>
      <c r="E329" s="6" t="s">
        <v>34</v>
      </c>
      <c r="F329" s="6">
        <v>1328</v>
      </c>
      <c r="G329" s="6">
        <v>145482.03</v>
      </c>
      <c r="H329" s="7">
        <v>44352</v>
      </c>
      <c r="I329" s="6" t="s">
        <v>66</v>
      </c>
      <c r="J329" s="6" t="s">
        <v>712</v>
      </c>
      <c r="K329" s="6" t="s">
        <v>37</v>
      </c>
      <c r="L329" s="6" t="s">
        <v>38</v>
      </c>
      <c r="M329" s="6" t="s">
        <v>39</v>
      </c>
      <c r="N329" s="6">
        <v>2.69</v>
      </c>
      <c r="O329" s="6">
        <v>183</v>
      </c>
    </row>
    <row r="330" spans="1:15" ht="14.25" customHeight="1" x14ac:dyDescent="0.3">
      <c r="A330" s="6" t="s">
        <v>713</v>
      </c>
      <c r="B330" s="6">
        <v>29</v>
      </c>
      <c r="C330" s="6" t="s">
        <v>62</v>
      </c>
      <c r="D330" s="6" t="s">
        <v>47</v>
      </c>
      <c r="E330" s="6" t="s">
        <v>18</v>
      </c>
      <c r="F330" s="6">
        <v>1329</v>
      </c>
      <c r="G330" s="6">
        <v>145083.01999999999</v>
      </c>
      <c r="H330" s="7">
        <v>42239</v>
      </c>
      <c r="I330" s="6" t="s">
        <v>70</v>
      </c>
      <c r="J330" s="6" t="s">
        <v>714</v>
      </c>
      <c r="K330" s="6" t="s">
        <v>43</v>
      </c>
      <c r="L330" s="6" t="s">
        <v>44</v>
      </c>
      <c r="M330" s="6" t="s">
        <v>45</v>
      </c>
      <c r="N330" s="6">
        <v>1.92</v>
      </c>
      <c r="O330" s="6">
        <v>45</v>
      </c>
    </row>
    <row r="331" spans="1:15" ht="14.25" customHeight="1" x14ac:dyDescent="0.3">
      <c r="A331" s="6" t="s">
        <v>715</v>
      </c>
      <c r="B331" s="6">
        <v>30</v>
      </c>
      <c r="C331" s="6" t="s">
        <v>25</v>
      </c>
      <c r="D331" s="6" t="s">
        <v>17</v>
      </c>
      <c r="E331" s="6" t="s">
        <v>18</v>
      </c>
      <c r="F331" s="6">
        <v>1330</v>
      </c>
      <c r="G331" s="6">
        <v>93335.37</v>
      </c>
      <c r="H331" s="7">
        <v>37496</v>
      </c>
      <c r="I331" s="6" t="s">
        <v>73</v>
      </c>
      <c r="J331" s="6" t="s">
        <v>716</v>
      </c>
      <c r="K331" s="6" t="s">
        <v>51</v>
      </c>
      <c r="L331" s="6" t="s">
        <v>52</v>
      </c>
      <c r="M331" s="6" t="s">
        <v>53</v>
      </c>
      <c r="N331" s="6">
        <v>2.77</v>
      </c>
      <c r="O331" s="6">
        <v>77</v>
      </c>
    </row>
    <row r="332" spans="1:15" ht="14.25" customHeight="1" x14ac:dyDescent="0.3">
      <c r="A332" s="6" t="s">
        <v>717</v>
      </c>
      <c r="B332" s="6">
        <v>35</v>
      </c>
      <c r="C332" s="6" t="s">
        <v>16</v>
      </c>
      <c r="D332" s="6" t="s">
        <v>55</v>
      </c>
      <c r="E332" s="6" t="s">
        <v>18</v>
      </c>
      <c r="F332" s="6">
        <v>1331</v>
      </c>
      <c r="G332" s="6">
        <v>184869.66</v>
      </c>
      <c r="H332" s="7">
        <v>41911</v>
      </c>
      <c r="I332" s="6" t="s">
        <v>19</v>
      </c>
      <c r="J332" s="6" t="s">
        <v>718</v>
      </c>
      <c r="K332" s="6" t="s">
        <v>21</v>
      </c>
      <c r="L332" s="6" t="s">
        <v>22</v>
      </c>
      <c r="M332" s="6" t="s">
        <v>23</v>
      </c>
      <c r="N332" s="6">
        <v>4.92</v>
      </c>
      <c r="O332" s="6">
        <v>28</v>
      </c>
    </row>
    <row r="333" spans="1:15" ht="14.25" customHeight="1" x14ac:dyDescent="0.3">
      <c r="A333" s="6" t="s">
        <v>719</v>
      </c>
      <c r="B333" s="6">
        <v>27</v>
      </c>
      <c r="C333" s="6" t="s">
        <v>16</v>
      </c>
      <c r="D333" s="6" t="s">
        <v>55</v>
      </c>
      <c r="E333" s="6" t="s">
        <v>27</v>
      </c>
      <c r="F333" s="6">
        <v>1332</v>
      </c>
      <c r="G333" s="6">
        <v>148210.6</v>
      </c>
      <c r="H333" s="7">
        <v>39180</v>
      </c>
      <c r="I333" s="6" t="s">
        <v>28</v>
      </c>
      <c r="J333" s="6" t="s">
        <v>720</v>
      </c>
      <c r="K333" s="6" t="s">
        <v>30</v>
      </c>
      <c r="L333" s="6" t="s">
        <v>31</v>
      </c>
      <c r="M333" s="6" t="s">
        <v>32</v>
      </c>
      <c r="N333" s="6">
        <v>2.91</v>
      </c>
      <c r="O333" s="6">
        <v>78</v>
      </c>
    </row>
    <row r="334" spans="1:15" ht="14.25" customHeight="1" x14ac:dyDescent="0.3">
      <c r="A334" s="6" t="s">
        <v>721</v>
      </c>
      <c r="B334" s="6">
        <v>22</v>
      </c>
      <c r="C334" s="6" t="s">
        <v>16</v>
      </c>
      <c r="D334" s="6" t="s">
        <v>47</v>
      </c>
      <c r="E334" s="6" t="s">
        <v>80</v>
      </c>
      <c r="F334" s="6">
        <v>1333</v>
      </c>
      <c r="G334" s="6">
        <v>88084.17</v>
      </c>
      <c r="H334" s="7">
        <v>40783</v>
      </c>
      <c r="I334" s="6" t="s">
        <v>35</v>
      </c>
      <c r="J334" s="6" t="s">
        <v>722</v>
      </c>
      <c r="K334" s="6" t="s">
        <v>37</v>
      </c>
      <c r="L334" s="6" t="s">
        <v>38</v>
      </c>
      <c r="M334" s="6" t="s">
        <v>39</v>
      </c>
      <c r="N334" s="6">
        <v>4.9800000000000004</v>
      </c>
      <c r="O334" s="6">
        <v>79</v>
      </c>
    </row>
    <row r="335" spans="1:15" ht="14.25" customHeight="1" x14ac:dyDescent="0.3">
      <c r="A335" s="6" t="s">
        <v>723</v>
      </c>
      <c r="B335" s="6">
        <v>30</v>
      </c>
      <c r="C335" s="6" t="s">
        <v>16</v>
      </c>
      <c r="D335" s="6" t="s">
        <v>47</v>
      </c>
      <c r="E335" s="6" t="s">
        <v>80</v>
      </c>
      <c r="F335" s="6">
        <v>1334</v>
      </c>
      <c r="G335" s="6">
        <v>138753.64000000001</v>
      </c>
      <c r="H335" s="7">
        <v>41067</v>
      </c>
      <c r="I335" s="6" t="s">
        <v>41</v>
      </c>
      <c r="J335" s="6" t="s">
        <v>724</v>
      </c>
      <c r="K335" s="6" t="s">
        <v>43</v>
      </c>
      <c r="L335" s="6" t="s">
        <v>44</v>
      </c>
      <c r="M335" s="6" t="s">
        <v>45</v>
      </c>
      <c r="N335" s="6">
        <v>1.41</v>
      </c>
      <c r="O335" s="6">
        <v>66</v>
      </c>
    </row>
    <row r="336" spans="1:15" ht="14.25" customHeight="1" x14ac:dyDescent="0.3">
      <c r="A336" s="6" t="s">
        <v>725</v>
      </c>
      <c r="B336" s="6">
        <v>37</v>
      </c>
      <c r="C336" s="6" t="s">
        <v>25</v>
      </c>
      <c r="D336" s="6" t="s">
        <v>69</v>
      </c>
      <c r="E336" s="6" t="s">
        <v>18</v>
      </c>
      <c r="F336" s="6">
        <v>1335</v>
      </c>
      <c r="G336" s="6">
        <v>94405.37</v>
      </c>
      <c r="H336" s="7">
        <v>41302</v>
      </c>
      <c r="I336" s="6" t="s">
        <v>49</v>
      </c>
      <c r="J336" s="6" t="s">
        <v>726</v>
      </c>
      <c r="K336" s="6" t="s">
        <v>51</v>
      </c>
      <c r="L336" s="6" t="s">
        <v>52</v>
      </c>
      <c r="M336" s="6" t="s">
        <v>53</v>
      </c>
      <c r="N336" s="6">
        <v>1.7</v>
      </c>
      <c r="O336" s="6">
        <v>199</v>
      </c>
    </row>
    <row r="337" spans="1:15" ht="14.25" customHeight="1" x14ac:dyDescent="0.3">
      <c r="A337" s="6" t="s">
        <v>727</v>
      </c>
      <c r="B337" s="6">
        <v>37</v>
      </c>
      <c r="C337" s="6" t="s">
        <v>62</v>
      </c>
      <c r="D337" s="6" t="s">
        <v>55</v>
      </c>
      <c r="E337" s="6" t="s">
        <v>18</v>
      </c>
      <c r="F337" s="6">
        <v>1336</v>
      </c>
      <c r="G337" s="6">
        <v>73687.56</v>
      </c>
      <c r="H337" s="7">
        <v>40254</v>
      </c>
      <c r="I337" s="6" t="s">
        <v>56</v>
      </c>
      <c r="J337" s="6" t="s">
        <v>728</v>
      </c>
      <c r="K337" s="6" t="s">
        <v>21</v>
      </c>
      <c r="L337" s="6" t="s">
        <v>22</v>
      </c>
      <c r="M337" s="6" t="s">
        <v>23</v>
      </c>
      <c r="N337" s="6">
        <v>1.51</v>
      </c>
      <c r="O337" s="6">
        <v>24</v>
      </c>
    </row>
    <row r="338" spans="1:15" ht="14.25" customHeight="1" x14ac:dyDescent="0.3">
      <c r="A338" s="6" t="s">
        <v>729</v>
      </c>
      <c r="B338" s="6">
        <v>33</v>
      </c>
      <c r="C338" s="6" t="s">
        <v>25</v>
      </c>
      <c r="D338" s="6" t="s">
        <v>17</v>
      </c>
      <c r="E338" s="6" t="s">
        <v>80</v>
      </c>
      <c r="F338" s="6">
        <v>1337</v>
      </c>
      <c r="G338" s="6">
        <v>102137.01</v>
      </c>
      <c r="H338" s="7">
        <v>38651</v>
      </c>
      <c r="I338" s="6" t="s">
        <v>63</v>
      </c>
      <c r="J338" s="6" t="s">
        <v>730</v>
      </c>
      <c r="K338" s="6" t="s">
        <v>30</v>
      </c>
      <c r="L338" s="6" t="s">
        <v>31</v>
      </c>
      <c r="M338" s="6" t="s">
        <v>32</v>
      </c>
      <c r="N338" s="6">
        <v>2.63</v>
      </c>
      <c r="O338" s="6">
        <v>7</v>
      </c>
    </row>
    <row r="339" spans="1:15" ht="14.25" customHeight="1" x14ac:dyDescent="0.3">
      <c r="A339" s="6" t="s">
        <v>731</v>
      </c>
      <c r="B339" s="6">
        <v>26</v>
      </c>
      <c r="C339" s="6" t="s">
        <v>62</v>
      </c>
      <c r="D339" s="6" t="s">
        <v>69</v>
      </c>
      <c r="E339" s="6" t="s">
        <v>18</v>
      </c>
      <c r="F339" s="6">
        <v>1338</v>
      </c>
      <c r="G339" s="6">
        <v>130733.75999999999</v>
      </c>
      <c r="H339" s="7">
        <v>38905</v>
      </c>
      <c r="I339" s="6" t="s">
        <v>66</v>
      </c>
      <c r="J339" s="6" t="s">
        <v>732</v>
      </c>
      <c r="K339" s="6" t="s">
        <v>37</v>
      </c>
      <c r="L339" s="6" t="s">
        <v>38</v>
      </c>
      <c r="M339" s="6" t="s">
        <v>39</v>
      </c>
      <c r="N339" s="6">
        <v>3.95</v>
      </c>
      <c r="O339" s="6">
        <v>187</v>
      </c>
    </row>
    <row r="340" spans="1:15" ht="14.25" customHeight="1" x14ac:dyDescent="0.3">
      <c r="A340" s="6" t="s">
        <v>733</v>
      </c>
      <c r="B340" s="6">
        <v>61</v>
      </c>
      <c r="C340" s="6" t="s">
        <v>25</v>
      </c>
      <c r="D340" s="6" t="s">
        <v>69</v>
      </c>
      <c r="E340" s="6" t="s">
        <v>34</v>
      </c>
      <c r="F340" s="6">
        <v>1339</v>
      </c>
      <c r="G340" s="6">
        <v>147300</v>
      </c>
      <c r="H340" s="7">
        <v>44704</v>
      </c>
      <c r="I340" s="6" t="s">
        <v>70</v>
      </c>
      <c r="J340" s="6" t="s">
        <v>734</v>
      </c>
      <c r="K340" s="6" t="s">
        <v>43</v>
      </c>
      <c r="L340" s="6" t="s">
        <v>44</v>
      </c>
      <c r="M340" s="6" t="s">
        <v>45</v>
      </c>
      <c r="N340" s="6">
        <v>4.3600000000000003</v>
      </c>
      <c r="O340" s="6">
        <v>196</v>
      </c>
    </row>
    <row r="341" spans="1:15" ht="14.25" customHeight="1" x14ac:dyDescent="0.3">
      <c r="A341" s="6" t="s">
        <v>735</v>
      </c>
      <c r="B341" s="6">
        <v>50</v>
      </c>
      <c r="C341" s="6" t="s">
        <v>62</v>
      </c>
      <c r="D341" s="6" t="s">
        <v>17</v>
      </c>
      <c r="E341" s="6" t="s">
        <v>48</v>
      </c>
      <c r="F341" s="6">
        <v>1340</v>
      </c>
      <c r="G341" s="6">
        <v>175109.59</v>
      </c>
      <c r="H341" s="7">
        <v>43293</v>
      </c>
      <c r="I341" s="6" t="s">
        <v>73</v>
      </c>
      <c r="J341" s="6" t="s">
        <v>736</v>
      </c>
      <c r="K341" s="6" t="s">
        <v>51</v>
      </c>
      <c r="L341" s="6" t="s">
        <v>52</v>
      </c>
      <c r="M341" s="6" t="s">
        <v>53</v>
      </c>
      <c r="N341" s="6">
        <v>3.07</v>
      </c>
      <c r="O341" s="6">
        <v>4</v>
      </c>
    </row>
    <row r="342" spans="1:15" ht="14.25" customHeight="1" x14ac:dyDescent="0.3">
      <c r="A342" s="6" t="s">
        <v>737</v>
      </c>
      <c r="B342" s="6">
        <v>48</v>
      </c>
      <c r="C342" s="6" t="s">
        <v>62</v>
      </c>
      <c r="D342" s="6" t="s">
        <v>47</v>
      </c>
      <c r="E342" s="6" t="s">
        <v>34</v>
      </c>
      <c r="F342" s="6">
        <v>1341</v>
      </c>
      <c r="G342" s="6">
        <v>150809.65</v>
      </c>
      <c r="H342" s="7">
        <v>43668</v>
      </c>
      <c r="I342" s="6" t="s">
        <v>19</v>
      </c>
      <c r="J342" s="6" t="s">
        <v>738</v>
      </c>
      <c r="K342" s="6" t="s">
        <v>21</v>
      </c>
      <c r="L342" s="6" t="s">
        <v>22</v>
      </c>
      <c r="M342" s="6" t="s">
        <v>23</v>
      </c>
      <c r="N342" s="6">
        <v>4.42</v>
      </c>
      <c r="O342" s="6">
        <v>52</v>
      </c>
    </row>
    <row r="343" spans="1:15" ht="14.25" customHeight="1" x14ac:dyDescent="0.3">
      <c r="A343" s="6" t="s">
        <v>739</v>
      </c>
      <c r="B343" s="6">
        <v>32</v>
      </c>
      <c r="C343" s="6" t="s">
        <v>25</v>
      </c>
      <c r="D343" s="6" t="s">
        <v>47</v>
      </c>
      <c r="E343" s="6" t="s">
        <v>80</v>
      </c>
      <c r="F343" s="6">
        <v>1342</v>
      </c>
      <c r="G343" s="6">
        <v>94836.61</v>
      </c>
      <c r="H343" s="7">
        <v>38099</v>
      </c>
      <c r="I343" s="6" t="s">
        <v>28</v>
      </c>
      <c r="J343" s="6" t="s">
        <v>740</v>
      </c>
      <c r="K343" s="6" t="s">
        <v>30</v>
      </c>
      <c r="L343" s="6" t="s">
        <v>31</v>
      </c>
      <c r="M343" s="6" t="s">
        <v>32</v>
      </c>
      <c r="N343" s="6">
        <v>4.82</v>
      </c>
      <c r="O343" s="6">
        <v>132</v>
      </c>
    </row>
    <row r="344" spans="1:15" ht="14.25" customHeight="1" x14ac:dyDescent="0.3">
      <c r="A344" s="6" t="s">
        <v>741</v>
      </c>
      <c r="B344" s="6">
        <v>49</v>
      </c>
      <c r="C344" s="6" t="s">
        <v>16</v>
      </c>
      <c r="D344" s="6" t="s">
        <v>55</v>
      </c>
      <c r="E344" s="6" t="s">
        <v>18</v>
      </c>
      <c r="F344" s="6">
        <v>1343</v>
      </c>
      <c r="G344" s="6">
        <v>99829.42</v>
      </c>
      <c r="H344" s="7">
        <v>38694</v>
      </c>
      <c r="I344" s="6" t="s">
        <v>35</v>
      </c>
      <c r="J344" s="6" t="s">
        <v>742</v>
      </c>
      <c r="K344" s="6" t="s">
        <v>37</v>
      </c>
      <c r="L344" s="6" t="s">
        <v>38</v>
      </c>
      <c r="M344" s="6" t="s">
        <v>39</v>
      </c>
      <c r="N344" s="6">
        <v>1.02</v>
      </c>
      <c r="O344" s="6">
        <v>61</v>
      </c>
    </row>
    <row r="345" spans="1:15" ht="14.25" customHeight="1" x14ac:dyDescent="0.3">
      <c r="A345" s="6" t="s">
        <v>743</v>
      </c>
      <c r="B345" s="6">
        <v>57</v>
      </c>
      <c r="C345" s="6" t="s">
        <v>25</v>
      </c>
      <c r="D345" s="6" t="s">
        <v>69</v>
      </c>
      <c r="E345" s="6" t="s">
        <v>48</v>
      </c>
      <c r="F345" s="6">
        <v>1344</v>
      </c>
      <c r="G345" s="6">
        <v>133304.69</v>
      </c>
      <c r="H345" s="7">
        <v>40325</v>
      </c>
      <c r="I345" s="6" t="s">
        <v>41</v>
      </c>
      <c r="J345" s="6" t="s">
        <v>744</v>
      </c>
      <c r="K345" s="6" t="s">
        <v>43</v>
      </c>
      <c r="L345" s="6" t="s">
        <v>44</v>
      </c>
      <c r="M345" s="6" t="s">
        <v>45</v>
      </c>
      <c r="N345" s="6">
        <v>1.66</v>
      </c>
      <c r="O345" s="6">
        <v>103</v>
      </c>
    </row>
    <row r="346" spans="1:15" ht="14.25" customHeight="1" x14ac:dyDescent="0.3">
      <c r="A346" s="6" t="s">
        <v>745</v>
      </c>
      <c r="B346" s="6">
        <v>63</v>
      </c>
      <c r="C346" s="6" t="s">
        <v>16</v>
      </c>
      <c r="D346" s="6" t="s">
        <v>17</v>
      </c>
      <c r="E346" s="6" t="s">
        <v>18</v>
      </c>
      <c r="F346" s="6">
        <v>1345</v>
      </c>
      <c r="G346" s="6">
        <v>176496.43</v>
      </c>
      <c r="H346" s="7">
        <v>42868</v>
      </c>
      <c r="I346" s="6" t="s">
        <v>49</v>
      </c>
      <c r="J346" s="6" t="s">
        <v>746</v>
      </c>
      <c r="K346" s="6" t="s">
        <v>51</v>
      </c>
      <c r="L346" s="6" t="s">
        <v>52</v>
      </c>
      <c r="M346" s="6" t="s">
        <v>53</v>
      </c>
      <c r="N346" s="6">
        <v>1.72</v>
      </c>
      <c r="O346" s="6">
        <v>69</v>
      </c>
    </row>
    <row r="347" spans="1:15" ht="14.25" customHeight="1" x14ac:dyDescent="0.3">
      <c r="A347" s="6" t="s">
        <v>747</v>
      </c>
      <c r="B347" s="6">
        <v>40</v>
      </c>
      <c r="C347" s="6" t="s">
        <v>25</v>
      </c>
      <c r="D347" s="6" t="s">
        <v>17</v>
      </c>
      <c r="E347" s="6" t="s">
        <v>34</v>
      </c>
      <c r="F347" s="6">
        <v>1346</v>
      </c>
      <c r="G347" s="6">
        <v>128477.99</v>
      </c>
      <c r="H347" s="7">
        <v>40130</v>
      </c>
      <c r="I347" s="6" t="s">
        <v>56</v>
      </c>
      <c r="J347" s="6" t="s">
        <v>748</v>
      </c>
      <c r="K347" s="6" t="s">
        <v>21</v>
      </c>
      <c r="L347" s="6" t="s">
        <v>22</v>
      </c>
      <c r="M347" s="6" t="s">
        <v>23</v>
      </c>
      <c r="N347" s="6">
        <v>4.97</v>
      </c>
      <c r="O347" s="6">
        <v>60</v>
      </c>
    </row>
    <row r="348" spans="1:15" ht="14.25" customHeight="1" x14ac:dyDescent="0.3">
      <c r="A348" s="6" t="s">
        <v>749</v>
      </c>
      <c r="B348" s="6">
        <v>56</v>
      </c>
      <c r="C348" s="6" t="s">
        <v>62</v>
      </c>
      <c r="D348" s="6" t="s">
        <v>17</v>
      </c>
      <c r="E348" s="6" t="s">
        <v>18</v>
      </c>
      <c r="F348" s="6">
        <v>1347</v>
      </c>
      <c r="G348" s="6">
        <v>164126.15</v>
      </c>
      <c r="H348" s="7">
        <v>39618</v>
      </c>
      <c r="I348" s="6" t="s">
        <v>63</v>
      </c>
      <c r="J348" s="6" t="s">
        <v>750</v>
      </c>
      <c r="K348" s="6" t="s">
        <v>30</v>
      </c>
      <c r="L348" s="6" t="s">
        <v>31</v>
      </c>
      <c r="M348" s="6" t="s">
        <v>32</v>
      </c>
      <c r="N348" s="6">
        <v>4.5999999999999996</v>
      </c>
      <c r="O348" s="6">
        <v>31</v>
      </c>
    </row>
    <row r="349" spans="1:15" ht="14.25" customHeight="1" x14ac:dyDescent="0.3">
      <c r="A349" s="6" t="s">
        <v>751</v>
      </c>
      <c r="B349" s="6">
        <v>52</v>
      </c>
      <c r="C349" s="6" t="s">
        <v>16</v>
      </c>
      <c r="D349" s="6" t="s">
        <v>69</v>
      </c>
      <c r="E349" s="6" t="s">
        <v>34</v>
      </c>
      <c r="F349" s="6">
        <v>1348</v>
      </c>
      <c r="G349" s="6">
        <v>135564.09</v>
      </c>
      <c r="H349" s="7">
        <v>39475</v>
      </c>
      <c r="I349" s="6" t="s">
        <v>66</v>
      </c>
      <c r="J349" s="6" t="s">
        <v>752</v>
      </c>
      <c r="K349" s="6" t="s">
        <v>37</v>
      </c>
      <c r="L349" s="6" t="s">
        <v>38</v>
      </c>
      <c r="M349" s="6" t="s">
        <v>39</v>
      </c>
      <c r="N349" s="6">
        <v>1.42</v>
      </c>
      <c r="O349" s="6">
        <v>11</v>
      </c>
    </row>
    <row r="350" spans="1:15" ht="14.25" customHeight="1" x14ac:dyDescent="0.3">
      <c r="A350" s="6" t="s">
        <v>753</v>
      </c>
      <c r="B350" s="6">
        <v>40</v>
      </c>
      <c r="C350" s="6" t="s">
        <v>62</v>
      </c>
      <c r="D350" s="6" t="s">
        <v>26</v>
      </c>
      <c r="E350" s="6" t="s">
        <v>48</v>
      </c>
      <c r="F350" s="6">
        <v>1349</v>
      </c>
      <c r="G350" s="6">
        <v>146714.74</v>
      </c>
      <c r="H350" s="7">
        <v>37599</v>
      </c>
      <c r="I350" s="6" t="s">
        <v>70</v>
      </c>
      <c r="J350" s="6" t="s">
        <v>754</v>
      </c>
      <c r="K350" s="6" t="s">
        <v>43</v>
      </c>
      <c r="L350" s="6" t="s">
        <v>44</v>
      </c>
      <c r="M350" s="6" t="s">
        <v>45</v>
      </c>
      <c r="N350" s="6">
        <v>4.97</v>
      </c>
      <c r="O350" s="6">
        <v>71</v>
      </c>
    </row>
    <row r="351" spans="1:15" ht="14.25" customHeight="1" x14ac:dyDescent="0.3">
      <c r="A351" s="6" t="s">
        <v>755</v>
      </c>
      <c r="B351" s="6">
        <v>45</v>
      </c>
      <c r="C351" s="6" t="s">
        <v>62</v>
      </c>
      <c r="D351" s="6" t="s">
        <v>26</v>
      </c>
      <c r="E351" s="6" t="s">
        <v>27</v>
      </c>
      <c r="F351" s="6">
        <v>1350</v>
      </c>
      <c r="G351" s="6">
        <v>178454.62</v>
      </c>
      <c r="H351" s="7">
        <v>44019</v>
      </c>
      <c r="I351" s="6" t="s">
        <v>73</v>
      </c>
      <c r="J351" s="6" t="s">
        <v>756</v>
      </c>
      <c r="K351" s="6" t="s">
        <v>51</v>
      </c>
      <c r="L351" s="6" t="s">
        <v>52</v>
      </c>
      <c r="M351" s="6" t="s">
        <v>53</v>
      </c>
      <c r="N351" s="6">
        <v>1.71</v>
      </c>
      <c r="O351" s="6">
        <v>160</v>
      </c>
    </row>
    <row r="352" spans="1:15" ht="14.25" customHeight="1" x14ac:dyDescent="0.3">
      <c r="A352" s="6" t="s">
        <v>757</v>
      </c>
      <c r="B352" s="6">
        <v>23</v>
      </c>
      <c r="C352" s="6" t="s">
        <v>62</v>
      </c>
      <c r="D352" s="6" t="s">
        <v>55</v>
      </c>
      <c r="E352" s="6" t="s">
        <v>27</v>
      </c>
      <c r="F352" s="6">
        <v>1351</v>
      </c>
      <c r="G352" s="6">
        <v>115852.17</v>
      </c>
      <c r="H352" s="7">
        <v>43043</v>
      </c>
      <c r="I352" s="6" t="s">
        <v>19</v>
      </c>
      <c r="J352" s="6" t="s">
        <v>758</v>
      </c>
      <c r="K352" s="6" t="s">
        <v>21</v>
      </c>
      <c r="L352" s="6" t="s">
        <v>22</v>
      </c>
      <c r="M352" s="6" t="s">
        <v>23</v>
      </c>
      <c r="N352" s="6">
        <v>2.29</v>
      </c>
      <c r="O352" s="6">
        <v>176</v>
      </c>
    </row>
    <row r="353" spans="1:15" ht="14.25" customHeight="1" x14ac:dyDescent="0.3">
      <c r="A353" s="6" t="s">
        <v>759</v>
      </c>
      <c r="B353" s="6">
        <v>28</v>
      </c>
      <c r="C353" s="6" t="s">
        <v>25</v>
      </c>
      <c r="D353" s="6" t="s">
        <v>69</v>
      </c>
      <c r="E353" s="6" t="s">
        <v>48</v>
      </c>
      <c r="F353" s="6">
        <v>1352</v>
      </c>
      <c r="G353" s="6">
        <v>154631.42000000001</v>
      </c>
      <c r="H353" s="7">
        <v>40446</v>
      </c>
      <c r="I353" s="6" t="s">
        <v>28</v>
      </c>
      <c r="J353" s="6" t="s">
        <v>760</v>
      </c>
      <c r="K353" s="6" t="s">
        <v>30</v>
      </c>
      <c r="L353" s="6" t="s">
        <v>31</v>
      </c>
      <c r="M353" s="6" t="s">
        <v>32</v>
      </c>
      <c r="N353" s="6">
        <v>4.5599999999999996</v>
      </c>
      <c r="O353" s="6">
        <v>121</v>
      </c>
    </row>
    <row r="354" spans="1:15" ht="14.25" customHeight="1" x14ac:dyDescent="0.3">
      <c r="A354" s="6" t="s">
        <v>761</v>
      </c>
      <c r="B354" s="6">
        <v>64</v>
      </c>
      <c r="C354" s="6" t="s">
        <v>62</v>
      </c>
      <c r="D354" s="6" t="s">
        <v>69</v>
      </c>
      <c r="E354" s="6" t="s">
        <v>18</v>
      </c>
      <c r="F354" s="6">
        <v>1353</v>
      </c>
      <c r="G354" s="6">
        <v>175091.99</v>
      </c>
      <c r="H354" s="7">
        <v>43642</v>
      </c>
      <c r="I354" s="6" t="s">
        <v>35</v>
      </c>
      <c r="J354" s="6" t="s">
        <v>762</v>
      </c>
      <c r="K354" s="6" t="s">
        <v>37</v>
      </c>
      <c r="L354" s="6" t="s">
        <v>38</v>
      </c>
      <c r="M354" s="6" t="s">
        <v>39</v>
      </c>
      <c r="N354" s="6">
        <v>1.0900000000000001</v>
      </c>
      <c r="O354" s="6">
        <v>169</v>
      </c>
    </row>
    <row r="355" spans="1:15" ht="14.25" customHeight="1" x14ac:dyDescent="0.3">
      <c r="A355" s="6" t="s">
        <v>763</v>
      </c>
      <c r="B355" s="6">
        <v>52</v>
      </c>
      <c r="C355" s="6" t="s">
        <v>25</v>
      </c>
      <c r="D355" s="6" t="s">
        <v>26</v>
      </c>
      <c r="E355" s="6" t="s">
        <v>27</v>
      </c>
      <c r="F355" s="6">
        <v>1354</v>
      </c>
      <c r="G355" s="6">
        <v>147273.34</v>
      </c>
      <c r="H355" s="7">
        <v>37444</v>
      </c>
      <c r="I355" s="6" t="s">
        <v>41</v>
      </c>
      <c r="J355" s="6" t="s">
        <v>764</v>
      </c>
      <c r="K355" s="6" t="s">
        <v>43</v>
      </c>
      <c r="L355" s="6" t="s">
        <v>44</v>
      </c>
      <c r="M355" s="6" t="s">
        <v>45</v>
      </c>
      <c r="N355" s="6">
        <v>2.2799999999999998</v>
      </c>
      <c r="O355" s="6">
        <v>64</v>
      </c>
    </row>
    <row r="356" spans="1:15" ht="14.25" customHeight="1" x14ac:dyDescent="0.3">
      <c r="A356" s="6" t="s">
        <v>765</v>
      </c>
      <c r="B356" s="6">
        <v>38</v>
      </c>
      <c r="C356" s="6" t="s">
        <v>16</v>
      </c>
      <c r="D356" s="6" t="s">
        <v>47</v>
      </c>
      <c r="E356" s="6" t="s">
        <v>34</v>
      </c>
      <c r="F356" s="6">
        <v>1355</v>
      </c>
      <c r="G356" s="6">
        <v>59352.45</v>
      </c>
      <c r="H356" s="7">
        <v>39330</v>
      </c>
      <c r="I356" s="6" t="s">
        <v>49</v>
      </c>
      <c r="J356" s="6" t="s">
        <v>766</v>
      </c>
      <c r="K356" s="6" t="s">
        <v>51</v>
      </c>
      <c r="L356" s="6" t="s">
        <v>52</v>
      </c>
      <c r="M356" s="6" t="s">
        <v>53</v>
      </c>
      <c r="N356" s="6">
        <v>2.85</v>
      </c>
      <c r="O356" s="6">
        <v>153</v>
      </c>
    </row>
    <row r="357" spans="1:15" ht="14.25" customHeight="1" x14ac:dyDescent="0.3">
      <c r="A357" s="6" t="s">
        <v>767</v>
      </c>
      <c r="B357" s="6">
        <v>48</v>
      </c>
      <c r="C357" s="6" t="s">
        <v>62</v>
      </c>
      <c r="D357" s="6" t="s">
        <v>26</v>
      </c>
      <c r="E357" s="6" t="s">
        <v>27</v>
      </c>
      <c r="F357" s="6">
        <v>1356</v>
      </c>
      <c r="G357" s="6">
        <v>122891.69</v>
      </c>
      <c r="H357" s="7">
        <v>40829</v>
      </c>
      <c r="I357" s="6" t="s">
        <v>56</v>
      </c>
      <c r="J357" s="6" t="s">
        <v>768</v>
      </c>
      <c r="K357" s="6" t="s">
        <v>21</v>
      </c>
      <c r="L357" s="6" t="s">
        <v>22</v>
      </c>
      <c r="M357" s="6" t="s">
        <v>23</v>
      </c>
      <c r="N357" s="6">
        <v>1.29</v>
      </c>
      <c r="O357" s="6">
        <v>182</v>
      </c>
    </row>
    <row r="358" spans="1:15" ht="14.25" customHeight="1" x14ac:dyDescent="0.3">
      <c r="A358" s="6" t="s">
        <v>769</v>
      </c>
      <c r="B358" s="6">
        <v>57</v>
      </c>
      <c r="C358" s="6" t="s">
        <v>16</v>
      </c>
      <c r="D358" s="6" t="s">
        <v>69</v>
      </c>
      <c r="E358" s="6" t="s">
        <v>34</v>
      </c>
      <c r="F358" s="6">
        <v>1357</v>
      </c>
      <c r="G358" s="6">
        <v>139326.73000000001</v>
      </c>
      <c r="H358" s="7">
        <v>39871</v>
      </c>
      <c r="I358" s="6" t="s">
        <v>63</v>
      </c>
      <c r="J358" s="6" t="s">
        <v>770</v>
      </c>
      <c r="K358" s="6" t="s">
        <v>30</v>
      </c>
      <c r="L358" s="6" t="s">
        <v>31</v>
      </c>
      <c r="M358" s="6" t="s">
        <v>32</v>
      </c>
      <c r="N358" s="6">
        <v>3.74</v>
      </c>
      <c r="O358" s="6">
        <v>26</v>
      </c>
    </row>
    <row r="359" spans="1:15" ht="14.25" customHeight="1" x14ac:dyDescent="0.3">
      <c r="A359" s="6" t="s">
        <v>771</v>
      </c>
      <c r="B359" s="6">
        <v>64</v>
      </c>
      <c r="C359" s="6" t="s">
        <v>16</v>
      </c>
      <c r="D359" s="6" t="s">
        <v>17</v>
      </c>
      <c r="E359" s="6" t="s">
        <v>48</v>
      </c>
      <c r="F359" s="6">
        <v>1358</v>
      </c>
      <c r="G359" s="6">
        <v>93443.82</v>
      </c>
      <c r="H359" s="7">
        <v>41675</v>
      </c>
      <c r="I359" s="6" t="s">
        <v>66</v>
      </c>
      <c r="J359" s="6" t="s">
        <v>772</v>
      </c>
      <c r="K359" s="6" t="s">
        <v>37</v>
      </c>
      <c r="L359" s="6" t="s">
        <v>38</v>
      </c>
      <c r="M359" s="6" t="s">
        <v>39</v>
      </c>
      <c r="N359" s="6">
        <v>1.4</v>
      </c>
      <c r="O359" s="6">
        <v>91</v>
      </c>
    </row>
    <row r="360" spans="1:15" ht="14.25" customHeight="1" x14ac:dyDescent="0.3">
      <c r="A360" s="6" t="s">
        <v>773</v>
      </c>
      <c r="B360" s="6">
        <v>31</v>
      </c>
      <c r="C360" s="6" t="s">
        <v>25</v>
      </c>
      <c r="D360" s="6" t="s">
        <v>69</v>
      </c>
      <c r="E360" s="6" t="s">
        <v>27</v>
      </c>
      <c r="F360" s="6">
        <v>1359</v>
      </c>
      <c r="G360" s="6">
        <v>141212.79</v>
      </c>
      <c r="H360" s="7">
        <v>44345</v>
      </c>
      <c r="I360" s="6" t="s">
        <v>70</v>
      </c>
      <c r="J360" s="6" t="s">
        <v>774</v>
      </c>
      <c r="K360" s="6" t="s">
        <v>43</v>
      </c>
      <c r="L360" s="6" t="s">
        <v>44</v>
      </c>
      <c r="M360" s="6" t="s">
        <v>45</v>
      </c>
      <c r="N360" s="6">
        <v>4.8499999999999996</v>
      </c>
      <c r="O360" s="6">
        <v>70</v>
      </c>
    </row>
    <row r="361" spans="1:15" ht="14.25" customHeight="1" x14ac:dyDescent="0.3">
      <c r="A361" s="6" t="s">
        <v>775</v>
      </c>
      <c r="B361" s="6">
        <v>35</v>
      </c>
      <c r="C361" s="6" t="s">
        <v>16</v>
      </c>
      <c r="D361" s="6" t="s">
        <v>55</v>
      </c>
      <c r="E361" s="6" t="s">
        <v>48</v>
      </c>
      <c r="F361" s="6">
        <v>1360</v>
      </c>
      <c r="G361" s="6">
        <v>185599.66</v>
      </c>
      <c r="H361" s="7">
        <v>41005</v>
      </c>
      <c r="I361" s="6" t="s">
        <v>73</v>
      </c>
      <c r="J361" s="6" t="s">
        <v>776</v>
      </c>
      <c r="K361" s="6" t="s">
        <v>51</v>
      </c>
      <c r="L361" s="6" t="s">
        <v>52</v>
      </c>
      <c r="M361" s="6" t="s">
        <v>53</v>
      </c>
      <c r="N361" s="6">
        <v>4.58</v>
      </c>
      <c r="O361" s="6">
        <v>4</v>
      </c>
    </row>
    <row r="362" spans="1:15" ht="14.25" customHeight="1" x14ac:dyDescent="0.3">
      <c r="A362" s="6" t="s">
        <v>777</v>
      </c>
      <c r="B362" s="6">
        <v>28</v>
      </c>
      <c r="C362" s="6" t="s">
        <v>25</v>
      </c>
      <c r="D362" s="6" t="s">
        <v>26</v>
      </c>
      <c r="E362" s="6" t="s">
        <v>80</v>
      </c>
      <c r="F362" s="6">
        <v>1361</v>
      </c>
      <c r="G362" s="6">
        <v>140652.57999999999</v>
      </c>
      <c r="H362" s="7">
        <v>41632</v>
      </c>
      <c r="I362" s="6" t="s">
        <v>19</v>
      </c>
      <c r="J362" s="6" t="s">
        <v>778</v>
      </c>
      <c r="K362" s="6" t="s">
        <v>21</v>
      </c>
      <c r="L362" s="6" t="s">
        <v>22</v>
      </c>
      <c r="M362" s="6" t="s">
        <v>23</v>
      </c>
      <c r="N362" s="6">
        <v>1.2</v>
      </c>
      <c r="O362" s="6">
        <v>84</v>
      </c>
    </row>
    <row r="363" spans="1:15" ht="14.25" customHeight="1" x14ac:dyDescent="0.3">
      <c r="A363" s="6" t="s">
        <v>779</v>
      </c>
      <c r="B363" s="6">
        <v>60</v>
      </c>
      <c r="C363" s="6" t="s">
        <v>25</v>
      </c>
      <c r="D363" s="6" t="s">
        <v>55</v>
      </c>
      <c r="E363" s="6" t="s">
        <v>48</v>
      </c>
      <c r="F363" s="6">
        <v>1362</v>
      </c>
      <c r="G363" s="6">
        <v>52839.72</v>
      </c>
      <c r="H363" s="7">
        <v>40412</v>
      </c>
      <c r="I363" s="6" t="s">
        <v>28</v>
      </c>
      <c r="J363" s="6" t="s">
        <v>780</v>
      </c>
      <c r="K363" s="6" t="s">
        <v>30</v>
      </c>
      <c r="L363" s="6" t="s">
        <v>31</v>
      </c>
      <c r="M363" s="6" t="s">
        <v>32</v>
      </c>
      <c r="N363" s="6">
        <v>1.1599999999999999</v>
      </c>
      <c r="O363" s="6">
        <v>2</v>
      </c>
    </row>
    <row r="364" spans="1:15" ht="14.25" customHeight="1" x14ac:dyDescent="0.3">
      <c r="A364" s="6" t="s">
        <v>781</v>
      </c>
      <c r="B364" s="6">
        <v>61</v>
      </c>
      <c r="C364" s="6" t="s">
        <v>16</v>
      </c>
      <c r="D364" s="6" t="s">
        <v>26</v>
      </c>
      <c r="E364" s="6" t="s">
        <v>27</v>
      </c>
      <c r="F364" s="6">
        <v>1363</v>
      </c>
      <c r="G364" s="6">
        <v>127516.1</v>
      </c>
      <c r="H364" s="7">
        <v>39851</v>
      </c>
      <c r="I364" s="6" t="s">
        <v>35</v>
      </c>
      <c r="J364" s="6" t="s">
        <v>782</v>
      </c>
      <c r="K364" s="6" t="s">
        <v>37</v>
      </c>
      <c r="L364" s="6" t="s">
        <v>38</v>
      </c>
      <c r="M364" s="6" t="s">
        <v>39</v>
      </c>
      <c r="N364" s="6">
        <v>4.5</v>
      </c>
      <c r="O364" s="6">
        <v>134</v>
      </c>
    </row>
    <row r="365" spans="1:15" ht="14.25" customHeight="1" x14ac:dyDescent="0.3">
      <c r="A365" s="6" t="s">
        <v>783</v>
      </c>
      <c r="B365" s="6">
        <v>30</v>
      </c>
      <c r="C365" s="6" t="s">
        <v>16</v>
      </c>
      <c r="D365" s="6" t="s">
        <v>26</v>
      </c>
      <c r="E365" s="6" t="s">
        <v>34</v>
      </c>
      <c r="F365" s="6">
        <v>1364</v>
      </c>
      <c r="G365" s="6">
        <v>92964.75</v>
      </c>
      <c r="H365" s="7">
        <v>40345</v>
      </c>
      <c r="I365" s="6" t="s">
        <v>41</v>
      </c>
      <c r="J365" s="6" t="s">
        <v>784</v>
      </c>
      <c r="K365" s="6" t="s">
        <v>43</v>
      </c>
      <c r="L365" s="6" t="s">
        <v>44</v>
      </c>
      <c r="M365" s="6" t="s">
        <v>45</v>
      </c>
      <c r="N365" s="6">
        <v>1.35</v>
      </c>
      <c r="O365" s="6">
        <v>44</v>
      </c>
    </row>
    <row r="366" spans="1:15" ht="14.25" customHeight="1" x14ac:dyDescent="0.3">
      <c r="A366" s="6" t="s">
        <v>785</v>
      </c>
      <c r="B366" s="6">
        <v>35</v>
      </c>
      <c r="C366" s="6" t="s">
        <v>16</v>
      </c>
      <c r="D366" s="6" t="s">
        <v>55</v>
      </c>
      <c r="E366" s="6" t="s">
        <v>48</v>
      </c>
      <c r="F366" s="6">
        <v>1365</v>
      </c>
      <c r="G366" s="6">
        <v>130541.47</v>
      </c>
      <c r="H366" s="7">
        <v>38622</v>
      </c>
      <c r="I366" s="6" t="s">
        <v>49</v>
      </c>
      <c r="J366" s="6" t="s">
        <v>786</v>
      </c>
      <c r="K366" s="6" t="s">
        <v>51</v>
      </c>
      <c r="L366" s="6" t="s">
        <v>52</v>
      </c>
      <c r="M366" s="6" t="s">
        <v>53</v>
      </c>
      <c r="N366" s="6">
        <v>1.64</v>
      </c>
      <c r="O366" s="6">
        <v>108</v>
      </c>
    </row>
    <row r="367" spans="1:15" ht="14.25" customHeight="1" x14ac:dyDescent="0.3">
      <c r="A367" s="6" t="s">
        <v>787</v>
      </c>
      <c r="B367" s="6">
        <v>29</v>
      </c>
      <c r="C367" s="6" t="s">
        <v>25</v>
      </c>
      <c r="D367" s="6" t="s">
        <v>55</v>
      </c>
      <c r="E367" s="6" t="s">
        <v>27</v>
      </c>
      <c r="F367" s="6">
        <v>1366</v>
      </c>
      <c r="G367" s="6">
        <v>159085.45000000001</v>
      </c>
      <c r="H367" s="7">
        <v>43813</v>
      </c>
      <c r="I367" s="6" t="s">
        <v>56</v>
      </c>
      <c r="J367" s="6" t="s">
        <v>788</v>
      </c>
      <c r="K367" s="6" t="s">
        <v>21</v>
      </c>
      <c r="L367" s="6" t="s">
        <v>22</v>
      </c>
      <c r="M367" s="6" t="s">
        <v>23</v>
      </c>
      <c r="N367" s="6">
        <v>3.53</v>
      </c>
      <c r="O367" s="6">
        <v>16</v>
      </c>
    </row>
    <row r="368" spans="1:15" ht="14.25" customHeight="1" x14ac:dyDescent="0.3">
      <c r="A368" s="6" t="s">
        <v>789</v>
      </c>
      <c r="B368" s="6">
        <v>38</v>
      </c>
      <c r="C368" s="6" t="s">
        <v>25</v>
      </c>
      <c r="D368" s="6" t="s">
        <v>17</v>
      </c>
      <c r="E368" s="6" t="s">
        <v>18</v>
      </c>
      <c r="F368" s="6">
        <v>1367</v>
      </c>
      <c r="G368" s="6">
        <v>68096.73</v>
      </c>
      <c r="H368" s="7">
        <v>36529</v>
      </c>
      <c r="I368" s="6" t="s">
        <v>63</v>
      </c>
      <c r="J368" s="6" t="s">
        <v>790</v>
      </c>
      <c r="K368" s="6" t="s">
        <v>30</v>
      </c>
      <c r="L368" s="6" t="s">
        <v>31</v>
      </c>
      <c r="M368" s="6" t="s">
        <v>32</v>
      </c>
      <c r="N368" s="6">
        <v>1.84</v>
      </c>
      <c r="O368" s="6">
        <v>141</v>
      </c>
    </row>
    <row r="369" spans="1:15" ht="14.25" customHeight="1" x14ac:dyDescent="0.3">
      <c r="A369" s="6" t="s">
        <v>791</v>
      </c>
      <c r="B369" s="6">
        <v>44</v>
      </c>
      <c r="C369" s="6" t="s">
        <v>16</v>
      </c>
      <c r="D369" s="6" t="s">
        <v>55</v>
      </c>
      <c r="E369" s="6" t="s">
        <v>34</v>
      </c>
      <c r="F369" s="6">
        <v>1368</v>
      </c>
      <c r="G369" s="6">
        <v>55179.66</v>
      </c>
      <c r="H369" s="7">
        <v>43519</v>
      </c>
      <c r="I369" s="6" t="s">
        <v>66</v>
      </c>
      <c r="J369" s="6" t="s">
        <v>792</v>
      </c>
      <c r="K369" s="6" t="s">
        <v>37</v>
      </c>
      <c r="L369" s="6" t="s">
        <v>38</v>
      </c>
      <c r="M369" s="6" t="s">
        <v>39</v>
      </c>
      <c r="N369" s="6">
        <v>2.36</v>
      </c>
      <c r="O369" s="6">
        <v>56</v>
      </c>
    </row>
    <row r="370" spans="1:15" ht="14.25" customHeight="1" x14ac:dyDescent="0.3">
      <c r="A370" s="6" t="s">
        <v>793</v>
      </c>
      <c r="B370" s="6">
        <v>37</v>
      </c>
      <c r="C370" s="6" t="s">
        <v>25</v>
      </c>
      <c r="D370" s="6" t="s">
        <v>47</v>
      </c>
      <c r="E370" s="6" t="s">
        <v>18</v>
      </c>
      <c r="F370" s="6">
        <v>1369</v>
      </c>
      <c r="G370" s="6">
        <v>199478.17</v>
      </c>
      <c r="H370" s="7">
        <v>42674</v>
      </c>
      <c r="I370" s="6" t="s">
        <v>70</v>
      </c>
      <c r="J370" s="6" t="s">
        <v>794</v>
      </c>
      <c r="K370" s="6" t="s">
        <v>43</v>
      </c>
      <c r="L370" s="6" t="s">
        <v>44</v>
      </c>
      <c r="M370" s="6" t="s">
        <v>45</v>
      </c>
      <c r="N370" s="6">
        <v>3.96</v>
      </c>
      <c r="O370" s="6">
        <v>122</v>
      </c>
    </row>
    <row r="371" spans="1:15" ht="14.25" customHeight="1" x14ac:dyDescent="0.3">
      <c r="A371" s="6" t="s">
        <v>795</v>
      </c>
      <c r="B371" s="6">
        <v>47</v>
      </c>
      <c r="C371" s="6" t="s">
        <v>16</v>
      </c>
      <c r="D371" s="6" t="s">
        <v>69</v>
      </c>
      <c r="E371" s="6" t="s">
        <v>18</v>
      </c>
      <c r="F371" s="6">
        <v>1370</v>
      </c>
      <c r="G371" s="6">
        <v>76369.25</v>
      </c>
      <c r="H371" s="7">
        <v>39552</v>
      </c>
      <c r="I371" s="6" t="s">
        <v>73</v>
      </c>
      <c r="J371" s="6" t="s">
        <v>796</v>
      </c>
      <c r="K371" s="6" t="s">
        <v>51</v>
      </c>
      <c r="L371" s="6" t="s">
        <v>52</v>
      </c>
      <c r="M371" s="6" t="s">
        <v>53</v>
      </c>
      <c r="N371" s="6">
        <v>1.98</v>
      </c>
      <c r="O371" s="6">
        <v>182</v>
      </c>
    </row>
    <row r="372" spans="1:15" ht="14.25" customHeight="1" x14ac:dyDescent="0.3">
      <c r="A372" s="6" t="s">
        <v>797</v>
      </c>
      <c r="B372" s="6">
        <v>30</v>
      </c>
      <c r="C372" s="6" t="s">
        <v>25</v>
      </c>
      <c r="D372" s="6" t="s">
        <v>17</v>
      </c>
      <c r="E372" s="6" t="s">
        <v>80</v>
      </c>
      <c r="F372" s="6">
        <v>1371</v>
      </c>
      <c r="G372" s="6">
        <v>180074.03</v>
      </c>
      <c r="H372" s="7">
        <v>40305</v>
      </c>
      <c r="I372" s="6" t="s">
        <v>19</v>
      </c>
      <c r="J372" s="6" t="s">
        <v>798</v>
      </c>
      <c r="K372" s="6" t="s">
        <v>21</v>
      </c>
      <c r="L372" s="6" t="s">
        <v>22</v>
      </c>
      <c r="M372" s="6" t="s">
        <v>23</v>
      </c>
      <c r="N372" s="6">
        <v>1.47</v>
      </c>
      <c r="O372" s="6">
        <v>172</v>
      </c>
    </row>
    <row r="373" spans="1:15" ht="14.25" customHeight="1" x14ac:dyDescent="0.3">
      <c r="A373" s="6" t="s">
        <v>799</v>
      </c>
      <c r="B373" s="6">
        <v>57</v>
      </c>
      <c r="C373" s="6" t="s">
        <v>25</v>
      </c>
      <c r="D373" s="6" t="s">
        <v>26</v>
      </c>
      <c r="E373" s="6" t="s">
        <v>48</v>
      </c>
      <c r="F373" s="6">
        <v>1372</v>
      </c>
      <c r="G373" s="6">
        <v>90747.19</v>
      </c>
      <c r="H373" s="7">
        <v>36864</v>
      </c>
      <c r="I373" s="6" t="s">
        <v>28</v>
      </c>
      <c r="J373" s="6" t="s">
        <v>800</v>
      </c>
      <c r="K373" s="6" t="s">
        <v>30</v>
      </c>
      <c r="L373" s="6" t="s">
        <v>31</v>
      </c>
      <c r="M373" s="6" t="s">
        <v>32</v>
      </c>
      <c r="N373" s="6">
        <v>4.21</v>
      </c>
      <c r="O373" s="6">
        <v>137</v>
      </c>
    </row>
    <row r="374" spans="1:15" ht="14.25" customHeight="1" x14ac:dyDescent="0.3">
      <c r="A374" s="6" t="s">
        <v>801</v>
      </c>
      <c r="B374" s="6">
        <v>28</v>
      </c>
      <c r="C374" s="6" t="s">
        <v>62</v>
      </c>
      <c r="D374" s="6" t="s">
        <v>47</v>
      </c>
      <c r="E374" s="6" t="s">
        <v>18</v>
      </c>
      <c r="F374" s="6">
        <v>1373</v>
      </c>
      <c r="G374" s="6">
        <v>136176.37</v>
      </c>
      <c r="H374" s="7">
        <v>42453</v>
      </c>
      <c r="I374" s="6" t="s">
        <v>35</v>
      </c>
      <c r="J374" s="6" t="s">
        <v>802</v>
      </c>
      <c r="K374" s="6" t="s">
        <v>37</v>
      </c>
      <c r="L374" s="6" t="s">
        <v>38</v>
      </c>
      <c r="M374" s="6" t="s">
        <v>39</v>
      </c>
      <c r="N374" s="6">
        <v>1.1399999999999999</v>
      </c>
      <c r="O374" s="6">
        <v>182</v>
      </c>
    </row>
    <row r="375" spans="1:15" ht="14.25" customHeight="1" x14ac:dyDescent="0.3">
      <c r="A375" s="6" t="s">
        <v>803</v>
      </c>
      <c r="B375" s="6">
        <v>39</v>
      </c>
      <c r="C375" s="6" t="s">
        <v>62</v>
      </c>
      <c r="D375" s="6" t="s">
        <v>55</v>
      </c>
      <c r="E375" s="6" t="s">
        <v>34</v>
      </c>
      <c r="F375" s="6">
        <v>1374</v>
      </c>
      <c r="G375" s="6">
        <v>100792.17</v>
      </c>
      <c r="H375" s="7">
        <v>40952</v>
      </c>
      <c r="I375" s="6" t="s">
        <v>41</v>
      </c>
      <c r="J375" s="6" t="s">
        <v>804</v>
      </c>
      <c r="K375" s="6" t="s">
        <v>43</v>
      </c>
      <c r="L375" s="6" t="s">
        <v>44</v>
      </c>
      <c r="M375" s="6" t="s">
        <v>45</v>
      </c>
      <c r="N375" s="6">
        <v>2.09</v>
      </c>
      <c r="O375" s="6">
        <v>96</v>
      </c>
    </row>
    <row r="376" spans="1:15" ht="14.25" customHeight="1" x14ac:dyDescent="0.3">
      <c r="A376" s="6" t="s">
        <v>805</v>
      </c>
      <c r="B376" s="6">
        <v>29</v>
      </c>
      <c r="C376" s="6" t="s">
        <v>16</v>
      </c>
      <c r="D376" s="6" t="s">
        <v>55</v>
      </c>
      <c r="E376" s="6" t="s">
        <v>18</v>
      </c>
      <c r="F376" s="6">
        <v>1375</v>
      </c>
      <c r="G376" s="6">
        <v>78449.41</v>
      </c>
      <c r="H376" s="7">
        <v>42358</v>
      </c>
      <c r="I376" s="6" t="s">
        <v>49</v>
      </c>
      <c r="J376" s="6" t="s">
        <v>806</v>
      </c>
      <c r="K376" s="6" t="s">
        <v>51</v>
      </c>
      <c r="L376" s="6" t="s">
        <v>52</v>
      </c>
      <c r="M376" s="6" t="s">
        <v>53</v>
      </c>
      <c r="N376" s="6">
        <v>2.2999999999999998</v>
      </c>
      <c r="O376" s="6">
        <v>199</v>
      </c>
    </row>
    <row r="377" spans="1:15" ht="14.25" customHeight="1" x14ac:dyDescent="0.3">
      <c r="A377" s="6" t="s">
        <v>807</v>
      </c>
      <c r="B377" s="6">
        <v>42</v>
      </c>
      <c r="C377" s="6" t="s">
        <v>62</v>
      </c>
      <c r="D377" s="6" t="s">
        <v>47</v>
      </c>
      <c r="E377" s="6" t="s">
        <v>80</v>
      </c>
      <c r="F377" s="6">
        <v>1376</v>
      </c>
      <c r="G377" s="6">
        <v>120435.9</v>
      </c>
      <c r="H377" s="7">
        <v>41260</v>
      </c>
      <c r="I377" s="6" t="s">
        <v>56</v>
      </c>
      <c r="J377" s="6" t="s">
        <v>808</v>
      </c>
      <c r="K377" s="6" t="s">
        <v>21</v>
      </c>
      <c r="L377" s="6" t="s">
        <v>22</v>
      </c>
      <c r="M377" s="6" t="s">
        <v>23</v>
      </c>
      <c r="N377" s="6">
        <v>2.11</v>
      </c>
      <c r="O377" s="6">
        <v>170</v>
      </c>
    </row>
    <row r="378" spans="1:15" ht="14.25" customHeight="1" x14ac:dyDescent="0.3">
      <c r="A378" s="6" t="s">
        <v>809</v>
      </c>
      <c r="B378" s="6">
        <v>47</v>
      </c>
      <c r="C378" s="6" t="s">
        <v>25</v>
      </c>
      <c r="D378" s="6" t="s">
        <v>69</v>
      </c>
      <c r="E378" s="6" t="s">
        <v>27</v>
      </c>
      <c r="F378" s="6">
        <v>1377</v>
      </c>
      <c r="G378" s="6">
        <v>168409.03</v>
      </c>
      <c r="H378" s="7">
        <v>43094</v>
      </c>
      <c r="I378" s="6" t="s">
        <v>63</v>
      </c>
      <c r="J378" s="6" t="s">
        <v>810</v>
      </c>
      <c r="K378" s="6" t="s">
        <v>30</v>
      </c>
      <c r="L378" s="6" t="s">
        <v>31</v>
      </c>
      <c r="M378" s="6" t="s">
        <v>32</v>
      </c>
      <c r="N378" s="6">
        <v>4.58</v>
      </c>
      <c r="O378" s="6">
        <v>121</v>
      </c>
    </row>
    <row r="379" spans="1:15" ht="14.25" customHeight="1" x14ac:dyDescent="0.3">
      <c r="A379" s="6" t="s">
        <v>811</v>
      </c>
      <c r="B379" s="6">
        <v>24</v>
      </c>
      <c r="C379" s="6" t="s">
        <v>16</v>
      </c>
      <c r="D379" s="6" t="s">
        <v>47</v>
      </c>
      <c r="E379" s="6" t="s">
        <v>34</v>
      </c>
      <c r="F379" s="6">
        <v>1378</v>
      </c>
      <c r="G379" s="6">
        <v>165542.69</v>
      </c>
      <c r="H379" s="7">
        <v>37648</v>
      </c>
      <c r="I379" s="6" t="s">
        <v>66</v>
      </c>
      <c r="J379" s="6" t="s">
        <v>812</v>
      </c>
      <c r="K379" s="6" t="s">
        <v>37</v>
      </c>
      <c r="L379" s="6" t="s">
        <v>38</v>
      </c>
      <c r="M379" s="6" t="s">
        <v>39</v>
      </c>
      <c r="N379" s="6">
        <v>1.47</v>
      </c>
      <c r="O379" s="6">
        <v>8</v>
      </c>
    </row>
    <row r="380" spans="1:15" ht="14.25" customHeight="1" x14ac:dyDescent="0.3">
      <c r="A380" s="6" t="s">
        <v>813</v>
      </c>
      <c r="B380" s="6">
        <v>38</v>
      </c>
      <c r="C380" s="6" t="s">
        <v>62</v>
      </c>
      <c r="D380" s="6" t="s">
        <v>26</v>
      </c>
      <c r="E380" s="6" t="s">
        <v>34</v>
      </c>
      <c r="F380" s="6">
        <v>1379</v>
      </c>
      <c r="G380" s="6">
        <v>158346.10999999999</v>
      </c>
      <c r="H380" s="7">
        <v>42012</v>
      </c>
      <c r="I380" s="6" t="s">
        <v>70</v>
      </c>
      <c r="J380" s="6" t="s">
        <v>814</v>
      </c>
      <c r="K380" s="6" t="s">
        <v>43</v>
      </c>
      <c r="L380" s="6" t="s">
        <v>44</v>
      </c>
      <c r="M380" s="6" t="s">
        <v>45</v>
      </c>
      <c r="N380" s="6">
        <v>1.21</v>
      </c>
      <c r="O380" s="6">
        <v>49</v>
      </c>
    </row>
    <row r="381" spans="1:15" ht="14.25" customHeight="1" x14ac:dyDescent="0.3">
      <c r="A381" s="6" t="s">
        <v>815</v>
      </c>
      <c r="B381" s="6">
        <v>45</v>
      </c>
      <c r="C381" s="6" t="s">
        <v>16</v>
      </c>
      <c r="D381" s="6" t="s">
        <v>47</v>
      </c>
      <c r="E381" s="6" t="s">
        <v>27</v>
      </c>
      <c r="F381" s="6">
        <v>1380</v>
      </c>
      <c r="G381" s="6">
        <v>183095.37</v>
      </c>
      <c r="H381" s="7">
        <v>39811</v>
      </c>
      <c r="I381" s="6" t="s">
        <v>73</v>
      </c>
      <c r="J381" s="6" t="s">
        <v>816</v>
      </c>
      <c r="K381" s="6" t="s">
        <v>51</v>
      </c>
      <c r="L381" s="6" t="s">
        <v>52</v>
      </c>
      <c r="M381" s="6" t="s">
        <v>53</v>
      </c>
      <c r="N381" s="6">
        <v>1.46</v>
      </c>
      <c r="O381" s="6">
        <v>182</v>
      </c>
    </row>
    <row r="382" spans="1:15" ht="14.25" customHeight="1" x14ac:dyDescent="0.3">
      <c r="A382" s="6" t="s">
        <v>817</v>
      </c>
      <c r="B382" s="6">
        <v>46</v>
      </c>
      <c r="C382" s="6" t="s">
        <v>16</v>
      </c>
      <c r="D382" s="6" t="s">
        <v>17</v>
      </c>
      <c r="E382" s="6" t="s">
        <v>80</v>
      </c>
      <c r="F382" s="6">
        <v>1381</v>
      </c>
      <c r="G382" s="6">
        <v>86625.51</v>
      </c>
      <c r="H382" s="7">
        <v>42396</v>
      </c>
      <c r="I382" s="6" t="s">
        <v>19</v>
      </c>
      <c r="J382" s="6" t="s">
        <v>818</v>
      </c>
      <c r="K382" s="6" t="s">
        <v>21</v>
      </c>
      <c r="L382" s="6" t="s">
        <v>22</v>
      </c>
      <c r="M382" s="6" t="s">
        <v>23</v>
      </c>
      <c r="N382" s="6">
        <v>1.42</v>
      </c>
      <c r="O382" s="6">
        <v>104</v>
      </c>
    </row>
    <row r="383" spans="1:15" ht="14.25" customHeight="1" x14ac:dyDescent="0.3">
      <c r="A383" s="6" t="s">
        <v>819</v>
      </c>
      <c r="B383" s="6">
        <v>26</v>
      </c>
      <c r="C383" s="6" t="s">
        <v>25</v>
      </c>
      <c r="D383" s="6" t="s">
        <v>47</v>
      </c>
      <c r="E383" s="6" t="s">
        <v>80</v>
      </c>
      <c r="F383" s="6">
        <v>1382</v>
      </c>
      <c r="G383" s="6">
        <v>107360.69</v>
      </c>
      <c r="H383" s="7">
        <v>43306</v>
      </c>
      <c r="I383" s="6" t="s">
        <v>28</v>
      </c>
      <c r="J383" s="6" t="s">
        <v>820</v>
      </c>
      <c r="K383" s="6" t="s">
        <v>30</v>
      </c>
      <c r="L383" s="6" t="s">
        <v>31</v>
      </c>
      <c r="M383" s="6" t="s">
        <v>32</v>
      </c>
      <c r="N383" s="6">
        <v>1.1100000000000001</v>
      </c>
      <c r="O383" s="6">
        <v>9</v>
      </c>
    </row>
    <row r="384" spans="1:15" ht="14.25" customHeight="1" x14ac:dyDescent="0.3">
      <c r="A384" s="6" t="s">
        <v>821</v>
      </c>
      <c r="B384" s="6">
        <v>58</v>
      </c>
      <c r="C384" s="6" t="s">
        <v>62</v>
      </c>
      <c r="D384" s="6" t="s">
        <v>47</v>
      </c>
      <c r="E384" s="6" t="s">
        <v>48</v>
      </c>
      <c r="F384" s="6">
        <v>1383</v>
      </c>
      <c r="G384" s="6">
        <v>79133.89</v>
      </c>
      <c r="H384" s="7">
        <v>41173</v>
      </c>
      <c r="I384" s="6" t="s">
        <v>35</v>
      </c>
      <c r="J384" s="6" t="s">
        <v>822</v>
      </c>
      <c r="K384" s="6" t="s">
        <v>37</v>
      </c>
      <c r="L384" s="6" t="s">
        <v>38</v>
      </c>
      <c r="M384" s="6" t="s">
        <v>39</v>
      </c>
      <c r="N384" s="6">
        <v>2.06</v>
      </c>
      <c r="O384" s="6">
        <v>174</v>
      </c>
    </row>
    <row r="385" spans="1:15" ht="14.25" customHeight="1" x14ac:dyDescent="0.3">
      <c r="A385" s="6" t="s">
        <v>823</v>
      </c>
      <c r="B385" s="6">
        <v>45</v>
      </c>
      <c r="C385" s="6" t="s">
        <v>25</v>
      </c>
      <c r="D385" s="6" t="s">
        <v>26</v>
      </c>
      <c r="E385" s="6" t="s">
        <v>34</v>
      </c>
      <c r="F385" s="6">
        <v>1384</v>
      </c>
      <c r="G385" s="6">
        <v>98849.600000000006</v>
      </c>
      <c r="H385" s="7">
        <v>39335</v>
      </c>
      <c r="I385" s="6" t="s">
        <v>41</v>
      </c>
      <c r="J385" s="6" t="s">
        <v>824</v>
      </c>
      <c r="K385" s="6" t="s">
        <v>43</v>
      </c>
      <c r="L385" s="6" t="s">
        <v>44</v>
      </c>
      <c r="M385" s="6" t="s">
        <v>45</v>
      </c>
      <c r="N385" s="6">
        <v>4.09</v>
      </c>
      <c r="O385" s="6">
        <v>86</v>
      </c>
    </row>
    <row r="386" spans="1:15" ht="14.25" customHeight="1" x14ac:dyDescent="0.3">
      <c r="A386" s="6" t="s">
        <v>825</v>
      </c>
      <c r="B386" s="6">
        <v>52</v>
      </c>
      <c r="C386" s="6" t="s">
        <v>16</v>
      </c>
      <c r="D386" s="6" t="s">
        <v>26</v>
      </c>
      <c r="E386" s="6" t="s">
        <v>48</v>
      </c>
      <c r="F386" s="6">
        <v>1385</v>
      </c>
      <c r="G386" s="6">
        <v>83955.17</v>
      </c>
      <c r="H386" s="7">
        <v>44913</v>
      </c>
      <c r="I386" s="6" t="s">
        <v>49</v>
      </c>
      <c r="J386" s="6" t="s">
        <v>826</v>
      </c>
      <c r="K386" s="6" t="s">
        <v>51</v>
      </c>
      <c r="L386" s="6" t="s">
        <v>52</v>
      </c>
      <c r="M386" s="6" t="s">
        <v>53</v>
      </c>
      <c r="N386" s="6">
        <v>1.1299999999999999</v>
      </c>
      <c r="O386" s="6">
        <v>7</v>
      </c>
    </row>
    <row r="387" spans="1:15" ht="14.25" customHeight="1" x14ac:dyDescent="0.3">
      <c r="A387" s="6" t="s">
        <v>827</v>
      </c>
      <c r="B387" s="6">
        <v>47</v>
      </c>
      <c r="C387" s="6" t="s">
        <v>16</v>
      </c>
      <c r="D387" s="6" t="s">
        <v>69</v>
      </c>
      <c r="E387" s="6" t="s">
        <v>18</v>
      </c>
      <c r="F387" s="6">
        <v>1386</v>
      </c>
      <c r="G387" s="6">
        <v>55945.15</v>
      </c>
      <c r="H387" s="7">
        <v>36699</v>
      </c>
      <c r="I387" s="6" t="s">
        <v>56</v>
      </c>
      <c r="J387" s="6" t="s">
        <v>828</v>
      </c>
      <c r="K387" s="6" t="s">
        <v>21</v>
      </c>
      <c r="L387" s="6" t="s">
        <v>22</v>
      </c>
      <c r="M387" s="6" t="s">
        <v>23</v>
      </c>
      <c r="N387" s="6">
        <v>4.34</v>
      </c>
      <c r="O387" s="6">
        <v>140</v>
      </c>
    </row>
    <row r="388" spans="1:15" ht="14.25" customHeight="1" x14ac:dyDescent="0.3">
      <c r="A388" s="6" t="s">
        <v>829</v>
      </c>
      <c r="B388" s="6">
        <v>42</v>
      </c>
      <c r="C388" s="6" t="s">
        <v>16</v>
      </c>
      <c r="D388" s="6" t="s">
        <v>26</v>
      </c>
      <c r="E388" s="6" t="s">
        <v>48</v>
      </c>
      <c r="F388" s="6">
        <v>1387</v>
      </c>
      <c r="G388" s="6">
        <v>189257.88</v>
      </c>
      <c r="H388" s="7">
        <v>43222</v>
      </c>
      <c r="I388" s="6" t="s">
        <v>63</v>
      </c>
      <c r="J388" s="6" t="s">
        <v>830</v>
      </c>
      <c r="K388" s="6" t="s">
        <v>30</v>
      </c>
      <c r="L388" s="6" t="s">
        <v>31</v>
      </c>
      <c r="M388" s="6" t="s">
        <v>32</v>
      </c>
      <c r="N388" s="6">
        <v>2.86</v>
      </c>
      <c r="O388" s="6">
        <v>162</v>
      </c>
    </row>
    <row r="389" spans="1:15" ht="14.25" customHeight="1" x14ac:dyDescent="0.3">
      <c r="A389" s="6" t="s">
        <v>831</v>
      </c>
      <c r="B389" s="6">
        <v>55</v>
      </c>
      <c r="C389" s="6" t="s">
        <v>62</v>
      </c>
      <c r="D389" s="6" t="s">
        <v>26</v>
      </c>
      <c r="E389" s="6" t="s">
        <v>48</v>
      </c>
      <c r="F389" s="6">
        <v>1388</v>
      </c>
      <c r="G389" s="6">
        <v>166063.21</v>
      </c>
      <c r="H389" s="7">
        <v>37013</v>
      </c>
      <c r="I389" s="6" t="s">
        <v>66</v>
      </c>
      <c r="J389" s="6" t="s">
        <v>832</v>
      </c>
      <c r="K389" s="6" t="s">
        <v>37</v>
      </c>
      <c r="L389" s="6" t="s">
        <v>38</v>
      </c>
      <c r="M389" s="6" t="s">
        <v>39</v>
      </c>
      <c r="N389" s="6">
        <v>4.66</v>
      </c>
      <c r="O389" s="6">
        <v>141</v>
      </c>
    </row>
    <row r="390" spans="1:15" ht="14.25" customHeight="1" x14ac:dyDescent="0.3">
      <c r="A390" s="6" t="s">
        <v>833</v>
      </c>
      <c r="B390" s="6">
        <v>59</v>
      </c>
      <c r="C390" s="6" t="s">
        <v>25</v>
      </c>
      <c r="D390" s="6" t="s">
        <v>26</v>
      </c>
      <c r="E390" s="6" t="s">
        <v>27</v>
      </c>
      <c r="F390" s="6">
        <v>1389</v>
      </c>
      <c r="G390" s="6">
        <v>96180.12</v>
      </c>
      <c r="H390" s="7">
        <v>40608</v>
      </c>
      <c r="I390" s="6" t="s">
        <v>70</v>
      </c>
      <c r="J390" s="6" t="s">
        <v>834</v>
      </c>
      <c r="K390" s="6" t="s">
        <v>43</v>
      </c>
      <c r="L390" s="6" t="s">
        <v>44</v>
      </c>
      <c r="M390" s="6" t="s">
        <v>45</v>
      </c>
      <c r="N390" s="6">
        <v>2.89</v>
      </c>
      <c r="O390" s="6">
        <v>128</v>
      </c>
    </row>
    <row r="391" spans="1:15" ht="14.25" customHeight="1" x14ac:dyDescent="0.3">
      <c r="A391" s="6" t="s">
        <v>835</v>
      </c>
      <c r="B391" s="6">
        <v>45</v>
      </c>
      <c r="C391" s="6" t="s">
        <v>25</v>
      </c>
      <c r="D391" s="6" t="s">
        <v>47</v>
      </c>
      <c r="E391" s="6" t="s">
        <v>48</v>
      </c>
      <c r="F391" s="6">
        <v>1390</v>
      </c>
      <c r="G391" s="6">
        <v>146965.15</v>
      </c>
      <c r="H391" s="7">
        <v>38860</v>
      </c>
      <c r="I391" s="6" t="s">
        <v>73</v>
      </c>
      <c r="J391" s="6" t="s">
        <v>836</v>
      </c>
      <c r="K391" s="6" t="s">
        <v>51</v>
      </c>
      <c r="L391" s="6" t="s">
        <v>52</v>
      </c>
      <c r="M391" s="6" t="s">
        <v>53</v>
      </c>
      <c r="N391" s="6">
        <v>3.38</v>
      </c>
      <c r="O391" s="6">
        <v>165</v>
      </c>
    </row>
    <row r="392" spans="1:15" ht="14.25" customHeight="1" x14ac:dyDescent="0.3">
      <c r="A392" s="6" t="s">
        <v>837</v>
      </c>
      <c r="B392" s="6">
        <v>49</v>
      </c>
      <c r="C392" s="6" t="s">
        <v>62</v>
      </c>
      <c r="D392" s="6" t="s">
        <v>47</v>
      </c>
      <c r="E392" s="6" t="s">
        <v>18</v>
      </c>
      <c r="F392" s="6">
        <v>1391</v>
      </c>
      <c r="G392" s="6">
        <v>50377.71</v>
      </c>
      <c r="H392" s="7">
        <v>39423</v>
      </c>
      <c r="I392" s="6" t="s">
        <v>19</v>
      </c>
      <c r="J392" s="6" t="s">
        <v>838</v>
      </c>
      <c r="K392" s="6" t="s">
        <v>21</v>
      </c>
      <c r="L392" s="6" t="s">
        <v>22</v>
      </c>
      <c r="M392" s="6" t="s">
        <v>23</v>
      </c>
      <c r="N392" s="6">
        <v>4.51</v>
      </c>
      <c r="O392" s="6">
        <v>3</v>
      </c>
    </row>
    <row r="393" spans="1:15" ht="14.25" customHeight="1" x14ac:dyDescent="0.3">
      <c r="A393" s="6" t="s">
        <v>839</v>
      </c>
      <c r="B393" s="6">
        <v>51</v>
      </c>
      <c r="C393" s="6" t="s">
        <v>25</v>
      </c>
      <c r="D393" s="6" t="s">
        <v>26</v>
      </c>
      <c r="E393" s="6" t="s">
        <v>48</v>
      </c>
      <c r="F393" s="6">
        <v>1392</v>
      </c>
      <c r="G393" s="6">
        <v>164374.14000000001</v>
      </c>
      <c r="H393" s="7">
        <v>39945</v>
      </c>
      <c r="I393" s="6" t="s">
        <v>28</v>
      </c>
      <c r="J393" s="6" t="s">
        <v>840</v>
      </c>
      <c r="K393" s="6" t="s">
        <v>30</v>
      </c>
      <c r="L393" s="6" t="s">
        <v>31</v>
      </c>
      <c r="M393" s="6" t="s">
        <v>32</v>
      </c>
      <c r="N393" s="6">
        <v>1.35</v>
      </c>
      <c r="O393" s="6">
        <v>28</v>
      </c>
    </row>
    <row r="394" spans="1:15" ht="14.25" customHeight="1" x14ac:dyDescent="0.3">
      <c r="A394" s="6" t="s">
        <v>841</v>
      </c>
      <c r="B394" s="6">
        <v>55</v>
      </c>
      <c r="C394" s="6" t="s">
        <v>25</v>
      </c>
      <c r="D394" s="6" t="s">
        <v>55</v>
      </c>
      <c r="E394" s="6" t="s">
        <v>80</v>
      </c>
      <c r="F394" s="6">
        <v>1393</v>
      </c>
      <c r="G394" s="6">
        <v>129558.01</v>
      </c>
      <c r="H394" s="7">
        <v>36849</v>
      </c>
      <c r="I394" s="6" t="s">
        <v>35</v>
      </c>
      <c r="J394" s="6" t="s">
        <v>842</v>
      </c>
      <c r="K394" s="6" t="s">
        <v>37</v>
      </c>
      <c r="L394" s="6" t="s">
        <v>38</v>
      </c>
      <c r="M394" s="6" t="s">
        <v>39</v>
      </c>
      <c r="N394" s="6">
        <v>4.63</v>
      </c>
      <c r="O394" s="6">
        <v>120</v>
      </c>
    </row>
    <row r="395" spans="1:15" ht="14.25" customHeight="1" x14ac:dyDescent="0.3">
      <c r="A395" s="6" t="s">
        <v>843</v>
      </c>
      <c r="B395" s="6">
        <v>44</v>
      </c>
      <c r="C395" s="6" t="s">
        <v>16</v>
      </c>
      <c r="D395" s="6" t="s">
        <v>26</v>
      </c>
      <c r="E395" s="6" t="s">
        <v>48</v>
      </c>
      <c r="F395" s="6">
        <v>1394</v>
      </c>
      <c r="G395" s="6">
        <v>69389.240000000005</v>
      </c>
      <c r="H395" s="7">
        <v>40313</v>
      </c>
      <c r="I395" s="6" t="s">
        <v>41</v>
      </c>
      <c r="J395" s="6" t="s">
        <v>844</v>
      </c>
      <c r="K395" s="6" t="s">
        <v>43</v>
      </c>
      <c r="L395" s="6" t="s">
        <v>44</v>
      </c>
      <c r="M395" s="6" t="s">
        <v>45</v>
      </c>
      <c r="N395" s="6">
        <v>2.88</v>
      </c>
      <c r="O395" s="6">
        <v>101</v>
      </c>
    </row>
    <row r="396" spans="1:15" ht="14.25" customHeight="1" x14ac:dyDescent="0.3">
      <c r="A396" s="6" t="s">
        <v>845</v>
      </c>
      <c r="B396" s="6">
        <v>29</v>
      </c>
      <c r="C396" s="6" t="s">
        <v>16</v>
      </c>
      <c r="D396" s="6" t="s">
        <v>26</v>
      </c>
      <c r="E396" s="6" t="s">
        <v>27</v>
      </c>
      <c r="F396" s="6">
        <v>1395</v>
      </c>
      <c r="G396" s="6">
        <v>108015.22</v>
      </c>
      <c r="H396" s="7">
        <v>37409</v>
      </c>
      <c r="I396" s="6" t="s">
        <v>49</v>
      </c>
      <c r="J396" s="6" t="s">
        <v>846</v>
      </c>
      <c r="K396" s="6" t="s">
        <v>51</v>
      </c>
      <c r="L396" s="6" t="s">
        <v>52</v>
      </c>
      <c r="M396" s="6" t="s">
        <v>53</v>
      </c>
      <c r="N396" s="6">
        <v>2.92</v>
      </c>
      <c r="O396" s="6">
        <v>121</v>
      </c>
    </row>
    <row r="397" spans="1:15" ht="14.25" customHeight="1" x14ac:dyDescent="0.3">
      <c r="A397" s="6" t="s">
        <v>847</v>
      </c>
      <c r="B397" s="6">
        <v>63</v>
      </c>
      <c r="C397" s="6" t="s">
        <v>16</v>
      </c>
      <c r="D397" s="6" t="s">
        <v>69</v>
      </c>
      <c r="E397" s="6" t="s">
        <v>27</v>
      </c>
      <c r="F397" s="6">
        <v>1396</v>
      </c>
      <c r="G397" s="6">
        <v>66325.66</v>
      </c>
      <c r="H397" s="7">
        <v>36867</v>
      </c>
      <c r="I397" s="6" t="s">
        <v>56</v>
      </c>
      <c r="J397" s="6" t="s">
        <v>848</v>
      </c>
      <c r="K397" s="6" t="s">
        <v>21</v>
      </c>
      <c r="L397" s="6" t="s">
        <v>22</v>
      </c>
      <c r="M397" s="6" t="s">
        <v>23</v>
      </c>
      <c r="N397" s="6">
        <v>3.48</v>
      </c>
      <c r="O397" s="6">
        <v>187</v>
      </c>
    </row>
    <row r="398" spans="1:15" ht="14.25" customHeight="1" x14ac:dyDescent="0.3">
      <c r="A398" s="6" t="s">
        <v>849</v>
      </c>
      <c r="B398" s="6">
        <v>31</v>
      </c>
      <c r="C398" s="6" t="s">
        <v>62</v>
      </c>
      <c r="D398" s="6" t="s">
        <v>26</v>
      </c>
      <c r="E398" s="6" t="s">
        <v>27</v>
      </c>
      <c r="F398" s="6">
        <v>1397</v>
      </c>
      <c r="G398" s="6">
        <v>131376</v>
      </c>
      <c r="H398" s="7">
        <v>40722</v>
      </c>
      <c r="I398" s="6" t="s">
        <v>63</v>
      </c>
      <c r="J398" s="6" t="s">
        <v>850</v>
      </c>
      <c r="K398" s="6" t="s">
        <v>30</v>
      </c>
      <c r="L398" s="6" t="s">
        <v>31</v>
      </c>
      <c r="M398" s="6" t="s">
        <v>32</v>
      </c>
      <c r="N398" s="6">
        <v>4.5</v>
      </c>
      <c r="O398" s="6">
        <v>16</v>
      </c>
    </row>
    <row r="399" spans="1:15" ht="14.25" customHeight="1" x14ac:dyDescent="0.3">
      <c r="A399" s="6" t="s">
        <v>851</v>
      </c>
      <c r="B399" s="6">
        <v>22</v>
      </c>
      <c r="C399" s="6" t="s">
        <v>16</v>
      </c>
      <c r="D399" s="6" t="s">
        <v>26</v>
      </c>
      <c r="E399" s="6" t="s">
        <v>48</v>
      </c>
      <c r="F399" s="6">
        <v>1398</v>
      </c>
      <c r="G399" s="6">
        <v>92174.65</v>
      </c>
      <c r="H399" s="7">
        <v>37932</v>
      </c>
      <c r="I399" s="6" t="s">
        <v>66</v>
      </c>
      <c r="J399" s="6" t="s">
        <v>852</v>
      </c>
      <c r="K399" s="6" t="s">
        <v>37</v>
      </c>
      <c r="L399" s="6" t="s">
        <v>38</v>
      </c>
      <c r="M399" s="6" t="s">
        <v>39</v>
      </c>
      <c r="N399" s="6">
        <v>3.88</v>
      </c>
      <c r="O399" s="6">
        <v>42</v>
      </c>
    </row>
    <row r="400" spans="1:15" ht="14.25" customHeight="1" x14ac:dyDescent="0.3">
      <c r="A400" s="6" t="s">
        <v>853</v>
      </c>
      <c r="B400" s="6">
        <v>41</v>
      </c>
      <c r="C400" s="6" t="s">
        <v>25</v>
      </c>
      <c r="D400" s="6" t="s">
        <v>69</v>
      </c>
      <c r="E400" s="6" t="s">
        <v>18</v>
      </c>
      <c r="F400" s="6">
        <v>1399</v>
      </c>
      <c r="G400" s="6">
        <v>152633.64000000001</v>
      </c>
      <c r="H400" s="7">
        <v>38467</v>
      </c>
      <c r="I400" s="6" t="s">
        <v>70</v>
      </c>
      <c r="J400" s="6" t="s">
        <v>854</v>
      </c>
      <c r="K400" s="6" t="s">
        <v>43</v>
      </c>
      <c r="L400" s="6" t="s">
        <v>44</v>
      </c>
      <c r="M400" s="6" t="s">
        <v>45</v>
      </c>
      <c r="N400" s="6">
        <v>3.8</v>
      </c>
      <c r="O400" s="6">
        <v>39</v>
      </c>
    </row>
    <row r="401" spans="1:15" ht="14.25" customHeight="1" x14ac:dyDescent="0.3">
      <c r="A401" s="6" t="s">
        <v>855</v>
      </c>
      <c r="B401" s="6">
        <v>58</v>
      </c>
      <c r="C401" s="6" t="s">
        <v>62</v>
      </c>
      <c r="D401" s="6" t="s">
        <v>26</v>
      </c>
      <c r="E401" s="6" t="s">
        <v>34</v>
      </c>
      <c r="F401" s="6">
        <v>1400</v>
      </c>
      <c r="G401" s="6">
        <v>189097.28</v>
      </c>
      <c r="H401" s="7">
        <v>42024</v>
      </c>
      <c r="I401" s="6" t="s">
        <v>73</v>
      </c>
      <c r="J401" s="6" t="s">
        <v>856</v>
      </c>
      <c r="K401" s="6" t="s">
        <v>51</v>
      </c>
      <c r="L401" s="6" t="s">
        <v>52</v>
      </c>
      <c r="M401" s="6" t="s">
        <v>53</v>
      </c>
      <c r="N401" s="6">
        <v>1.48</v>
      </c>
      <c r="O401" s="6">
        <v>41</v>
      </c>
    </row>
    <row r="402" spans="1:15" ht="14.25" customHeight="1" x14ac:dyDescent="0.3">
      <c r="A402" s="6" t="s">
        <v>857</v>
      </c>
      <c r="B402" s="6">
        <v>39</v>
      </c>
      <c r="C402" s="6" t="s">
        <v>25</v>
      </c>
      <c r="D402" s="6" t="s">
        <v>26</v>
      </c>
      <c r="E402" s="6" t="s">
        <v>27</v>
      </c>
      <c r="F402" s="6">
        <v>1401</v>
      </c>
      <c r="G402" s="6">
        <v>56287.66</v>
      </c>
      <c r="H402" s="7">
        <v>40219</v>
      </c>
      <c r="I402" s="6" t="s">
        <v>19</v>
      </c>
      <c r="J402" s="6" t="s">
        <v>858</v>
      </c>
      <c r="K402" s="6" t="s">
        <v>21</v>
      </c>
      <c r="L402" s="6" t="s">
        <v>22</v>
      </c>
      <c r="M402" s="6" t="s">
        <v>23</v>
      </c>
      <c r="N402" s="6">
        <v>3.25</v>
      </c>
      <c r="O402" s="6">
        <v>150</v>
      </c>
    </row>
    <row r="403" spans="1:15" ht="14.25" customHeight="1" x14ac:dyDescent="0.3">
      <c r="A403" s="6" t="s">
        <v>859</v>
      </c>
      <c r="B403" s="6">
        <v>42</v>
      </c>
      <c r="C403" s="6" t="s">
        <v>62</v>
      </c>
      <c r="D403" s="6" t="s">
        <v>17</v>
      </c>
      <c r="E403" s="6" t="s">
        <v>48</v>
      </c>
      <c r="F403" s="6">
        <v>1402</v>
      </c>
      <c r="G403" s="6">
        <v>100083.47</v>
      </c>
      <c r="H403" s="7">
        <v>42495</v>
      </c>
      <c r="I403" s="6" t="s">
        <v>28</v>
      </c>
      <c r="J403" s="6" t="s">
        <v>860</v>
      </c>
      <c r="K403" s="6" t="s">
        <v>30</v>
      </c>
      <c r="L403" s="6" t="s">
        <v>31</v>
      </c>
      <c r="M403" s="6" t="s">
        <v>32</v>
      </c>
      <c r="N403" s="6">
        <v>3.22</v>
      </c>
      <c r="O403" s="6">
        <v>137</v>
      </c>
    </row>
    <row r="404" spans="1:15" ht="14.25" customHeight="1" x14ac:dyDescent="0.3">
      <c r="A404" s="6" t="s">
        <v>861</v>
      </c>
      <c r="B404" s="6">
        <v>25</v>
      </c>
      <c r="C404" s="6" t="s">
        <v>25</v>
      </c>
      <c r="D404" s="6" t="s">
        <v>69</v>
      </c>
      <c r="E404" s="6" t="s">
        <v>34</v>
      </c>
      <c r="F404" s="6">
        <v>1403</v>
      </c>
      <c r="G404" s="6">
        <v>120298.18</v>
      </c>
      <c r="H404" s="7">
        <v>44219</v>
      </c>
      <c r="I404" s="6" t="s">
        <v>35</v>
      </c>
      <c r="J404" s="6" t="s">
        <v>862</v>
      </c>
      <c r="K404" s="6" t="s">
        <v>37</v>
      </c>
      <c r="L404" s="6" t="s">
        <v>38</v>
      </c>
      <c r="M404" s="6" t="s">
        <v>39</v>
      </c>
      <c r="N404" s="6">
        <v>3.04</v>
      </c>
      <c r="O404" s="6">
        <v>173</v>
      </c>
    </row>
    <row r="405" spans="1:15" ht="14.25" customHeight="1" x14ac:dyDescent="0.3">
      <c r="A405" s="6" t="s">
        <v>863</v>
      </c>
      <c r="B405" s="6">
        <v>64</v>
      </c>
      <c r="C405" s="6" t="s">
        <v>62</v>
      </c>
      <c r="D405" s="6" t="s">
        <v>69</v>
      </c>
      <c r="E405" s="6" t="s">
        <v>80</v>
      </c>
      <c r="F405" s="6">
        <v>1404</v>
      </c>
      <c r="G405" s="6">
        <v>158702.24</v>
      </c>
      <c r="H405" s="7">
        <v>40812</v>
      </c>
      <c r="I405" s="6" t="s">
        <v>41</v>
      </c>
      <c r="J405" s="6" t="s">
        <v>864</v>
      </c>
      <c r="K405" s="6" t="s">
        <v>43</v>
      </c>
      <c r="L405" s="6" t="s">
        <v>44</v>
      </c>
      <c r="M405" s="6" t="s">
        <v>45</v>
      </c>
      <c r="N405" s="6">
        <v>1.1299999999999999</v>
      </c>
      <c r="O405" s="6">
        <v>67</v>
      </c>
    </row>
    <row r="406" spans="1:15" ht="14.25" customHeight="1" x14ac:dyDescent="0.3">
      <c r="A406" s="6" t="s">
        <v>865</v>
      </c>
      <c r="B406" s="6">
        <v>23</v>
      </c>
      <c r="C406" s="6" t="s">
        <v>25</v>
      </c>
      <c r="D406" s="6" t="s">
        <v>17</v>
      </c>
      <c r="E406" s="6" t="s">
        <v>80</v>
      </c>
      <c r="F406" s="6">
        <v>1405</v>
      </c>
      <c r="G406" s="6">
        <v>77263.34</v>
      </c>
      <c r="H406" s="7">
        <v>44586</v>
      </c>
      <c r="I406" s="6" t="s">
        <v>49</v>
      </c>
      <c r="J406" s="6" t="s">
        <v>866</v>
      </c>
      <c r="K406" s="6" t="s">
        <v>51</v>
      </c>
      <c r="L406" s="6" t="s">
        <v>52</v>
      </c>
      <c r="M406" s="6" t="s">
        <v>53</v>
      </c>
      <c r="N406" s="6">
        <v>4.07</v>
      </c>
      <c r="O406" s="6">
        <v>145</v>
      </c>
    </row>
    <row r="407" spans="1:15" ht="14.25" customHeight="1" x14ac:dyDescent="0.3">
      <c r="A407" s="6" t="s">
        <v>867</v>
      </c>
      <c r="B407" s="6">
        <v>42</v>
      </c>
      <c r="C407" s="6" t="s">
        <v>16</v>
      </c>
      <c r="D407" s="6" t="s">
        <v>69</v>
      </c>
      <c r="E407" s="6" t="s">
        <v>27</v>
      </c>
      <c r="F407" s="6">
        <v>1406</v>
      </c>
      <c r="G407" s="6">
        <v>81558.710000000006</v>
      </c>
      <c r="H407" s="7">
        <v>43449</v>
      </c>
      <c r="I407" s="6" t="s">
        <v>56</v>
      </c>
      <c r="J407" s="6" t="s">
        <v>868</v>
      </c>
      <c r="K407" s="6" t="s">
        <v>21</v>
      </c>
      <c r="L407" s="6" t="s">
        <v>22</v>
      </c>
      <c r="M407" s="6" t="s">
        <v>23</v>
      </c>
      <c r="N407" s="6">
        <v>2.29</v>
      </c>
      <c r="O407" s="6">
        <v>169</v>
      </c>
    </row>
    <row r="408" spans="1:15" ht="14.25" customHeight="1" x14ac:dyDescent="0.3">
      <c r="A408" s="6" t="s">
        <v>869</v>
      </c>
      <c r="B408" s="6">
        <v>58</v>
      </c>
      <c r="C408" s="6" t="s">
        <v>62</v>
      </c>
      <c r="D408" s="6" t="s">
        <v>55</v>
      </c>
      <c r="E408" s="6" t="s">
        <v>27</v>
      </c>
      <c r="F408" s="6">
        <v>1407</v>
      </c>
      <c r="G408" s="6">
        <v>72396.899999999994</v>
      </c>
      <c r="H408" s="7">
        <v>41277</v>
      </c>
      <c r="I408" s="6" t="s">
        <v>63</v>
      </c>
      <c r="J408" s="6" t="s">
        <v>870</v>
      </c>
      <c r="K408" s="6" t="s">
        <v>30</v>
      </c>
      <c r="L408" s="6" t="s">
        <v>31</v>
      </c>
      <c r="M408" s="6" t="s">
        <v>32</v>
      </c>
      <c r="N408" s="6">
        <v>2.75</v>
      </c>
      <c r="O408" s="6">
        <v>140</v>
      </c>
    </row>
    <row r="409" spans="1:15" ht="14.25" customHeight="1" x14ac:dyDescent="0.3">
      <c r="A409" s="6" t="s">
        <v>871</v>
      </c>
      <c r="B409" s="6">
        <v>26</v>
      </c>
      <c r="C409" s="6" t="s">
        <v>25</v>
      </c>
      <c r="D409" s="6" t="s">
        <v>47</v>
      </c>
      <c r="E409" s="6" t="s">
        <v>80</v>
      </c>
      <c r="F409" s="6">
        <v>1408</v>
      </c>
      <c r="G409" s="6">
        <v>78211.460000000006</v>
      </c>
      <c r="H409" s="7">
        <v>44051</v>
      </c>
      <c r="I409" s="6" t="s">
        <v>66</v>
      </c>
      <c r="J409" s="6" t="s">
        <v>872</v>
      </c>
      <c r="K409" s="6" t="s">
        <v>37</v>
      </c>
      <c r="L409" s="6" t="s">
        <v>38</v>
      </c>
      <c r="M409" s="6" t="s">
        <v>39</v>
      </c>
      <c r="N409" s="6">
        <v>4.53</v>
      </c>
      <c r="O409" s="6">
        <v>141</v>
      </c>
    </row>
    <row r="410" spans="1:15" ht="14.25" customHeight="1" x14ac:dyDescent="0.3">
      <c r="A410" s="6" t="s">
        <v>873</v>
      </c>
      <c r="B410" s="6">
        <v>38</v>
      </c>
      <c r="C410" s="6" t="s">
        <v>25</v>
      </c>
      <c r="D410" s="6" t="s">
        <v>47</v>
      </c>
      <c r="E410" s="6" t="s">
        <v>27</v>
      </c>
      <c r="F410" s="6">
        <v>1409</v>
      </c>
      <c r="G410" s="6">
        <v>91186.13</v>
      </c>
      <c r="H410" s="7">
        <v>42871</v>
      </c>
      <c r="I410" s="6" t="s">
        <v>70</v>
      </c>
      <c r="J410" s="6" t="s">
        <v>874</v>
      </c>
      <c r="K410" s="6" t="s">
        <v>43</v>
      </c>
      <c r="L410" s="6" t="s">
        <v>44</v>
      </c>
      <c r="M410" s="6" t="s">
        <v>45</v>
      </c>
      <c r="N410" s="6">
        <v>4.7300000000000004</v>
      </c>
      <c r="O410" s="6">
        <v>19</v>
      </c>
    </row>
    <row r="411" spans="1:15" ht="14.25" customHeight="1" x14ac:dyDescent="0.3">
      <c r="A411" s="6" t="s">
        <v>875</v>
      </c>
      <c r="B411" s="6">
        <v>32</v>
      </c>
      <c r="C411" s="6" t="s">
        <v>25</v>
      </c>
      <c r="D411" s="6" t="s">
        <v>69</v>
      </c>
      <c r="E411" s="6" t="s">
        <v>80</v>
      </c>
      <c r="F411" s="6">
        <v>1410</v>
      </c>
      <c r="G411" s="6">
        <v>198921.42</v>
      </c>
      <c r="H411" s="7">
        <v>40695</v>
      </c>
      <c r="I411" s="6" t="s">
        <v>73</v>
      </c>
      <c r="J411" s="6" t="s">
        <v>876</v>
      </c>
      <c r="K411" s="6" t="s">
        <v>51</v>
      </c>
      <c r="L411" s="6" t="s">
        <v>52</v>
      </c>
      <c r="M411" s="6" t="s">
        <v>53</v>
      </c>
      <c r="N411" s="6">
        <v>1.05</v>
      </c>
      <c r="O411" s="6">
        <v>118</v>
      </c>
    </row>
    <row r="412" spans="1:15" ht="14.25" customHeight="1" x14ac:dyDescent="0.3">
      <c r="A412" s="6" t="s">
        <v>877</v>
      </c>
      <c r="B412" s="6">
        <v>62</v>
      </c>
      <c r="C412" s="6" t="s">
        <v>25</v>
      </c>
      <c r="D412" s="6" t="s">
        <v>47</v>
      </c>
      <c r="E412" s="6" t="s">
        <v>48</v>
      </c>
      <c r="F412" s="6">
        <v>1411</v>
      </c>
      <c r="G412" s="6">
        <v>56218.77</v>
      </c>
      <c r="H412" s="7">
        <v>43986</v>
      </c>
      <c r="I412" s="6" t="s">
        <v>19</v>
      </c>
      <c r="J412" s="6" t="s">
        <v>878</v>
      </c>
      <c r="K412" s="6" t="s">
        <v>21</v>
      </c>
      <c r="L412" s="6" t="s">
        <v>22</v>
      </c>
      <c r="M412" s="6" t="s">
        <v>23</v>
      </c>
      <c r="N412" s="6">
        <v>4.3600000000000003</v>
      </c>
      <c r="O412" s="6">
        <v>116</v>
      </c>
    </row>
    <row r="413" spans="1:15" ht="14.25" customHeight="1" x14ac:dyDescent="0.3">
      <c r="A413" s="6" t="s">
        <v>879</v>
      </c>
      <c r="B413" s="6">
        <v>52</v>
      </c>
      <c r="C413" s="6" t="s">
        <v>16</v>
      </c>
      <c r="D413" s="6" t="s">
        <v>26</v>
      </c>
      <c r="E413" s="6" t="s">
        <v>34</v>
      </c>
      <c r="F413" s="6">
        <v>1412</v>
      </c>
      <c r="G413" s="6">
        <v>90202.02</v>
      </c>
      <c r="H413" s="7">
        <v>42890</v>
      </c>
      <c r="I413" s="6" t="s">
        <v>28</v>
      </c>
      <c r="J413" s="6" t="s">
        <v>880</v>
      </c>
      <c r="K413" s="6" t="s">
        <v>30</v>
      </c>
      <c r="L413" s="6" t="s">
        <v>31</v>
      </c>
      <c r="M413" s="6" t="s">
        <v>32</v>
      </c>
      <c r="N413" s="6">
        <v>4.04</v>
      </c>
      <c r="O413" s="6">
        <v>26</v>
      </c>
    </row>
    <row r="414" spans="1:15" ht="14.25" customHeight="1" x14ac:dyDescent="0.3">
      <c r="A414" s="6" t="s">
        <v>881</v>
      </c>
      <c r="B414" s="6">
        <v>49</v>
      </c>
      <c r="C414" s="6" t="s">
        <v>16</v>
      </c>
      <c r="D414" s="6" t="s">
        <v>26</v>
      </c>
      <c r="E414" s="6" t="s">
        <v>48</v>
      </c>
      <c r="F414" s="6">
        <v>1413</v>
      </c>
      <c r="G414" s="6">
        <v>113204.39</v>
      </c>
      <c r="H414" s="7">
        <v>41689</v>
      </c>
      <c r="I414" s="6" t="s">
        <v>35</v>
      </c>
      <c r="J414" s="6" t="s">
        <v>882</v>
      </c>
      <c r="K414" s="6" t="s">
        <v>37</v>
      </c>
      <c r="L414" s="6" t="s">
        <v>38</v>
      </c>
      <c r="M414" s="6" t="s">
        <v>39</v>
      </c>
      <c r="N414" s="6">
        <v>4.83</v>
      </c>
      <c r="O414" s="6">
        <v>69</v>
      </c>
    </row>
    <row r="415" spans="1:15" ht="14.25" customHeight="1" x14ac:dyDescent="0.3">
      <c r="A415" s="6" t="s">
        <v>883</v>
      </c>
      <c r="B415" s="6">
        <v>53</v>
      </c>
      <c r="C415" s="6" t="s">
        <v>62</v>
      </c>
      <c r="D415" s="6" t="s">
        <v>55</v>
      </c>
      <c r="E415" s="6" t="s">
        <v>80</v>
      </c>
      <c r="F415" s="6">
        <v>1414</v>
      </c>
      <c r="G415" s="6">
        <v>190124.27</v>
      </c>
      <c r="H415" s="7">
        <v>42865</v>
      </c>
      <c r="I415" s="6" t="s">
        <v>41</v>
      </c>
      <c r="J415" s="6" t="s">
        <v>884</v>
      </c>
      <c r="K415" s="6" t="s">
        <v>43</v>
      </c>
      <c r="L415" s="6" t="s">
        <v>44</v>
      </c>
      <c r="M415" s="6" t="s">
        <v>45</v>
      </c>
      <c r="N415" s="6">
        <v>4.83</v>
      </c>
      <c r="O415" s="6">
        <v>181</v>
      </c>
    </row>
    <row r="416" spans="1:15" ht="14.25" customHeight="1" x14ac:dyDescent="0.3">
      <c r="A416" s="6" t="s">
        <v>885</v>
      </c>
      <c r="B416" s="6">
        <v>42</v>
      </c>
      <c r="C416" s="6" t="s">
        <v>62</v>
      </c>
      <c r="D416" s="6" t="s">
        <v>17</v>
      </c>
      <c r="E416" s="6" t="s">
        <v>48</v>
      </c>
      <c r="F416" s="6">
        <v>1415</v>
      </c>
      <c r="G416" s="6">
        <v>90825.03</v>
      </c>
      <c r="H416" s="7">
        <v>37962</v>
      </c>
      <c r="I416" s="6" t="s">
        <v>49</v>
      </c>
      <c r="J416" s="6" t="s">
        <v>886</v>
      </c>
      <c r="K416" s="6" t="s">
        <v>51</v>
      </c>
      <c r="L416" s="6" t="s">
        <v>52</v>
      </c>
      <c r="M416" s="6" t="s">
        <v>53</v>
      </c>
      <c r="N416" s="6">
        <v>4.8600000000000003</v>
      </c>
      <c r="O416" s="6">
        <v>130</v>
      </c>
    </row>
    <row r="417" spans="1:15" ht="14.25" customHeight="1" x14ac:dyDescent="0.3">
      <c r="A417" s="6" t="s">
        <v>887</v>
      </c>
      <c r="B417" s="6">
        <v>28</v>
      </c>
      <c r="C417" s="6" t="s">
        <v>25</v>
      </c>
      <c r="D417" s="6" t="s">
        <v>47</v>
      </c>
      <c r="E417" s="6" t="s">
        <v>80</v>
      </c>
      <c r="F417" s="6">
        <v>1416</v>
      </c>
      <c r="G417" s="6">
        <v>102098.94</v>
      </c>
      <c r="H417" s="7">
        <v>43703</v>
      </c>
      <c r="I417" s="6" t="s">
        <v>56</v>
      </c>
      <c r="J417" s="6" t="s">
        <v>888</v>
      </c>
      <c r="K417" s="6" t="s">
        <v>21</v>
      </c>
      <c r="L417" s="6" t="s">
        <v>22</v>
      </c>
      <c r="M417" s="6" t="s">
        <v>23</v>
      </c>
      <c r="N417" s="6">
        <v>4.22</v>
      </c>
      <c r="O417" s="6">
        <v>134</v>
      </c>
    </row>
    <row r="418" spans="1:15" ht="14.25" customHeight="1" x14ac:dyDescent="0.3">
      <c r="A418" s="6" t="s">
        <v>889</v>
      </c>
      <c r="B418" s="6">
        <v>31</v>
      </c>
      <c r="C418" s="6" t="s">
        <v>62</v>
      </c>
      <c r="D418" s="6" t="s">
        <v>55</v>
      </c>
      <c r="E418" s="6" t="s">
        <v>48</v>
      </c>
      <c r="F418" s="6">
        <v>1417</v>
      </c>
      <c r="G418" s="6">
        <v>126445.75</v>
      </c>
      <c r="H418" s="7">
        <v>44165</v>
      </c>
      <c r="I418" s="6" t="s">
        <v>63</v>
      </c>
      <c r="J418" s="6" t="s">
        <v>890</v>
      </c>
      <c r="K418" s="6" t="s">
        <v>30</v>
      </c>
      <c r="L418" s="6" t="s">
        <v>31</v>
      </c>
      <c r="M418" s="6" t="s">
        <v>32</v>
      </c>
      <c r="N418" s="6">
        <v>4.88</v>
      </c>
      <c r="O418" s="6">
        <v>67</v>
      </c>
    </row>
    <row r="419" spans="1:15" ht="14.25" customHeight="1" x14ac:dyDescent="0.3">
      <c r="A419" s="6" t="s">
        <v>891</v>
      </c>
      <c r="B419" s="6">
        <v>49</v>
      </c>
      <c r="C419" s="6" t="s">
        <v>25</v>
      </c>
      <c r="D419" s="6" t="s">
        <v>47</v>
      </c>
      <c r="E419" s="6" t="s">
        <v>34</v>
      </c>
      <c r="F419" s="6">
        <v>1418</v>
      </c>
      <c r="G419" s="6">
        <v>59994.86</v>
      </c>
      <c r="H419" s="7">
        <v>39039</v>
      </c>
      <c r="I419" s="6" t="s">
        <v>66</v>
      </c>
      <c r="J419" s="6" t="s">
        <v>892</v>
      </c>
      <c r="K419" s="6" t="s">
        <v>37</v>
      </c>
      <c r="L419" s="6" t="s">
        <v>38</v>
      </c>
      <c r="M419" s="6" t="s">
        <v>39</v>
      </c>
      <c r="N419" s="6">
        <v>1.58</v>
      </c>
      <c r="O419" s="6">
        <v>3</v>
      </c>
    </row>
    <row r="420" spans="1:15" ht="14.25" customHeight="1" x14ac:dyDescent="0.3">
      <c r="A420" s="6" t="s">
        <v>893</v>
      </c>
      <c r="B420" s="6">
        <v>57</v>
      </c>
      <c r="C420" s="6" t="s">
        <v>62</v>
      </c>
      <c r="D420" s="6" t="s">
        <v>26</v>
      </c>
      <c r="E420" s="6" t="s">
        <v>80</v>
      </c>
      <c r="F420" s="6">
        <v>1419</v>
      </c>
      <c r="G420" s="6">
        <v>63513.69</v>
      </c>
      <c r="H420" s="7">
        <v>38292</v>
      </c>
      <c r="I420" s="6" t="s">
        <v>70</v>
      </c>
      <c r="J420" s="6" t="s">
        <v>894</v>
      </c>
      <c r="K420" s="6" t="s">
        <v>43</v>
      </c>
      <c r="L420" s="6" t="s">
        <v>44</v>
      </c>
      <c r="M420" s="6" t="s">
        <v>45</v>
      </c>
      <c r="N420" s="6">
        <v>3.27</v>
      </c>
      <c r="O420" s="6">
        <v>45</v>
      </c>
    </row>
    <row r="421" spans="1:15" ht="14.25" customHeight="1" x14ac:dyDescent="0.3">
      <c r="A421" s="6" t="s">
        <v>895</v>
      </c>
      <c r="B421" s="6">
        <v>41</v>
      </c>
      <c r="C421" s="6" t="s">
        <v>62</v>
      </c>
      <c r="D421" s="6" t="s">
        <v>55</v>
      </c>
      <c r="E421" s="6" t="s">
        <v>27</v>
      </c>
      <c r="F421" s="6">
        <v>1420</v>
      </c>
      <c r="G421" s="6">
        <v>77863.98</v>
      </c>
      <c r="H421" s="7">
        <v>42036</v>
      </c>
      <c r="I421" s="6" t="s">
        <v>73</v>
      </c>
      <c r="J421" s="6" t="s">
        <v>896</v>
      </c>
      <c r="K421" s="6" t="s">
        <v>51</v>
      </c>
      <c r="L421" s="6" t="s">
        <v>52</v>
      </c>
      <c r="M421" s="6" t="s">
        <v>53</v>
      </c>
      <c r="N421" s="6">
        <v>4.2</v>
      </c>
      <c r="O421" s="6">
        <v>118</v>
      </c>
    </row>
    <row r="422" spans="1:15" ht="14.25" customHeight="1" x14ac:dyDescent="0.3">
      <c r="A422" s="6" t="s">
        <v>897</v>
      </c>
      <c r="B422" s="6">
        <v>34</v>
      </c>
      <c r="C422" s="6" t="s">
        <v>25</v>
      </c>
      <c r="D422" s="6" t="s">
        <v>55</v>
      </c>
      <c r="E422" s="6" t="s">
        <v>27</v>
      </c>
      <c r="F422" s="6">
        <v>1421</v>
      </c>
      <c r="G422" s="6">
        <v>89280.19</v>
      </c>
      <c r="H422" s="7">
        <v>38143</v>
      </c>
      <c r="I422" s="6" t="s">
        <v>19</v>
      </c>
      <c r="J422" s="6" t="s">
        <v>898</v>
      </c>
      <c r="K422" s="6" t="s">
        <v>21</v>
      </c>
      <c r="L422" s="6" t="s">
        <v>22</v>
      </c>
      <c r="M422" s="6" t="s">
        <v>23</v>
      </c>
      <c r="N422" s="6">
        <v>1.76</v>
      </c>
      <c r="O422" s="6">
        <v>40</v>
      </c>
    </row>
    <row r="423" spans="1:15" ht="14.25" customHeight="1" x14ac:dyDescent="0.3">
      <c r="A423" s="6" t="s">
        <v>899</v>
      </c>
      <c r="B423" s="6">
        <v>40</v>
      </c>
      <c r="C423" s="6" t="s">
        <v>16</v>
      </c>
      <c r="D423" s="6" t="s">
        <v>17</v>
      </c>
      <c r="E423" s="6" t="s">
        <v>27</v>
      </c>
      <c r="F423" s="6">
        <v>1422</v>
      </c>
      <c r="G423" s="6">
        <v>127788.99</v>
      </c>
      <c r="H423" s="7">
        <v>36611</v>
      </c>
      <c r="I423" s="6" t="s">
        <v>28</v>
      </c>
      <c r="J423" s="6" t="s">
        <v>900</v>
      </c>
      <c r="K423" s="6" t="s">
        <v>30</v>
      </c>
      <c r="L423" s="6" t="s">
        <v>31</v>
      </c>
      <c r="M423" s="6" t="s">
        <v>32</v>
      </c>
      <c r="N423" s="6">
        <v>2.38</v>
      </c>
      <c r="O423" s="6">
        <v>50</v>
      </c>
    </row>
    <row r="424" spans="1:15" ht="14.25" customHeight="1" x14ac:dyDescent="0.3">
      <c r="A424" s="6" t="s">
        <v>901</v>
      </c>
      <c r="B424" s="6">
        <v>32</v>
      </c>
      <c r="C424" s="6" t="s">
        <v>25</v>
      </c>
      <c r="D424" s="6" t="s">
        <v>26</v>
      </c>
      <c r="E424" s="6" t="s">
        <v>80</v>
      </c>
      <c r="F424" s="6">
        <v>1423</v>
      </c>
      <c r="G424" s="6">
        <v>130275.07</v>
      </c>
      <c r="H424" s="7">
        <v>42283</v>
      </c>
      <c r="I424" s="6" t="s">
        <v>35</v>
      </c>
      <c r="J424" s="6" t="s">
        <v>902</v>
      </c>
      <c r="K424" s="6" t="s">
        <v>37</v>
      </c>
      <c r="L424" s="6" t="s">
        <v>38</v>
      </c>
      <c r="M424" s="6" t="s">
        <v>39</v>
      </c>
      <c r="N424" s="6">
        <v>1.54</v>
      </c>
      <c r="O424" s="6">
        <v>147</v>
      </c>
    </row>
    <row r="425" spans="1:15" ht="14.25" customHeight="1" x14ac:dyDescent="0.3">
      <c r="A425" s="6" t="s">
        <v>903</v>
      </c>
      <c r="B425" s="6">
        <v>56</v>
      </c>
      <c r="C425" s="6" t="s">
        <v>16</v>
      </c>
      <c r="D425" s="6" t="s">
        <v>55</v>
      </c>
      <c r="E425" s="6" t="s">
        <v>27</v>
      </c>
      <c r="F425" s="6">
        <v>1424</v>
      </c>
      <c r="G425" s="6">
        <v>164451.89000000001</v>
      </c>
      <c r="H425" s="7">
        <v>42873</v>
      </c>
      <c r="I425" s="6" t="s">
        <v>41</v>
      </c>
      <c r="J425" s="6" t="s">
        <v>904</v>
      </c>
      <c r="K425" s="6" t="s">
        <v>43</v>
      </c>
      <c r="L425" s="6" t="s">
        <v>44</v>
      </c>
      <c r="M425" s="6" t="s">
        <v>45</v>
      </c>
      <c r="N425" s="6">
        <v>3.49</v>
      </c>
      <c r="O425" s="6">
        <v>81</v>
      </c>
    </row>
    <row r="426" spans="1:15" ht="14.25" customHeight="1" x14ac:dyDescent="0.3">
      <c r="A426" s="6" t="s">
        <v>905</v>
      </c>
      <c r="B426" s="6">
        <v>55</v>
      </c>
      <c r="C426" s="6" t="s">
        <v>62</v>
      </c>
      <c r="D426" s="6" t="s">
        <v>26</v>
      </c>
      <c r="E426" s="6" t="s">
        <v>18</v>
      </c>
      <c r="F426" s="6">
        <v>1425</v>
      </c>
      <c r="G426" s="6">
        <v>117560.82</v>
      </c>
      <c r="H426" s="7">
        <v>36935</v>
      </c>
      <c r="I426" s="6" t="s">
        <v>49</v>
      </c>
      <c r="J426" s="6" t="s">
        <v>906</v>
      </c>
      <c r="K426" s="6" t="s">
        <v>51</v>
      </c>
      <c r="L426" s="6" t="s">
        <v>52</v>
      </c>
      <c r="M426" s="6" t="s">
        <v>53</v>
      </c>
      <c r="N426" s="6">
        <v>1.83</v>
      </c>
      <c r="O426" s="6">
        <v>18</v>
      </c>
    </row>
    <row r="427" spans="1:15" ht="14.25" customHeight="1" x14ac:dyDescent="0.3">
      <c r="A427" s="6" t="s">
        <v>907</v>
      </c>
      <c r="B427" s="6">
        <v>25</v>
      </c>
      <c r="C427" s="6" t="s">
        <v>16</v>
      </c>
      <c r="D427" s="6" t="s">
        <v>26</v>
      </c>
      <c r="E427" s="6" t="s">
        <v>34</v>
      </c>
      <c r="F427" s="6">
        <v>1426</v>
      </c>
      <c r="G427" s="6">
        <v>155677.67000000001</v>
      </c>
      <c r="H427" s="7">
        <v>42933</v>
      </c>
      <c r="I427" s="6" t="s">
        <v>56</v>
      </c>
      <c r="J427" s="6" t="s">
        <v>908</v>
      </c>
      <c r="K427" s="6" t="s">
        <v>21</v>
      </c>
      <c r="L427" s="6" t="s">
        <v>22</v>
      </c>
      <c r="M427" s="6" t="s">
        <v>23</v>
      </c>
      <c r="N427" s="6">
        <v>4.05</v>
      </c>
      <c r="O427" s="6">
        <v>112</v>
      </c>
    </row>
    <row r="428" spans="1:15" ht="14.25" customHeight="1" x14ac:dyDescent="0.3">
      <c r="A428" s="6" t="s">
        <v>909</v>
      </c>
      <c r="B428" s="6">
        <v>34</v>
      </c>
      <c r="C428" s="6" t="s">
        <v>25</v>
      </c>
      <c r="D428" s="6" t="s">
        <v>69</v>
      </c>
      <c r="E428" s="6" t="s">
        <v>18</v>
      </c>
      <c r="F428" s="6">
        <v>1427</v>
      </c>
      <c r="G428" s="6">
        <v>156137.44</v>
      </c>
      <c r="H428" s="7">
        <v>39578</v>
      </c>
      <c r="I428" s="6" t="s">
        <v>63</v>
      </c>
      <c r="J428" s="6" t="s">
        <v>910</v>
      </c>
      <c r="K428" s="6" t="s">
        <v>30</v>
      </c>
      <c r="L428" s="6" t="s">
        <v>31</v>
      </c>
      <c r="M428" s="6" t="s">
        <v>32</v>
      </c>
      <c r="N428" s="6">
        <v>3.74</v>
      </c>
      <c r="O428" s="6">
        <v>182</v>
      </c>
    </row>
    <row r="429" spans="1:15" ht="14.25" customHeight="1" x14ac:dyDescent="0.3">
      <c r="A429" s="6" t="s">
        <v>911</v>
      </c>
      <c r="B429" s="6">
        <v>58</v>
      </c>
      <c r="C429" s="6" t="s">
        <v>62</v>
      </c>
      <c r="D429" s="6" t="s">
        <v>69</v>
      </c>
      <c r="E429" s="6" t="s">
        <v>80</v>
      </c>
      <c r="F429" s="6">
        <v>1428</v>
      </c>
      <c r="G429" s="6">
        <v>194305.68</v>
      </c>
      <c r="H429" s="7">
        <v>40091</v>
      </c>
      <c r="I429" s="6" t="s">
        <v>66</v>
      </c>
      <c r="J429" s="6" t="s">
        <v>912</v>
      </c>
      <c r="K429" s="6" t="s">
        <v>37</v>
      </c>
      <c r="L429" s="6" t="s">
        <v>38</v>
      </c>
      <c r="M429" s="6" t="s">
        <v>39</v>
      </c>
      <c r="N429" s="6">
        <v>3.97</v>
      </c>
      <c r="O429" s="6">
        <v>85</v>
      </c>
    </row>
    <row r="430" spans="1:15" ht="14.25" customHeight="1" x14ac:dyDescent="0.3">
      <c r="A430" s="6" t="s">
        <v>913</v>
      </c>
      <c r="B430" s="6">
        <v>23</v>
      </c>
      <c r="C430" s="6" t="s">
        <v>16</v>
      </c>
      <c r="D430" s="6" t="s">
        <v>17</v>
      </c>
      <c r="E430" s="6" t="s">
        <v>80</v>
      </c>
      <c r="F430" s="6">
        <v>1429</v>
      </c>
      <c r="G430" s="6">
        <v>99504.05</v>
      </c>
      <c r="H430" s="7">
        <v>40504</v>
      </c>
      <c r="I430" s="6" t="s">
        <v>70</v>
      </c>
      <c r="J430" s="6" t="s">
        <v>914</v>
      </c>
      <c r="K430" s="6" t="s">
        <v>43</v>
      </c>
      <c r="L430" s="6" t="s">
        <v>44</v>
      </c>
      <c r="M430" s="6" t="s">
        <v>45</v>
      </c>
      <c r="N430" s="6">
        <v>3.36</v>
      </c>
      <c r="O430" s="6">
        <v>85</v>
      </c>
    </row>
    <row r="431" spans="1:15" ht="14.25" customHeight="1" x14ac:dyDescent="0.3">
      <c r="A431" s="6" t="s">
        <v>915</v>
      </c>
      <c r="B431" s="6">
        <v>22</v>
      </c>
      <c r="C431" s="6" t="s">
        <v>16</v>
      </c>
      <c r="D431" s="6" t="s">
        <v>26</v>
      </c>
      <c r="E431" s="6" t="s">
        <v>34</v>
      </c>
      <c r="F431" s="6">
        <v>1430</v>
      </c>
      <c r="G431" s="6">
        <v>103949.47</v>
      </c>
      <c r="H431" s="7">
        <v>36823</v>
      </c>
      <c r="I431" s="6" t="s">
        <v>73</v>
      </c>
      <c r="J431" s="6" t="s">
        <v>916</v>
      </c>
      <c r="K431" s="6" t="s">
        <v>51</v>
      </c>
      <c r="L431" s="6" t="s">
        <v>52</v>
      </c>
      <c r="M431" s="6" t="s">
        <v>53</v>
      </c>
      <c r="N431" s="6">
        <v>1.02</v>
      </c>
      <c r="O431" s="6">
        <v>34</v>
      </c>
    </row>
    <row r="432" spans="1:15" ht="14.25" customHeight="1" x14ac:dyDescent="0.3">
      <c r="A432" s="6" t="s">
        <v>917</v>
      </c>
      <c r="B432" s="6">
        <v>61</v>
      </c>
      <c r="C432" s="6" t="s">
        <v>25</v>
      </c>
      <c r="D432" s="6" t="s">
        <v>69</v>
      </c>
      <c r="E432" s="6" t="s">
        <v>48</v>
      </c>
      <c r="F432" s="6">
        <v>1431</v>
      </c>
      <c r="G432" s="6">
        <v>154358.57999999999</v>
      </c>
      <c r="H432" s="7">
        <v>40058</v>
      </c>
      <c r="I432" s="6" t="s">
        <v>19</v>
      </c>
      <c r="J432" s="6" t="s">
        <v>918</v>
      </c>
      <c r="K432" s="6" t="s">
        <v>21</v>
      </c>
      <c r="L432" s="6" t="s">
        <v>22</v>
      </c>
      <c r="M432" s="6" t="s">
        <v>23</v>
      </c>
      <c r="N432" s="6">
        <v>1.45</v>
      </c>
      <c r="O432" s="6">
        <v>137</v>
      </c>
    </row>
    <row r="433" spans="1:15" ht="14.25" customHeight="1" x14ac:dyDescent="0.3">
      <c r="A433" s="6" t="s">
        <v>919</v>
      </c>
      <c r="B433" s="6">
        <v>46</v>
      </c>
      <c r="C433" s="6" t="s">
        <v>62</v>
      </c>
      <c r="D433" s="6" t="s">
        <v>47</v>
      </c>
      <c r="E433" s="6" t="s">
        <v>34</v>
      </c>
      <c r="F433" s="6">
        <v>1432</v>
      </c>
      <c r="G433" s="6">
        <v>105989.57</v>
      </c>
      <c r="H433" s="7">
        <v>44408</v>
      </c>
      <c r="I433" s="6" t="s">
        <v>28</v>
      </c>
      <c r="J433" s="6" t="s">
        <v>920</v>
      </c>
      <c r="K433" s="6" t="s">
        <v>30</v>
      </c>
      <c r="L433" s="6" t="s">
        <v>31</v>
      </c>
      <c r="M433" s="6" t="s">
        <v>32</v>
      </c>
      <c r="N433" s="6">
        <v>2.0299999999999998</v>
      </c>
      <c r="O433" s="6">
        <v>154</v>
      </c>
    </row>
    <row r="434" spans="1:15" ht="14.25" customHeight="1" x14ac:dyDescent="0.3">
      <c r="A434" s="6" t="s">
        <v>921</v>
      </c>
      <c r="B434" s="6">
        <v>58</v>
      </c>
      <c r="C434" s="6" t="s">
        <v>62</v>
      </c>
      <c r="D434" s="6" t="s">
        <v>26</v>
      </c>
      <c r="E434" s="6" t="s">
        <v>18</v>
      </c>
      <c r="F434" s="6">
        <v>1433</v>
      </c>
      <c r="G434" s="6">
        <v>174286.48</v>
      </c>
      <c r="H434" s="7">
        <v>41427</v>
      </c>
      <c r="I434" s="6" t="s">
        <v>35</v>
      </c>
      <c r="J434" s="6" t="s">
        <v>922</v>
      </c>
      <c r="K434" s="6" t="s">
        <v>37</v>
      </c>
      <c r="L434" s="6" t="s">
        <v>38</v>
      </c>
      <c r="M434" s="6" t="s">
        <v>39</v>
      </c>
      <c r="N434" s="6">
        <v>4.03</v>
      </c>
      <c r="O434" s="6">
        <v>163</v>
      </c>
    </row>
    <row r="435" spans="1:15" ht="14.25" customHeight="1" x14ac:dyDescent="0.3">
      <c r="A435" s="6" t="s">
        <v>923</v>
      </c>
      <c r="B435" s="6">
        <v>57</v>
      </c>
      <c r="C435" s="6" t="s">
        <v>16</v>
      </c>
      <c r="D435" s="6" t="s">
        <v>55</v>
      </c>
      <c r="E435" s="6" t="s">
        <v>18</v>
      </c>
      <c r="F435" s="6">
        <v>1434</v>
      </c>
      <c r="G435" s="6">
        <v>63463.66</v>
      </c>
      <c r="H435" s="7">
        <v>40362</v>
      </c>
      <c r="I435" s="6" t="s">
        <v>41</v>
      </c>
      <c r="J435" s="6" t="s">
        <v>924</v>
      </c>
      <c r="K435" s="6" t="s">
        <v>43</v>
      </c>
      <c r="L435" s="6" t="s">
        <v>44</v>
      </c>
      <c r="M435" s="6" t="s">
        <v>45</v>
      </c>
      <c r="N435" s="6">
        <v>3.73</v>
      </c>
      <c r="O435" s="6">
        <v>100</v>
      </c>
    </row>
    <row r="436" spans="1:15" ht="14.25" customHeight="1" x14ac:dyDescent="0.3">
      <c r="A436" s="6" t="s">
        <v>925</v>
      </c>
      <c r="B436" s="6">
        <v>27</v>
      </c>
      <c r="C436" s="6" t="s">
        <v>16</v>
      </c>
      <c r="D436" s="6" t="s">
        <v>26</v>
      </c>
      <c r="E436" s="6" t="s">
        <v>18</v>
      </c>
      <c r="F436" s="6">
        <v>1435</v>
      </c>
      <c r="G436" s="6">
        <v>154150.01999999999</v>
      </c>
      <c r="H436" s="7">
        <v>41575</v>
      </c>
      <c r="I436" s="6" t="s">
        <v>49</v>
      </c>
      <c r="J436" s="6" t="s">
        <v>926</v>
      </c>
      <c r="K436" s="6" t="s">
        <v>51</v>
      </c>
      <c r="L436" s="6" t="s">
        <v>52</v>
      </c>
      <c r="M436" s="6" t="s">
        <v>53</v>
      </c>
      <c r="N436" s="6">
        <v>1.65</v>
      </c>
      <c r="O436" s="6">
        <v>19</v>
      </c>
    </row>
    <row r="437" spans="1:15" ht="14.25" customHeight="1" x14ac:dyDescent="0.3">
      <c r="A437" s="6" t="s">
        <v>927</v>
      </c>
      <c r="B437" s="6">
        <v>28</v>
      </c>
      <c r="C437" s="6" t="s">
        <v>16</v>
      </c>
      <c r="D437" s="6" t="s">
        <v>55</v>
      </c>
      <c r="E437" s="6" t="s">
        <v>18</v>
      </c>
      <c r="F437" s="6">
        <v>1436</v>
      </c>
      <c r="G437" s="6">
        <v>73321.13</v>
      </c>
      <c r="H437" s="7">
        <v>39911</v>
      </c>
      <c r="I437" s="6" t="s">
        <v>56</v>
      </c>
      <c r="J437" s="6" t="s">
        <v>928</v>
      </c>
      <c r="K437" s="6" t="s">
        <v>21</v>
      </c>
      <c r="L437" s="6" t="s">
        <v>22</v>
      </c>
      <c r="M437" s="6" t="s">
        <v>23</v>
      </c>
      <c r="N437" s="6">
        <v>3.07</v>
      </c>
      <c r="O437" s="6">
        <v>134</v>
      </c>
    </row>
    <row r="438" spans="1:15" ht="14.25" customHeight="1" x14ac:dyDescent="0.3">
      <c r="A438" s="6" t="s">
        <v>929</v>
      </c>
      <c r="B438" s="6">
        <v>25</v>
      </c>
      <c r="C438" s="6" t="s">
        <v>62</v>
      </c>
      <c r="D438" s="6" t="s">
        <v>17</v>
      </c>
      <c r="E438" s="6" t="s">
        <v>48</v>
      </c>
      <c r="F438" s="6">
        <v>1437</v>
      </c>
      <c r="G438" s="6">
        <v>132586.35999999999</v>
      </c>
      <c r="H438" s="7">
        <v>37593</v>
      </c>
      <c r="I438" s="6" t="s">
        <v>63</v>
      </c>
      <c r="J438" s="6" t="s">
        <v>930</v>
      </c>
      <c r="K438" s="6" t="s">
        <v>30</v>
      </c>
      <c r="L438" s="6" t="s">
        <v>31</v>
      </c>
      <c r="M438" s="6" t="s">
        <v>32</v>
      </c>
      <c r="N438" s="6">
        <v>1.08</v>
      </c>
      <c r="O438" s="6">
        <v>173</v>
      </c>
    </row>
    <row r="439" spans="1:15" ht="14.25" customHeight="1" x14ac:dyDescent="0.3">
      <c r="A439" s="6" t="s">
        <v>931</v>
      </c>
      <c r="B439" s="6">
        <v>56</v>
      </c>
      <c r="C439" s="6" t="s">
        <v>16</v>
      </c>
      <c r="D439" s="6" t="s">
        <v>69</v>
      </c>
      <c r="E439" s="6" t="s">
        <v>80</v>
      </c>
      <c r="F439" s="6">
        <v>1438</v>
      </c>
      <c r="G439" s="6">
        <v>125927.47</v>
      </c>
      <c r="H439" s="7">
        <v>42246</v>
      </c>
      <c r="I439" s="6" t="s">
        <v>66</v>
      </c>
      <c r="J439" s="6" t="s">
        <v>932</v>
      </c>
      <c r="K439" s="6" t="s">
        <v>37</v>
      </c>
      <c r="L439" s="6" t="s">
        <v>38</v>
      </c>
      <c r="M439" s="6" t="s">
        <v>39</v>
      </c>
      <c r="N439" s="6">
        <v>2.7</v>
      </c>
      <c r="O439" s="6">
        <v>152</v>
      </c>
    </row>
    <row r="440" spans="1:15" ht="14.25" customHeight="1" x14ac:dyDescent="0.3">
      <c r="A440" s="6" t="s">
        <v>933</v>
      </c>
      <c r="B440" s="6">
        <v>62</v>
      </c>
      <c r="C440" s="6" t="s">
        <v>16</v>
      </c>
      <c r="D440" s="6" t="s">
        <v>47</v>
      </c>
      <c r="E440" s="6" t="s">
        <v>80</v>
      </c>
      <c r="F440" s="6">
        <v>1439</v>
      </c>
      <c r="G440" s="6">
        <v>151680.64000000001</v>
      </c>
      <c r="H440" s="7">
        <v>42290</v>
      </c>
      <c r="I440" s="6" t="s">
        <v>70</v>
      </c>
      <c r="J440" s="6" t="s">
        <v>934</v>
      </c>
      <c r="K440" s="6" t="s">
        <v>43</v>
      </c>
      <c r="L440" s="6" t="s">
        <v>44</v>
      </c>
      <c r="M440" s="6" t="s">
        <v>45</v>
      </c>
      <c r="N440" s="6">
        <v>4.08</v>
      </c>
      <c r="O440" s="6">
        <v>185</v>
      </c>
    </row>
    <row r="441" spans="1:15" ht="14.25" customHeight="1" x14ac:dyDescent="0.3">
      <c r="A441" s="6" t="s">
        <v>935</v>
      </c>
      <c r="B441" s="6">
        <v>55</v>
      </c>
      <c r="C441" s="6" t="s">
        <v>62</v>
      </c>
      <c r="D441" s="6" t="s">
        <v>69</v>
      </c>
      <c r="E441" s="6" t="s">
        <v>34</v>
      </c>
      <c r="F441" s="6">
        <v>1440</v>
      </c>
      <c r="G441" s="6">
        <v>134217.37</v>
      </c>
      <c r="H441" s="7">
        <v>42887</v>
      </c>
      <c r="I441" s="6" t="s">
        <v>73</v>
      </c>
      <c r="J441" s="6" t="s">
        <v>936</v>
      </c>
      <c r="K441" s="6" t="s">
        <v>51</v>
      </c>
      <c r="L441" s="6" t="s">
        <v>52</v>
      </c>
      <c r="M441" s="6" t="s">
        <v>53</v>
      </c>
      <c r="N441" s="6">
        <v>1.56</v>
      </c>
      <c r="O441" s="6">
        <v>162</v>
      </c>
    </row>
    <row r="442" spans="1:15" ht="14.25" customHeight="1" x14ac:dyDescent="0.3">
      <c r="A442" s="6" t="s">
        <v>937</v>
      </c>
      <c r="B442" s="6">
        <v>50</v>
      </c>
      <c r="C442" s="6" t="s">
        <v>62</v>
      </c>
      <c r="D442" s="6" t="s">
        <v>55</v>
      </c>
      <c r="E442" s="6" t="s">
        <v>80</v>
      </c>
      <c r="F442" s="6">
        <v>1441</v>
      </c>
      <c r="G442" s="6">
        <v>131330.39000000001</v>
      </c>
      <c r="H442" s="7">
        <v>38601</v>
      </c>
      <c r="I442" s="6" t="s">
        <v>19</v>
      </c>
      <c r="J442" s="6" t="s">
        <v>938</v>
      </c>
      <c r="K442" s="6" t="s">
        <v>21</v>
      </c>
      <c r="L442" s="6" t="s">
        <v>22</v>
      </c>
      <c r="M442" s="6" t="s">
        <v>23</v>
      </c>
      <c r="N442" s="6">
        <v>3.2</v>
      </c>
      <c r="O442" s="6">
        <v>95</v>
      </c>
    </row>
    <row r="443" spans="1:15" ht="14.25" customHeight="1" x14ac:dyDescent="0.3">
      <c r="A443" s="6" t="s">
        <v>939</v>
      </c>
      <c r="B443" s="6">
        <v>26</v>
      </c>
      <c r="C443" s="6" t="s">
        <v>25</v>
      </c>
      <c r="D443" s="6" t="s">
        <v>17</v>
      </c>
      <c r="E443" s="6" t="s">
        <v>80</v>
      </c>
      <c r="F443" s="6">
        <v>1442</v>
      </c>
      <c r="G443" s="6">
        <v>126730.18</v>
      </c>
      <c r="H443" s="7">
        <v>44569</v>
      </c>
      <c r="I443" s="6" t="s">
        <v>28</v>
      </c>
      <c r="J443" s="6" t="s">
        <v>940</v>
      </c>
      <c r="K443" s="6" t="s">
        <v>30</v>
      </c>
      <c r="L443" s="6" t="s">
        <v>31</v>
      </c>
      <c r="M443" s="6" t="s">
        <v>32</v>
      </c>
      <c r="N443" s="6">
        <v>4.03</v>
      </c>
      <c r="O443" s="6">
        <v>163</v>
      </c>
    </row>
    <row r="444" spans="1:15" ht="14.25" customHeight="1" x14ac:dyDescent="0.3">
      <c r="A444" s="6" t="s">
        <v>941</v>
      </c>
      <c r="B444" s="6">
        <v>48</v>
      </c>
      <c r="C444" s="6" t="s">
        <v>62</v>
      </c>
      <c r="D444" s="6" t="s">
        <v>55</v>
      </c>
      <c r="E444" s="6" t="s">
        <v>80</v>
      </c>
      <c r="F444" s="6">
        <v>1443</v>
      </c>
      <c r="G444" s="6">
        <v>166801.68</v>
      </c>
      <c r="H444" s="7">
        <v>43631</v>
      </c>
      <c r="I444" s="6" t="s">
        <v>35</v>
      </c>
      <c r="J444" s="6" t="s">
        <v>942</v>
      </c>
      <c r="K444" s="6" t="s">
        <v>37</v>
      </c>
      <c r="L444" s="6" t="s">
        <v>38</v>
      </c>
      <c r="M444" s="6" t="s">
        <v>39</v>
      </c>
      <c r="N444" s="6">
        <v>3.77</v>
      </c>
      <c r="O444" s="6">
        <v>30</v>
      </c>
    </row>
    <row r="445" spans="1:15" ht="14.25" customHeight="1" x14ac:dyDescent="0.3">
      <c r="A445" s="6" t="s">
        <v>943</v>
      </c>
      <c r="B445" s="6">
        <v>54</v>
      </c>
      <c r="C445" s="6" t="s">
        <v>62</v>
      </c>
      <c r="D445" s="6" t="s">
        <v>17</v>
      </c>
      <c r="E445" s="6" t="s">
        <v>48</v>
      </c>
      <c r="F445" s="6">
        <v>1444</v>
      </c>
      <c r="G445" s="6">
        <v>90293.06</v>
      </c>
      <c r="H445" s="7">
        <v>42159</v>
      </c>
      <c r="I445" s="6" t="s">
        <v>41</v>
      </c>
      <c r="J445" s="6" t="s">
        <v>944</v>
      </c>
      <c r="K445" s="6" t="s">
        <v>43</v>
      </c>
      <c r="L445" s="6" t="s">
        <v>44</v>
      </c>
      <c r="M445" s="6" t="s">
        <v>45</v>
      </c>
      <c r="N445" s="6">
        <v>1.72</v>
      </c>
      <c r="O445" s="6">
        <v>127</v>
      </c>
    </row>
    <row r="446" spans="1:15" ht="14.25" customHeight="1" x14ac:dyDescent="0.3">
      <c r="A446" s="6" t="s">
        <v>945</v>
      </c>
      <c r="B446" s="6">
        <v>31</v>
      </c>
      <c r="C446" s="6" t="s">
        <v>25</v>
      </c>
      <c r="D446" s="6" t="s">
        <v>17</v>
      </c>
      <c r="E446" s="6" t="s">
        <v>48</v>
      </c>
      <c r="F446" s="6">
        <v>1445</v>
      </c>
      <c r="G446" s="6">
        <v>74141.320000000007</v>
      </c>
      <c r="H446" s="7">
        <v>44584</v>
      </c>
      <c r="I446" s="6" t="s">
        <v>49</v>
      </c>
      <c r="J446" s="6" t="s">
        <v>946</v>
      </c>
      <c r="K446" s="6" t="s">
        <v>51</v>
      </c>
      <c r="L446" s="6" t="s">
        <v>52</v>
      </c>
      <c r="M446" s="6" t="s">
        <v>53</v>
      </c>
      <c r="N446" s="6">
        <v>4.7699999999999996</v>
      </c>
      <c r="O446" s="6">
        <v>13</v>
      </c>
    </row>
    <row r="447" spans="1:15" ht="14.25" customHeight="1" x14ac:dyDescent="0.3">
      <c r="A447" s="6" t="s">
        <v>947</v>
      </c>
      <c r="B447" s="6">
        <v>27</v>
      </c>
      <c r="C447" s="6" t="s">
        <v>62</v>
      </c>
      <c r="D447" s="6" t="s">
        <v>47</v>
      </c>
      <c r="E447" s="6" t="s">
        <v>80</v>
      </c>
      <c r="F447" s="6">
        <v>1446</v>
      </c>
      <c r="G447" s="6">
        <v>51891.32</v>
      </c>
      <c r="H447" s="7">
        <v>40932</v>
      </c>
      <c r="I447" s="6" t="s">
        <v>56</v>
      </c>
      <c r="J447" s="6" t="s">
        <v>948</v>
      </c>
      <c r="K447" s="6" t="s">
        <v>21</v>
      </c>
      <c r="L447" s="6" t="s">
        <v>22</v>
      </c>
      <c r="M447" s="6" t="s">
        <v>23</v>
      </c>
      <c r="N447" s="6">
        <v>4.2</v>
      </c>
      <c r="O447" s="6">
        <v>43</v>
      </c>
    </row>
    <row r="448" spans="1:15" ht="14.25" customHeight="1" x14ac:dyDescent="0.3">
      <c r="A448" s="6" t="s">
        <v>949</v>
      </c>
      <c r="B448" s="6">
        <v>55</v>
      </c>
      <c r="C448" s="6" t="s">
        <v>25</v>
      </c>
      <c r="D448" s="6" t="s">
        <v>47</v>
      </c>
      <c r="E448" s="6" t="s">
        <v>18</v>
      </c>
      <c r="F448" s="6">
        <v>1447</v>
      </c>
      <c r="G448" s="6">
        <v>69781.47</v>
      </c>
      <c r="H448" s="7">
        <v>40643</v>
      </c>
      <c r="I448" s="6" t="s">
        <v>63</v>
      </c>
      <c r="J448" s="6" t="s">
        <v>950</v>
      </c>
      <c r="K448" s="6" t="s">
        <v>30</v>
      </c>
      <c r="L448" s="6" t="s">
        <v>31</v>
      </c>
      <c r="M448" s="6" t="s">
        <v>32</v>
      </c>
      <c r="N448" s="6">
        <v>1.74</v>
      </c>
      <c r="O448" s="6">
        <v>72</v>
      </c>
    </row>
    <row r="449" spans="1:15" ht="14.25" customHeight="1" x14ac:dyDescent="0.3">
      <c r="A449" s="6" t="s">
        <v>951</v>
      </c>
      <c r="B449" s="6">
        <v>29</v>
      </c>
      <c r="C449" s="6" t="s">
        <v>62</v>
      </c>
      <c r="D449" s="6" t="s">
        <v>69</v>
      </c>
      <c r="E449" s="6" t="s">
        <v>80</v>
      </c>
      <c r="F449" s="6">
        <v>1448</v>
      </c>
      <c r="G449" s="6">
        <v>146761.14000000001</v>
      </c>
      <c r="H449" s="7">
        <v>43823</v>
      </c>
      <c r="I449" s="6" t="s">
        <v>66</v>
      </c>
      <c r="J449" s="6" t="s">
        <v>952</v>
      </c>
      <c r="K449" s="6" t="s">
        <v>37</v>
      </c>
      <c r="L449" s="6" t="s">
        <v>38</v>
      </c>
      <c r="M449" s="6" t="s">
        <v>39</v>
      </c>
      <c r="N449" s="6">
        <v>4.13</v>
      </c>
      <c r="O449" s="6">
        <v>69</v>
      </c>
    </row>
    <row r="450" spans="1:15" ht="14.25" customHeight="1" x14ac:dyDescent="0.3">
      <c r="A450" s="6" t="s">
        <v>953</v>
      </c>
      <c r="B450" s="6">
        <v>52</v>
      </c>
      <c r="C450" s="6" t="s">
        <v>25</v>
      </c>
      <c r="D450" s="6" t="s">
        <v>47</v>
      </c>
      <c r="E450" s="6" t="s">
        <v>34</v>
      </c>
      <c r="F450" s="6">
        <v>1449</v>
      </c>
      <c r="G450" s="6">
        <v>158157.91</v>
      </c>
      <c r="H450" s="7">
        <v>41707</v>
      </c>
      <c r="I450" s="6" t="s">
        <v>70</v>
      </c>
      <c r="J450" s="6" t="s">
        <v>954</v>
      </c>
      <c r="K450" s="6" t="s">
        <v>43</v>
      </c>
      <c r="L450" s="6" t="s">
        <v>44</v>
      </c>
      <c r="M450" s="6" t="s">
        <v>45</v>
      </c>
      <c r="N450" s="6">
        <v>2.0299999999999998</v>
      </c>
      <c r="O450" s="6">
        <v>172</v>
      </c>
    </row>
    <row r="451" spans="1:15" ht="14.25" customHeight="1" x14ac:dyDescent="0.3">
      <c r="A451" s="6" t="s">
        <v>955</v>
      </c>
      <c r="B451" s="6">
        <v>30</v>
      </c>
      <c r="C451" s="6" t="s">
        <v>16</v>
      </c>
      <c r="D451" s="6" t="s">
        <v>55</v>
      </c>
      <c r="E451" s="6" t="s">
        <v>27</v>
      </c>
      <c r="F451" s="6">
        <v>1450</v>
      </c>
      <c r="G451" s="6">
        <v>144438.03</v>
      </c>
      <c r="H451" s="7">
        <v>36799</v>
      </c>
      <c r="I451" s="6" t="s">
        <v>73</v>
      </c>
      <c r="J451" s="6" t="s">
        <v>956</v>
      </c>
      <c r="K451" s="6" t="s">
        <v>51</v>
      </c>
      <c r="L451" s="6" t="s">
        <v>52</v>
      </c>
      <c r="M451" s="6" t="s">
        <v>53</v>
      </c>
      <c r="N451" s="6">
        <v>4.62</v>
      </c>
      <c r="O451" s="6">
        <v>65</v>
      </c>
    </row>
    <row r="452" spans="1:15" ht="14.25" customHeight="1" x14ac:dyDescent="0.3">
      <c r="A452" s="6" t="s">
        <v>957</v>
      </c>
      <c r="B452" s="6">
        <v>42</v>
      </c>
      <c r="C452" s="6" t="s">
        <v>16</v>
      </c>
      <c r="D452" s="6" t="s">
        <v>55</v>
      </c>
      <c r="E452" s="6" t="s">
        <v>34</v>
      </c>
      <c r="F452" s="6">
        <v>1451</v>
      </c>
      <c r="G452" s="6">
        <v>60293.13</v>
      </c>
      <c r="H452" s="7">
        <v>41777</v>
      </c>
      <c r="I452" s="6" t="s">
        <v>19</v>
      </c>
      <c r="J452" s="6" t="s">
        <v>958</v>
      </c>
      <c r="K452" s="6" t="s">
        <v>21</v>
      </c>
      <c r="L452" s="6" t="s">
        <v>22</v>
      </c>
      <c r="M452" s="6" t="s">
        <v>23</v>
      </c>
      <c r="N452" s="6">
        <v>4.4000000000000004</v>
      </c>
      <c r="O452" s="6">
        <v>65</v>
      </c>
    </row>
    <row r="453" spans="1:15" ht="14.25" customHeight="1" x14ac:dyDescent="0.3">
      <c r="A453" s="6" t="s">
        <v>959</v>
      </c>
      <c r="B453" s="6">
        <v>29</v>
      </c>
      <c r="C453" s="6" t="s">
        <v>16</v>
      </c>
      <c r="D453" s="6" t="s">
        <v>17</v>
      </c>
      <c r="E453" s="6" t="s">
        <v>27</v>
      </c>
      <c r="F453" s="6">
        <v>1452</v>
      </c>
      <c r="G453" s="6">
        <v>165890.32999999999</v>
      </c>
      <c r="H453" s="7">
        <v>41932</v>
      </c>
      <c r="I453" s="6" t="s">
        <v>28</v>
      </c>
      <c r="J453" s="6" t="s">
        <v>960</v>
      </c>
      <c r="K453" s="6" t="s">
        <v>30</v>
      </c>
      <c r="L453" s="6" t="s">
        <v>31</v>
      </c>
      <c r="M453" s="6" t="s">
        <v>32</v>
      </c>
      <c r="N453" s="6">
        <v>3.55</v>
      </c>
      <c r="O453" s="6">
        <v>39</v>
      </c>
    </row>
    <row r="454" spans="1:15" ht="14.25" customHeight="1" x14ac:dyDescent="0.3">
      <c r="A454" s="6" t="s">
        <v>961</v>
      </c>
      <c r="B454" s="6">
        <v>25</v>
      </c>
      <c r="C454" s="6" t="s">
        <v>25</v>
      </c>
      <c r="D454" s="6" t="s">
        <v>69</v>
      </c>
      <c r="E454" s="6" t="s">
        <v>48</v>
      </c>
      <c r="F454" s="6">
        <v>1453</v>
      </c>
      <c r="G454" s="6">
        <v>127434.94</v>
      </c>
      <c r="H454" s="7">
        <v>36698</v>
      </c>
      <c r="I454" s="6" t="s">
        <v>35</v>
      </c>
      <c r="J454" s="6" t="s">
        <v>962</v>
      </c>
      <c r="K454" s="6" t="s">
        <v>37</v>
      </c>
      <c r="L454" s="6" t="s">
        <v>38</v>
      </c>
      <c r="M454" s="6" t="s">
        <v>39</v>
      </c>
      <c r="N454" s="6">
        <v>3.62</v>
      </c>
      <c r="O454" s="6">
        <v>178</v>
      </c>
    </row>
    <row r="455" spans="1:15" ht="14.25" customHeight="1" x14ac:dyDescent="0.3">
      <c r="A455" s="6" t="s">
        <v>963</v>
      </c>
      <c r="B455" s="6">
        <v>43</v>
      </c>
      <c r="C455" s="6" t="s">
        <v>16</v>
      </c>
      <c r="D455" s="6" t="s">
        <v>69</v>
      </c>
      <c r="E455" s="6" t="s">
        <v>48</v>
      </c>
      <c r="F455" s="6">
        <v>1454</v>
      </c>
      <c r="G455" s="6">
        <v>86011.97</v>
      </c>
      <c r="H455" s="7">
        <v>39904</v>
      </c>
      <c r="I455" s="6" t="s">
        <v>41</v>
      </c>
      <c r="J455" s="6" t="s">
        <v>964</v>
      </c>
      <c r="K455" s="6" t="s">
        <v>43</v>
      </c>
      <c r="L455" s="6" t="s">
        <v>44</v>
      </c>
      <c r="M455" s="6" t="s">
        <v>45</v>
      </c>
      <c r="N455" s="6">
        <v>1.29</v>
      </c>
      <c r="O455" s="6">
        <v>73</v>
      </c>
    </row>
    <row r="456" spans="1:15" ht="14.25" customHeight="1" x14ac:dyDescent="0.3">
      <c r="A456" s="6" t="s">
        <v>965</v>
      </c>
      <c r="B456" s="6">
        <v>49</v>
      </c>
      <c r="C456" s="6" t="s">
        <v>62</v>
      </c>
      <c r="D456" s="6" t="s">
        <v>69</v>
      </c>
      <c r="E456" s="6" t="s">
        <v>80</v>
      </c>
      <c r="F456" s="6">
        <v>1455</v>
      </c>
      <c r="G456" s="6">
        <v>137986.93</v>
      </c>
      <c r="H456" s="7">
        <v>43262</v>
      </c>
      <c r="I456" s="6" t="s">
        <v>49</v>
      </c>
      <c r="J456" s="6" t="s">
        <v>966</v>
      </c>
      <c r="K456" s="6" t="s">
        <v>51</v>
      </c>
      <c r="L456" s="6" t="s">
        <v>52</v>
      </c>
      <c r="M456" s="6" t="s">
        <v>53</v>
      </c>
      <c r="N456" s="6">
        <v>2.34</v>
      </c>
      <c r="O456" s="6">
        <v>49</v>
      </c>
    </row>
    <row r="457" spans="1:15" ht="14.25" customHeight="1" x14ac:dyDescent="0.3">
      <c r="A457" s="6" t="s">
        <v>967</v>
      </c>
      <c r="B457" s="6">
        <v>25</v>
      </c>
      <c r="C457" s="6" t="s">
        <v>25</v>
      </c>
      <c r="D457" s="6" t="s">
        <v>17</v>
      </c>
      <c r="E457" s="6" t="s">
        <v>27</v>
      </c>
      <c r="F457" s="6">
        <v>1456</v>
      </c>
      <c r="G457" s="6">
        <v>112388.59</v>
      </c>
      <c r="H457" s="7">
        <v>40967</v>
      </c>
      <c r="I457" s="6" t="s">
        <v>56</v>
      </c>
      <c r="J457" s="6" t="s">
        <v>968</v>
      </c>
      <c r="K457" s="6" t="s">
        <v>21</v>
      </c>
      <c r="L457" s="6" t="s">
        <v>22</v>
      </c>
      <c r="M457" s="6" t="s">
        <v>23</v>
      </c>
      <c r="N457" s="6">
        <v>4.55</v>
      </c>
      <c r="O457" s="6">
        <v>71</v>
      </c>
    </row>
    <row r="458" spans="1:15" ht="14.25" customHeight="1" x14ac:dyDescent="0.3">
      <c r="A458" s="6" t="s">
        <v>969</v>
      </c>
      <c r="B458" s="6">
        <v>60</v>
      </c>
      <c r="C458" s="6" t="s">
        <v>62</v>
      </c>
      <c r="D458" s="6" t="s">
        <v>47</v>
      </c>
      <c r="E458" s="6" t="s">
        <v>48</v>
      </c>
      <c r="F458" s="6">
        <v>1457</v>
      </c>
      <c r="G458" s="6">
        <v>154603.26</v>
      </c>
      <c r="H458" s="7">
        <v>38153</v>
      </c>
      <c r="I458" s="6" t="s">
        <v>63</v>
      </c>
      <c r="J458" s="6" t="s">
        <v>970</v>
      </c>
      <c r="K458" s="6" t="s">
        <v>30</v>
      </c>
      <c r="L458" s="6" t="s">
        <v>31</v>
      </c>
      <c r="M458" s="6" t="s">
        <v>32</v>
      </c>
      <c r="N458" s="6">
        <v>2.25</v>
      </c>
      <c r="O458" s="6">
        <v>117</v>
      </c>
    </row>
    <row r="459" spans="1:15" ht="14.25" customHeight="1" x14ac:dyDescent="0.3">
      <c r="A459" s="6" t="s">
        <v>971</v>
      </c>
      <c r="B459" s="6">
        <v>42</v>
      </c>
      <c r="C459" s="6" t="s">
        <v>62</v>
      </c>
      <c r="D459" s="6" t="s">
        <v>26</v>
      </c>
      <c r="E459" s="6" t="s">
        <v>48</v>
      </c>
      <c r="F459" s="6">
        <v>1458</v>
      </c>
      <c r="G459" s="6">
        <v>124353.39</v>
      </c>
      <c r="H459" s="7">
        <v>38242</v>
      </c>
      <c r="I459" s="6" t="s">
        <v>66</v>
      </c>
      <c r="J459" s="6" t="s">
        <v>972</v>
      </c>
      <c r="K459" s="6" t="s">
        <v>37</v>
      </c>
      <c r="L459" s="6" t="s">
        <v>38</v>
      </c>
      <c r="M459" s="6" t="s">
        <v>39</v>
      </c>
      <c r="N459" s="6">
        <v>2.2000000000000002</v>
      </c>
      <c r="O459" s="6">
        <v>56</v>
      </c>
    </row>
    <row r="460" spans="1:15" ht="14.25" customHeight="1" x14ac:dyDescent="0.3">
      <c r="A460" s="6" t="s">
        <v>973</v>
      </c>
      <c r="B460" s="6">
        <v>29</v>
      </c>
      <c r="C460" s="6" t="s">
        <v>62</v>
      </c>
      <c r="D460" s="6" t="s">
        <v>55</v>
      </c>
      <c r="E460" s="6" t="s">
        <v>80</v>
      </c>
      <c r="F460" s="6">
        <v>1459</v>
      </c>
      <c r="G460" s="6">
        <v>55397.05</v>
      </c>
      <c r="H460" s="7">
        <v>42936</v>
      </c>
      <c r="I460" s="6" t="s">
        <v>70</v>
      </c>
      <c r="J460" s="6" t="s">
        <v>974</v>
      </c>
      <c r="K460" s="6" t="s">
        <v>43</v>
      </c>
      <c r="L460" s="6" t="s">
        <v>44</v>
      </c>
      <c r="M460" s="6" t="s">
        <v>45</v>
      </c>
      <c r="N460" s="6">
        <v>2.84</v>
      </c>
      <c r="O460" s="6">
        <v>21</v>
      </c>
    </row>
    <row r="461" spans="1:15" ht="14.25" customHeight="1" x14ac:dyDescent="0.3">
      <c r="A461" s="6" t="s">
        <v>975</v>
      </c>
      <c r="B461" s="6">
        <v>41</v>
      </c>
      <c r="C461" s="6" t="s">
        <v>25</v>
      </c>
      <c r="D461" s="6" t="s">
        <v>17</v>
      </c>
      <c r="E461" s="6" t="s">
        <v>48</v>
      </c>
      <c r="F461" s="6">
        <v>1460</v>
      </c>
      <c r="G461" s="6">
        <v>146694</v>
      </c>
      <c r="H461" s="7">
        <v>44335</v>
      </c>
      <c r="I461" s="6" t="s">
        <v>73</v>
      </c>
      <c r="J461" s="6" t="s">
        <v>976</v>
      </c>
      <c r="K461" s="6" t="s">
        <v>51</v>
      </c>
      <c r="L461" s="6" t="s">
        <v>52</v>
      </c>
      <c r="M461" s="6" t="s">
        <v>53</v>
      </c>
      <c r="N461" s="6">
        <v>1.75</v>
      </c>
      <c r="O461" s="6">
        <v>109</v>
      </c>
    </row>
    <row r="462" spans="1:15" ht="14.25" customHeight="1" x14ac:dyDescent="0.3">
      <c r="A462" s="6" t="s">
        <v>977</v>
      </c>
      <c r="B462" s="6">
        <v>53</v>
      </c>
      <c r="C462" s="6" t="s">
        <v>62</v>
      </c>
      <c r="D462" s="6" t="s">
        <v>55</v>
      </c>
      <c r="E462" s="6" t="s">
        <v>27</v>
      </c>
      <c r="F462" s="6">
        <v>1461</v>
      </c>
      <c r="G462" s="6">
        <v>156708.01</v>
      </c>
      <c r="H462" s="7">
        <v>40184</v>
      </c>
      <c r="I462" s="6" t="s">
        <v>19</v>
      </c>
      <c r="J462" s="6" t="s">
        <v>978</v>
      </c>
      <c r="K462" s="6" t="s">
        <v>21</v>
      </c>
      <c r="L462" s="6" t="s">
        <v>22</v>
      </c>
      <c r="M462" s="6" t="s">
        <v>23</v>
      </c>
      <c r="N462" s="6">
        <v>4.5</v>
      </c>
      <c r="O462" s="6">
        <v>186</v>
      </c>
    </row>
    <row r="463" spans="1:15" ht="14.25" customHeight="1" x14ac:dyDescent="0.3">
      <c r="A463" s="6" t="s">
        <v>979</v>
      </c>
      <c r="B463" s="6">
        <v>22</v>
      </c>
      <c r="C463" s="6" t="s">
        <v>16</v>
      </c>
      <c r="D463" s="6" t="s">
        <v>47</v>
      </c>
      <c r="E463" s="6" t="s">
        <v>34</v>
      </c>
      <c r="F463" s="6">
        <v>1462</v>
      </c>
      <c r="G463" s="6">
        <v>147059.89000000001</v>
      </c>
      <c r="H463" s="7">
        <v>38103</v>
      </c>
      <c r="I463" s="6" t="s">
        <v>28</v>
      </c>
      <c r="J463" s="6" t="s">
        <v>980</v>
      </c>
      <c r="K463" s="6" t="s">
        <v>30</v>
      </c>
      <c r="L463" s="6" t="s">
        <v>31</v>
      </c>
      <c r="M463" s="6" t="s">
        <v>32</v>
      </c>
      <c r="N463" s="6">
        <v>4.13</v>
      </c>
      <c r="O463" s="6">
        <v>2</v>
      </c>
    </row>
    <row r="464" spans="1:15" ht="14.25" customHeight="1" x14ac:dyDescent="0.3">
      <c r="A464" s="6" t="s">
        <v>981</v>
      </c>
      <c r="B464" s="6">
        <v>27</v>
      </c>
      <c r="C464" s="6" t="s">
        <v>25</v>
      </c>
      <c r="D464" s="6" t="s">
        <v>47</v>
      </c>
      <c r="E464" s="6" t="s">
        <v>48</v>
      </c>
      <c r="F464" s="6">
        <v>1463</v>
      </c>
      <c r="G464" s="6">
        <v>187200.93</v>
      </c>
      <c r="H464" s="7">
        <v>37656</v>
      </c>
      <c r="I464" s="6" t="s">
        <v>35</v>
      </c>
      <c r="J464" s="6" t="s">
        <v>982</v>
      </c>
      <c r="K464" s="6" t="s">
        <v>37</v>
      </c>
      <c r="L464" s="6" t="s">
        <v>38</v>
      </c>
      <c r="M464" s="6" t="s">
        <v>39</v>
      </c>
      <c r="N464" s="6">
        <v>1.52</v>
      </c>
      <c r="O464" s="6">
        <v>106</v>
      </c>
    </row>
    <row r="465" spans="1:15" ht="14.25" customHeight="1" x14ac:dyDescent="0.3">
      <c r="A465" s="6" t="s">
        <v>983</v>
      </c>
      <c r="B465" s="6">
        <v>49</v>
      </c>
      <c r="C465" s="6" t="s">
        <v>16</v>
      </c>
      <c r="D465" s="6" t="s">
        <v>17</v>
      </c>
      <c r="E465" s="6" t="s">
        <v>18</v>
      </c>
      <c r="F465" s="6">
        <v>1464</v>
      </c>
      <c r="G465" s="6">
        <v>99966.81</v>
      </c>
      <c r="H465" s="7">
        <v>40139</v>
      </c>
      <c r="I465" s="6" t="s">
        <v>41</v>
      </c>
      <c r="J465" s="6" t="s">
        <v>984</v>
      </c>
      <c r="K465" s="6" t="s">
        <v>43</v>
      </c>
      <c r="L465" s="6" t="s">
        <v>44</v>
      </c>
      <c r="M465" s="6" t="s">
        <v>45</v>
      </c>
      <c r="N465" s="6">
        <v>2.29</v>
      </c>
      <c r="O465" s="6">
        <v>5</v>
      </c>
    </row>
    <row r="466" spans="1:15" ht="14.25" customHeight="1" x14ac:dyDescent="0.3">
      <c r="A466" s="6" t="s">
        <v>985</v>
      </c>
      <c r="B466" s="6">
        <v>52</v>
      </c>
      <c r="C466" s="6" t="s">
        <v>25</v>
      </c>
      <c r="D466" s="6" t="s">
        <v>17</v>
      </c>
      <c r="E466" s="6" t="s">
        <v>48</v>
      </c>
      <c r="F466" s="6">
        <v>1465</v>
      </c>
      <c r="G466" s="6">
        <v>84205.47</v>
      </c>
      <c r="H466" s="7">
        <v>43648</v>
      </c>
      <c r="I466" s="6" t="s">
        <v>49</v>
      </c>
      <c r="J466" s="6" t="s">
        <v>986</v>
      </c>
      <c r="K466" s="6" t="s">
        <v>51</v>
      </c>
      <c r="L466" s="6" t="s">
        <v>52</v>
      </c>
      <c r="M466" s="6" t="s">
        <v>53</v>
      </c>
      <c r="N466" s="6">
        <v>1.59</v>
      </c>
      <c r="O466" s="6">
        <v>93</v>
      </c>
    </row>
    <row r="467" spans="1:15" ht="14.25" customHeight="1" x14ac:dyDescent="0.3">
      <c r="A467" s="6" t="s">
        <v>987</v>
      </c>
      <c r="B467" s="6">
        <v>31</v>
      </c>
      <c r="C467" s="6" t="s">
        <v>62</v>
      </c>
      <c r="D467" s="6" t="s">
        <v>26</v>
      </c>
      <c r="E467" s="6" t="s">
        <v>34</v>
      </c>
      <c r="F467" s="6">
        <v>1466</v>
      </c>
      <c r="G467" s="6">
        <v>126542.11</v>
      </c>
      <c r="H467" s="7">
        <v>40186</v>
      </c>
      <c r="I467" s="6" t="s">
        <v>56</v>
      </c>
      <c r="J467" s="6" t="s">
        <v>988</v>
      </c>
      <c r="K467" s="6" t="s">
        <v>21</v>
      </c>
      <c r="L467" s="6" t="s">
        <v>22</v>
      </c>
      <c r="M467" s="6" t="s">
        <v>23</v>
      </c>
      <c r="N467" s="6">
        <v>2.5499999999999998</v>
      </c>
      <c r="O467" s="6">
        <v>66</v>
      </c>
    </row>
    <row r="468" spans="1:15" ht="14.25" customHeight="1" x14ac:dyDescent="0.3">
      <c r="A468" s="6" t="s">
        <v>989</v>
      </c>
      <c r="B468" s="6">
        <v>41</v>
      </c>
      <c r="C468" s="6" t="s">
        <v>16</v>
      </c>
      <c r="D468" s="6" t="s">
        <v>69</v>
      </c>
      <c r="E468" s="6" t="s">
        <v>80</v>
      </c>
      <c r="F468" s="6">
        <v>1467</v>
      </c>
      <c r="G468" s="6">
        <v>171027.43</v>
      </c>
      <c r="H468" s="7">
        <v>36718</v>
      </c>
      <c r="I468" s="6" t="s">
        <v>63</v>
      </c>
      <c r="J468" s="6" t="s">
        <v>990</v>
      </c>
      <c r="K468" s="6" t="s">
        <v>30</v>
      </c>
      <c r="L468" s="6" t="s">
        <v>31</v>
      </c>
      <c r="M468" s="6" t="s">
        <v>32</v>
      </c>
      <c r="N468" s="6">
        <v>3.61</v>
      </c>
      <c r="O468" s="6">
        <v>84</v>
      </c>
    </row>
    <row r="469" spans="1:15" ht="14.25" customHeight="1" x14ac:dyDescent="0.3">
      <c r="A469" s="6" t="s">
        <v>991</v>
      </c>
      <c r="B469" s="6">
        <v>29</v>
      </c>
      <c r="C469" s="6" t="s">
        <v>25</v>
      </c>
      <c r="D469" s="6" t="s">
        <v>26</v>
      </c>
      <c r="E469" s="6" t="s">
        <v>80</v>
      </c>
      <c r="F469" s="6">
        <v>1468</v>
      </c>
      <c r="G469" s="6">
        <v>153019.21</v>
      </c>
      <c r="H469" s="7">
        <v>38588</v>
      </c>
      <c r="I469" s="6" t="s">
        <v>66</v>
      </c>
      <c r="J469" s="6" t="s">
        <v>992</v>
      </c>
      <c r="K469" s="6" t="s">
        <v>37</v>
      </c>
      <c r="L469" s="6" t="s">
        <v>38</v>
      </c>
      <c r="M469" s="6" t="s">
        <v>39</v>
      </c>
      <c r="N469" s="6">
        <v>2.04</v>
      </c>
      <c r="O469" s="6">
        <v>175</v>
      </c>
    </row>
    <row r="470" spans="1:15" ht="14.25" customHeight="1" x14ac:dyDescent="0.3">
      <c r="A470" s="6" t="s">
        <v>993</v>
      </c>
      <c r="B470" s="6">
        <v>43</v>
      </c>
      <c r="C470" s="6" t="s">
        <v>62</v>
      </c>
      <c r="D470" s="6" t="s">
        <v>17</v>
      </c>
      <c r="E470" s="6" t="s">
        <v>34</v>
      </c>
      <c r="F470" s="6">
        <v>1469</v>
      </c>
      <c r="G470" s="6">
        <v>113713.19</v>
      </c>
      <c r="H470" s="7">
        <v>38584</v>
      </c>
      <c r="I470" s="6" t="s">
        <v>70</v>
      </c>
      <c r="J470" s="6" t="s">
        <v>994</v>
      </c>
      <c r="K470" s="6" t="s">
        <v>43</v>
      </c>
      <c r="L470" s="6" t="s">
        <v>44</v>
      </c>
      <c r="M470" s="6" t="s">
        <v>45</v>
      </c>
      <c r="N470" s="6">
        <v>4.0599999999999996</v>
      </c>
      <c r="O470" s="6">
        <v>67</v>
      </c>
    </row>
    <row r="471" spans="1:15" ht="14.25" customHeight="1" x14ac:dyDescent="0.3">
      <c r="A471" s="6" t="s">
        <v>995</v>
      </c>
      <c r="B471" s="6">
        <v>59</v>
      </c>
      <c r="C471" s="6" t="s">
        <v>62</v>
      </c>
      <c r="D471" s="6" t="s">
        <v>26</v>
      </c>
      <c r="E471" s="6" t="s">
        <v>80</v>
      </c>
      <c r="F471" s="6">
        <v>1470</v>
      </c>
      <c r="G471" s="6">
        <v>75135.62</v>
      </c>
      <c r="H471" s="7">
        <v>38058</v>
      </c>
      <c r="I471" s="6" t="s">
        <v>73</v>
      </c>
      <c r="J471" s="6" t="s">
        <v>996</v>
      </c>
      <c r="K471" s="6" t="s">
        <v>51</v>
      </c>
      <c r="L471" s="6" t="s">
        <v>52</v>
      </c>
      <c r="M471" s="6" t="s">
        <v>53</v>
      </c>
      <c r="N471" s="6">
        <v>4.8600000000000003</v>
      </c>
      <c r="O471" s="6">
        <v>145</v>
      </c>
    </row>
    <row r="472" spans="1:15" ht="14.25" customHeight="1" x14ac:dyDescent="0.3">
      <c r="A472" s="6" t="s">
        <v>997</v>
      </c>
      <c r="B472" s="6">
        <v>50</v>
      </c>
      <c r="C472" s="6" t="s">
        <v>25</v>
      </c>
      <c r="D472" s="6" t="s">
        <v>55</v>
      </c>
      <c r="E472" s="6" t="s">
        <v>48</v>
      </c>
      <c r="F472" s="6">
        <v>1471</v>
      </c>
      <c r="G472" s="6">
        <v>75361.929999999993</v>
      </c>
      <c r="H472" s="7">
        <v>42092</v>
      </c>
      <c r="I472" s="6" t="s">
        <v>19</v>
      </c>
      <c r="J472" s="6" t="s">
        <v>998</v>
      </c>
      <c r="K472" s="6" t="s">
        <v>21</v>
      </c>
      <c r="L472" s="6" t="s">
        <v>22</v>
      </c>
      <c r="M472" s="6" t="s">
        <v>23</v>
      </c>
      <c r="N472" s="6">
        <v>3.44</v>
      </c>
      <c r="O472" s="6">
        <v>48</v>
      </c>
    </row>
    <row r="473" spans="1:15" ht="14.25" customHeight="1" x14ac:dyDescent="0.3">
      <c r="A473" s="6" t="s">
        <v>999</v>
      </c>
      <c r="B473" s="6">
        <v>30</v>
      </c>
      <c r="C473" s="6" t="s">
        <v>25</v>
      </c>
      <c r="D473" s="6" t="s">
        <v>47</v>
      </c>
      <c r="E473" s="6" t="s">
        <v>27</v>
      </c>
      <c r="F473" s="6">
        <v>1472</v>
      </c>
      <c r="G473" s="6">
        <v>115512.88</v>
      </c>
      <c r="H473" s="7">
        <v>43442</v>
      </c>
      <c r="I473" s="6" t="s">
        <v>28</v>
      </c>
      <c r="J473" s="6" t="s">
        <v>1000</v>
      </c>
      <c r="K473" s="6" t="s">
        <v>30</v>
      </c>
      <c r="L473" s="6" t="s">
        <v>31</v>
      </c>
      <c r="M473" s="6" t="s">
        <v>32</v>
      </c>
      <c r="N473" s="6">
        <v>2.33</v>
      </c>
      <c r="O473" s="6">
        <v>17</v>
      </c>
    </row>
    <row r="474" spans="1:15" ht="14.25" customHeight="1" x14ac:dyDescent="0.3">
      <c r="A474" s="6" t="s">
        <v>1001</v>
      </c>
      <c r="B474" s="6">
        <v>22</v>
      </c>
      <c r="C474" s="6" t="s">
        <v>25</v>
      </c>
      <c r="D474" s="6" t="s">
        <v>47</v>
      </c>
      <c r="E474" s="6" t="s">
        <v>48</v>
      </c>
      <c r="F474" s="6">
        <v>1473</v>
      </c>
      <c r="G474" s="6">
        <v>184602.8</v>
      </c>
      <c r="H474" s="7">
        <v>43387</v>
      </c>
      <c r="I474" s="6" t="s">
        <v>35</v>
      </c>
      <c r="J474" s="6" t="s">
        <v>1002</v>
      </c>
      <c r="K474" s="6" t="s">
        <v>37</v>
      </c>
      <c r="L474" s="6" t="s">
        <v>38</v>
      </c>
      <c r="M474" s="6" t="s">
        <v>39</v>
      </c>
      <c r="N474" s="6">
        <v>3.93</v>
      </c>
      <c r="O474" s="6">
        <v>76</v>
      </c>
    </row>
    <row r="475" spans="1:15" ht="14.25" customHeight="1" x14ac:dyDescent="0.3">
      <c r="A475" s="6" t="s">
        <v>1003</v>
      </c>
      <c r="B475" s="6">
        <v>62</v>
      </c>
      <c r="C475" s="6" t="s">
        <v>25</v>
      </c>
      <c r="D475" s="6" t="s">
        <v>26</v>
      </c>
      <c r="E475" s="6" t="s">
        <v>27</v>
      </c>
      <c r="F475" s="6">
        <v>1474</v>
      </c>
      <c r="G475" s="6">
        <v>113763.54</v>
      </c>
      <c r="H475" s="7">
        <v>41305</v>
      </c>
      <c r="I475" s="6" t="s">
        <v>41</v>
      </c>
      <c r="J475" s="6" t="s">
        <v>1004</v>
      </c>
      <c r="K475" s="6" t="s">
        <v>43</v>
      </c>
      <c r="L475" s="6" t="s">
        <v>44</v>
      </c>
      <c r="M475" s="6" t="s">
        <v>45</v>
      </c>
      <c r="N475" s="6">
        <v>2.06</v>
      </c>
      <c r="O475" s="6">
        <v>149</v>
      </c>
    </row>
    <row r="476" spans="1:15" ht="14.25" customHeight="1" x14ac:dyDescent="0.3">
      <c r="A476" s="6" t="s">
        <v>1005</v>
      </c>
      <c r="B476" s="6">
        <v>60</v>
      </c>
      <c r="C476" s="6" t="s">
        <v>16</v>
      </c>
      <c r="D476" s="6" t="s">
        <v>69</v>
      </c>
      <c r="E476" s="6" t="s">
        <v>18</v>
      </c>
      <c r="F476" s="6">
        <v>1475</v>
      </c>
      <c r="G476" s="6">
        <v>190227.15</v>
      </c>
      <c r="H476" s="7">
        <v>42078</v>
      </c>
      <c r="I476" s="6" t="s">
        <v>49</v>
      </c>
      <c r="J476" s="6" t="s">
        <v>1006</v>
      </c>
      <c r="K476" s="6" t="s">
        <v>51</v>
      </c>
      <c r="L476" s="6" t="s">
        <v>52</v>
      </c>
      <c r="M476" s="6" t="s">
        <v>53</v>
      </c>
      <c r="N476" s="6">
        <v>4.54</v>
      </c>
      <c r="O476" s="6">
        <v>160</v>
      </c>
    </row>
    <row r="477" spans="1:15" ht="14.25" customHeight="1" x14ac:dyDescent="0.3">
      <c r="A477" s="6" t="s">
        <v>1007</v>
      </c>
      <c r="B477" s="6">
        <v>47</v>
      </c>
      <c r="C477" s="6" t="s">
        <v>25</v>
      </c>
      <c r="D477" s="6" t="s">
        <v>17</v>
      </c>
      <c r="E477" s="6" t="s">
        <v>34</v>
      </c>
      <c r="F477" s="6">
        <v>1476</v>
      </c>
      <c r="G477" s="6">
        <v>120272.36</v>
      </c>
      <c r="H477" s="7">
        <v>37900</v>
      </c>
      <c r="I477" s="6" t="s">
        <v>56</v>
      </c>
      <c r="J477" s="6" t="s">
        <v>1008</v>
      </c>
      <c r="K477" s="6" t="s">
        <v>21</v>
      </c>
      <c r="L477" s="6" t="s">
        <v>22</v>
      </c>
      <c r="M477" s="6" t="s">
        <v>23</v>
      </c>
      <c r="N477" s="6">
        <v>4.05</v>
      </c>
      <c r="O477" s="6">
        <v>105</v>
      </c>
    </row>
    <row r="478" spans="1:15" ht="14.25" customHeight="1" x14ac:dyDescent="0.3">
      <c r="A478" s="6" t="s">
        <v>1009</v>
      </c>
      <c r="B478" s="6">
        <v>32</v>
      </c>
      <c r="C478" s="6" t="s">
        <v>62</v>
      </c>
      <c r="D478" s="6" t="s">
        <v>47</v>
      </c>
      <c r="E478" s="6" t="s">
        <v>34</v>
      </c>
      <c r="F478" s="6">
        <v>1477</v>
      </c>
      <c r="G478" s="6">
        <v>55507.31</v>
      </c>
      <c r="H478" s="7">
        <v>43153</v>
      </c>
      <c r="I478" s="6" t="s">
        <v>63</v>
      </c>
      <c r="J478" s="6" t="s">
        <v>1010</v>
      </c>
      <c r="K478" s="6" t="s">
        <v>30</v>
      </c>
      <c r="L478" s="6" t="s">
        <v>31</v>
      </c>
      <c r="M478" s="6" t="s">
        <v>32</v>
      </c>
      <c r="N478" s="6">
        <v>2.68</v>
      </c>
      <c r="O478" s="6">
        <v>122</v>
      </c>
    </row>
    <row r="479" spans="1:15" ht="14.25" customHeight="1" x14ac:dyDescent="0.3">
      <c r="A479" s="6" t="s">
        <v>1011</v>
      </c>
      <c r="B479" s="6">
        <v>56</v>
      </c>
      <c r="C479" s="6" t="s">
        <v>16</v>
      </c>
      <c r="D479" s="6" t="s">
        <v>26</v>
      </c>
      <c r="E479" s="6" t="s">
        <v>48</v>
      </c>
      <c r="F479" s="6">
        <v>1478</v>
      </c>
      <c r="G479" s="6">
        <v>89186.42</v>
      </c>
      <c r="H479" s="7">
        <v>40187</v>
      </c>
      <c r="I479" s="6" t="s">
        <v>66</v>
      </c>
      <c r="J479" s="6" t="s">
        <v>1012</v>
      </c>
      <c r="K479" s="6" t="s">
        <v>37</v>
      </c>
      <c r="L479" s="6" t="s">
        <v>38</v>
      </c>
      <c r="M479" s="6" t="s">
        <v>39</v>
      </c>
      <c r="N479" s="6">
        <v>3.93</v>
      </c>
      <c r="O479" s="6">
        <v>143</v>
      </c>
    </row>
    <row r="480" spans="1:15" ht="14.25" customHeight="1" x14ac:dyDescent="0.3">
      <c r="A480" s="6" t="s">
        <v>1013</v>
      </c>
      <c r="B480" s="6">
        <v>45</v>
      </c>
      <c r="C480" s="6" t="s">
        <v>62</v>
      </c>
      <c r="D480" s="6" t="s">
        <v>17</v>
      </c>
      <c r="E480" s="6" t="s">
        <v>80</v>
      </c>
      <c r="F480" s="6">
        <v>1479</v>
      </c>
      <c r="G480" s="6">
        <v>51788.23</v>
      </c>
      <c r="H480" s="7">
        <v>41993</v>
      </c>
      <c r="I480" s="6" t="s">
        <v>70</v>
      </c>
      <c r="J480" s="6" t="s">
        <v>1014</v>
      </c>
      <c r="K480" s="6" t="s">
        <v>43</v>
      </c>
      <c r="L480" s="6" t="s">
        <v>44</v>
      </c>
      <c r="M480" s="6" t="s">
        <v>45</v>
      </c>
      <c r="N480" s="6">
        <v>1</v>
      </c>
      <c r="O480" s="6">
        <v>167</v>
      </c>
    </row>
    <row r="481" spans="1:15" ht="14.25" customHeight="1" x14ac:dyDescent="0.3">
      <c r="A481" s="6" t="s">
        <v>1015</v>
      </c>
      <c r="B481" s="6">
        <v>54</v>
      </c>
      <c r="C481" s="6" t="s">
        <v>62</v>
      </c>
      <c r="D481" s="6" t="s">
        <v>47</v>
      </c>
      <c r="E481" s="6" t="s">
        <v>34</v>
      </c>
      <c r="F481" s="6">
        <v>1480</v>
      </c>
      <c r="G481" s="6">
        <v>79831.399999999994</v>
      </c>
      <c r="H481" s="7">
        <v>36565</v>
      </c>
      <c r="I481" s="6" t="s">
        <v>73</v>
      </c>
      <c r="J481" s="6" t="s">
        <v>1016</v>
      </c>
      <c r="K481" s="6" t="s">
        <v>51</v>
      </c>
      <c r="L481" s="6" t="s">
        <v>52</v>
      </c>
      <c r="M481" s="6" t="s">
        <v>53</v>
      </c>
      <c r="N481" s="6">
        <v>4.13</v>
      </c>
      <c r="O481" s="6">
        <v>140</v>
      </c>
    </row>
    <row r="482" spans="1:15" ht="14.25" customHeight="1" x14ac:dyDescent="0.3">
      <c r="A482" s="6" t="s">
        <v>1017</v>
      </c>
      <c r="B482" s="6">
        <v>41</v>
      </c>
      <c r="C482" s="6" t="s">
        <v>25</v>
      </c>
      <c r="D482" s="6" t="s">
        <v>26</v>
      </c>
      <c r="E482" s="6" t="s">
        <v>27</v>
      </c>
      <c r="F482" s="6">
        <v>1481</v>
      </c>
      <c r="G482" s="6">
        <v>119117.35</v>
      </c>
      <c r="H482" s="7">
        <v>40023</v>
      </c>
      <c r="I482" s="6" t="s">
        <v>19</v>
      </c>
      <c r="J482" s="6" t="s">
        <v>1018</v>
      </c>
      <c r="K482" s="6" t="s">
        <v>21</v>
      </c>
      <c r="L482" s="6" t="s">
        <v>22</v>
      </c>
      <c r="M482" s="6" t="s">
        <v>23</v>
      </c>
      <c r="N482" s="6">
        <v>3.96</v>
      </c>
      <c r="O482" s="6">
        <v>14</v>
      </c>
    </row>
    <row r="483" spans="1:15" ht="14.25" customHeight="1" x14ac:dyDescent="0.3">
      <c r="A483" s="6" t="s">
        <v>1019</v>
      </c>
      <c r="B483" s="6">
        <v>48</v>
      </c>
      <c r="C483" s="6" t="s">
        <v>16</v>
      </c>
      <c r="D483" s="6" t="s">
        <v>17</v>
      </c>
      <c r="E483" s="6" t="s">
        <v>80</v>
      </c>
      <c r="F483" s="6">
        <v>1482</v>
      </c>
      <c r="G483" s="6">
        <v>121215.02</v>
      </c>
      <c r="H483" s="7">
        <v>36543</v>
      </c>
      <c r="I483" s="6" t="s">
        <v>28</v>
      </c>
      <c r="J483" s="6" t="s">
        <v>1020</v>
      </c>
      <c r="K483" s="6" t="s">
        <v>30</v>
      </c>
      <c r="L483" s="6" t="s">
        <v>31</v>
      </c>
      <c r="M483" s="6" t="s">
        <v>32</v>
      </c>
      <c r="N483" s="6">
        <v>2.5099999999999998</v>
      </c>
      <c r="O483" s="6">
        <v>47</v>
      </c>
    </row>
    <row r="484" spans="1:15" ht="14.25" customHeight="1" x14ac:dyDescent="0.3">
      <c r="A484" s="6" t="s">
        <v>1021</v>
      </c>
      <c r="B484" s="6">
        <v>36</v>
      </c>
      <c r="C484" s="6" t="s">
        <v>25</v>
      </c>
      <c r="D484" s="6" t="s">
        <v>69</v>
      </c>
      <c r="E484" s="6" t="s">
        <v>27</v>
      </c>
      <c r="F484" s="6">
        <v>1483</v>
      </c>
      <c r="G484" s="6">
        <v>198606.98</v>
      </c>
      <c r="H484" s="7">
        <v>39507</v>
      </c>
      <c r="I484" s="6" t="s">
        <v>35</v>
      </c>
      <c r="J484" s="6" t="s">
        <v>1022</v>
      </c>
      <c r="K484" s="6" t="s">
        <v>37</v>
      </c>
      <c r="L484" s="6" t="s">
        <v>38</v>
      </c>
      <c r="M484" s="6" t="s">
        <v>39</v>
      </c>
      <c r="N484" s="6">
        <v>1.27</v>
      </c>
      <c r="O484" s="6">
        <v>1</v>
      </c>
    </row>
    <row r="485" spans="1:15" ht="14.25" customHeight="1" x14ac:dyDescent="0.3">
      <c r="A485" s="6" t="s">
        <v>1023</v>
      </c>
      <c r="B485" s="6">
        <v>54</v>
      </c>
      <c r="C485" s="6" t="s">
        <v>62</v>
      </c>
      <c r="D485" s="6" t="s">
        <v>26</v>
      </c>
      <c r="E485" s="6" t="s">
        <v>34</v>
      </c>
      <c r="F485" s="6">
        <v>1484</v>
      </c>
      <c r="G485" s="6">
        <v>70899.87</v>
      </c>
      <c r="H485" s="7">
        <v>44848</v>
      </c>
      <c r="I485" s="6" t="s">
        <v>41</v>
      </c>
      <c r="J485" s="6" t="s">
        <v>1024</v>
      </c>
      <c r="K485" s="6" t="s">
        <v>43</v>
      </c>
      <c r="L485" s="6" t="s">
        <v>44</v>
      </c>
      <c r="M485" s="6" t="s">
        <v>45</v>
      </c>
      <c r="N485" s="6">
        <v>2.72</v>
      </c>
      <c r="O485" s="6">
        <v>169</v>
      </c>
    </row>
    <row r="486" spans="1:15" ht="14.25" customHeight="1" x14ac:dyDescent="0.3">
      <c r="A486" s="6" t="s">
        <v>1025</v>
      </c>
      <c r="B486" s="6">
        <v>28</v>
      </c>
      <c r="C486" s="6" t="s">
        <v>25</v>
      </c>
      <c r="D486" s="6" t="s">
        <v>26</v>
      </c>
      <c r="E486" s="6" t="s">
        <v>27</v>
      </c>
      <c r="F486" s="6">
        <v>1485</v>
      </c>
      <c r="G486" s="6">
        <v>138019.17000000001</v>
      </c>
      <c r="H486" s="7">
        <v>38506</v>
      </c>
      <c r="I486" s="6" t="s">
        <v>49</v>
      </c>
      <c r="J486" s="6" t="s">
        <v>1026</v>
      </c>
      <c r="K486" s="6" t="s">
        <v>51</v>
      </c>
      <c r="L486" s="6" t="s">
        <v>52</v>
      </c>
      <c r="M486" s="6" t="s">
        <v>53</v>
      </c>
      <c r="N486" s="6">
        <v>1.01</v>
      </c>
      <c r="O486" s="6">
        <v>8</v>
      </c>
    </row>
    <row r="487" spans="1:15" ht="14.25" customHeight="1" x14ac:dyDescent="0.3">
      <c r="A487" s="6" t="s">
        <v>1027</v>
      </c>
      <c r="B487" s="6">
        <v>55</v>
      </c>
      <c r="C487" s="6" t="s">
        <v>25</v>
      </c>
      <c r="D487" s="6" t="s">
        <v>26</v>
      </c>
      <c r="E487" s="6" t="s">
        <v>18</v>
      </c>
      <c r="F487" s="6">
        <v>1486</v>
      </c>
      <c r="G487" s="6">
        <v>66822.259999999995</v>
      </c>
      <c r="H487" s="7">
        <v>38951</v>
      </c>
      <c r="I487" s="6" t="s">
        <v>56</v>
      </c>
      <c r="J487" s="6" t="s">
        <v>1028</v>
      </c>
      <c r="K487" s="6" t="s">
        <v>21</v>
      </c>
      <c r="L487" s="6" t="s">
        <v>22</v>
      </c>
      <c r="M487" s="6" t="s">
        <v>23</v>
      </c>
      <c r="N487" s="6">
        <v>1.54</v>
      </c>
      <c r="O487" s="6">
        <v>141</v>
      </c>
    </row>
    <row r="488" spans="1:15" ht="14.25" customHeight="1" x14ac:dyDescent="0.3">
      <c r="A488" s="6" t="s">
        <v>1029</v>
      </c>
      <c r="B488" s="6">
        <v>63</v>
      </c>
      <c r="C488" s="6" t="s">
        <v>25</v>
      </c>
      <c r="D488" s="6" t="s">
        <v>47</v>
      </c>
      <c r="E488" s="6" t="s">
        <v>27</v>
      </c>
      <c r="F488" s="6">
        <v>1487</v>
      </c>
      <c r="G488" s="6">
        <v>102914.86</v>
      </c>
      <c r="H488" s="7">
        <v>44824</v>
      </c>
      <c r="I488" s="6" t="s">
        <v>63</v>
      </c>
      <c r="J488" s="6" t="s">
        <v>1030</v>
      </c>
      <c r="K488" s="6" t="s">
        <v>30</v>
      </c>
      <c r="L488" s="6" t="s">
        <v>31</v>
      </c>
      <c r="M488" s="6" t="s">
        <v>32</v>
      </c>
      <c r="N488" s="6">
        <v>2.0299999999999998</v>
      </c>
      <c r="O488" s="6">
        <v>125</v>
      </c>
    </row>
    <row r="489" spans="1:15" ht="14.25" customHeight="1" x14ac:dyDescent="0.3">
      <c r="A489" s="6" t="s">
        <v>1031</v>
      </c>
      <c r="B489" s="6">
        <v>26</v>
      </c>
      <c r="C489" s="6" t="s">
        <v>25</v>
      </c>
      <c r="D489" s="6" t="s">
        <v>69</v>
      </c>
      <c r="E489" s="6" t="s">
        <v>48</v>
      </c>
      <c r="F489" s="6">
        <v>1488</v>
      </c>
      <c r="G489" s="6">
        <v>148622.15</v>
      </c>
      <c r="H489" s="7">
        <v>42353</v>
      </c>
      <c r="I489" s="6" t="s">
        <v>66</v>
      </c>
      <c r="J489" s="6" t="s">
        <v>1032</v>
      </c>
      <c r="K489" s="6" t="s">
        <v>37</v>
      </c>
      <c r="L489" s="6" t="s">
        <v>38</v>
      </c>
      <c r="M489" s="6" t="s">
        <v>39</v>
      </c>
      <c r="N489" s="6">
        <v>1.1499999999999999</v>
      </c>
      <c r="O489" s="6">
        <v>2</v>
      </c>
    </row>
    <row r="490" spans="1:15" ht="14.25" customHeight="1" x14ac:dyDescent="0.3">
      <c r="A490" s="6" t="s">
        <v>1033</v>
      </c>
      <c r="B490" s="6">
        <v>51</v>
      </c>
      <c r="C490" s="6" t="s">
        <v>25</v>
      </c>
      <c r="D490" s="6" t="s">
        <v>69</v>
      </c>
      <c r="E490" s="6" t="s">
        <v>18</v>
      </c>
      <c r="F490" s="6">
        <v>1489</v>
      </c>
      <c r="G490" s="6">
        <v>135477.45000000001</v>
      </c>
      <c r="H490" s="7">
        <v>41898</v>
      </c>
      <c r="I490" s="6" t="s">
        <v>70</v>
      </c>
      <c r="J490" s="6" t="s">
        <v>1034</v>
      </c>
      <c r="K490" s="6" t="s">
        <v>43</v>
      </c>
      <c r="L490" s="6" t="s">
        <v>44</v>
      </c>
      <c r="M490" s="6" t="s">
        <v>45</v>
      </c>
      <c r="N490" s="6">
        <v>3.43</v>
      </c>
      <c r="O490" s="6">
        <v>147</v>
      </c>
    </row>
    <row r="491" spans="1:15" ht="14.25" customHeight="1" x14ac:dyDescent="0.3">
      <c r="A491" s="6" t="s">
        <v>1035</v>
      </c>
      <c r="B491" s="6">
        <v>49</v>
      </c>
      <c r="C491" s="6" t="s">
        <v>25</v>
      </c>
      <c r="D491" s="6" t="s">
        <v>26</v>
      </c>
      <c r="E491" s="6" t="s">
        <v>48</v>
      </c>
      <c r="F491" s="6">
        <v>1490</v>
      </c>
      <c r="G491" s="6">
        <v>99591.17</v>
      </c>
      <c r="H491" s="7">
        <v>36954</v>
      </c>
      <c r="I491" s="6" t="s">
        <v>73</v>
      </c>
      <c r="J491" s="6" t="s">
        <v>1036</v>
      </c>
      <c r="K491" s="6" t="s">
        <v>51</v>
      </c>
      <c r="L491" s="6" t="s">
        <v>52</v>
      </c>
      <c r="M491" s="6" t="s">
        <v>53</v>
      </c>
      <c r="N491" s="6">
        <v>4.59</v>
      </c>
      <c r="O491" s="6">
        <v>45</v>
      </c>
    </row>
    <row r="492" spans="1:15" ht="14.25" customHeight="1" x14ac:dyDescent="0.3">
      <c r="A492" s="6" t="s">
        <v>1037</v>
      </c>
      <c r="B492" s="6">
        <v>39</v>
      </c>
      <c r="C492" s="6" t="s">
        <v>16</v>
      </c>
      <c r="D492" s="6" t="s">
        <v>26</v>
      </c>
      <c r="E492" s="6" t="s">
        <v>27</v>
      </c>
      <c r="F492" s="6">
        <v>1491</v>
      </c>
      <c r="G492" s="6">
        <v>150677.26</v>
      </c>
      <c r="H492" s="7">
        <v>37163</v>
      </c>
      <c r="I492" s="6" t="s">
        <v>19</v>
      </c>
      <c r="J492" s="6" t="s">
        <v>1038</v>
      </c>
      <c r="K492" s="6" t="s">
        <v>21</v>
      </c>
      <c r="L492" s="6" t="s">
        <v>22</v>
      </c>
      <c r="M492" s="6" t="s">
        <v>23</v>
      </c>
      <c r="N492" s="6">
        <v>2.63</v>
      </c>
      <c r="O492" s="6">
        <v>68</v>
      </c>
    </row>
    <row r="493" spans="1:15" ht="14.25" customHeight="1" x14ac:dyDescent="0.3">
      <c r="A493" s="6" t="s">
        <v>1039</v>
      </c>
      <c r="B493" s="6">
        <v>57</v>
      </c>
      <c r="C493" s="6" t="s">
        <v>25</v>
      </c>
      <c r="D493" s="6" t="s">
        <v>69</v>
      </c>
      <c r="E493" s="6" t="s">
        <v>80</v>
      </c>
      <c r="F493" s="6">
        <v>1492</v>
      </c>
      <c r="G493" s="6">
        <v>152633.1</v>
      </c>
      <c r="H493" s="7">
        <v>44666</v>
      </c>
      <c r="I493" s="6" t="s">
        <v>28</v>
      </c>
      <c r="J493" s="6" t="s">
        <v>1040</v>
      </c>
      <c r="K493" s="6" t="s">
        <v>30</v>
      </c>
      <c r="L493" s="6" t="s">
        <v>31</v>
      </c>
      <c r="M493" s="6" t="s">
        <v>32</v>
      </c>
      <c r="N493" s="6">
        <v>3.79</v>
      </c>
      <c r="O493" s="6">
        <v>175</v>
      </c>
    </row>
    <row r="494" spans="1:15" ht="14.25" customHeight="1" x14ac:dyDescent="0.3">
      <c r="A494" s="6" t="s">
        <v>1041</v>
      </c>
      <c r="B494" s="6">
        <v>24</v>
      </c>
      <c r="C494" s="6" t="s">
        <v>16</v>
      </c>
      <c r="D494" s="6" t="s">
        <v>17</v>
      </c>
      <c r="E494" s="6" t="s">
        <v>48</v>
      </c>
      <c r="F494" s="6">
        <v>1493</v>
      </c>
      <c r="G494" s="6">
        <v>82335</v>
      </c>
      <c r="H494" s="7">
        <v>37766</v>
      </c>
      <c r="I494" s="6" t="s">
        <v>35</v>
      </c>
      <c r="J494" s="6" t="s">
        <v>1042</v>
      </c>
      <c r="K494" s="6" t="s">
        <v>37</v>
      </c>
      <c r="L494" s="6" t="s">
        <v>38</v>
      </c>
      <c r="M494" s="6" t="s">
        <v>39</v>
      </c>
      <c r="N494" s="6">
        <v>1.47</v>
      </c>
      <c r="O494" s="6">
        <v>67</v>
      </c>
    </row>
    <row r="495" spans="1:15" ht="14.25" customHeight="1" x14ac:dyDescent="0.3">
      <c r="A495" s="6" t="s">
        <v>1043</v>
      </c>
      <c r="B495" s="6">
        <v>42</v>
      </c>
      <c r="C495" s="6" t="s">
        <v>25</v>
      </c>
      <c r="D495" s="6" t="s">
        <v>26</v>
      </c>
      <c r="E495" s="6" t="s">
        <v>80</v>
      </c>
      <c r="F495" s="6">
        <v>1494</v>
      </c>
      <c r="G495" s="6">
        <v>109142.71</v>
      </c>
      <c r="H495" s="7">
        <v>40234</v>
      </c>
      <c r="I495" s="6" t="s">
        <v>41</v>
      </c>
      <c r="J495" s="6" t="s">
        <v>1044</v>
      </c>
      <c r="K495" s="6" t="s">
        <v>43</v>
      </c>
      <c r="L495" s="6" t="s">
        <v>44</v>
      </c>
      <c r="M495" s="6" t="s">
        <v>45</v>
      </c>
      <c r="N495" s="6">
        <v>4.74</v>
      </c>
      <c r="O495" s="6">
        <v>151</v>
      </c>
    </row>
    <row r="496" spans="1:15" ht="14.25" customHeight="1" x14ac:dyDescent="0.3">
      <c r="A496" s="6" t="s">
        <v>1045</v>
      </c>
      <c r="B496" s="6">
        <v>37</v>
      </c>
      <c r="C496" s="6" t="s">
        <v>16</v>
      </c>
      <c r="D496" s="6" t="s">
        <v>69</v>
      </c>
      <c r="E496" s="6" t="s">
        <v>18</v>
      </c>
      <c r="F496" s="6">
        <v>1495</v>
      </c>
      <c r="G496" s="6">
        <v>110719.86</v>
      </c>
      <c r="H496" s="7">
        <v>38395</v>
      </c>
      <c r="I496" s="6" t="s">
        <v>49</v>
      </c>
      <c r="J496" s="6" t="s">
        <v>1046</v>
      </c>
      <c r="K496" s="6" t="s">
        <v>51</v>
      </c>
      <c r="L496" s="6" t="s">
        <v>52</v>
      </c>
      <c r="M496" s="6" t="s">
        <v>53</v>
      </c>
      <c r="N496" s="6">
        <v>4.45</v>
      </c>
      <c r="O496" s="6">
        <v>125</v>
      </c>
    </row>
    <row r="497" spans="1:15" ht="14.25" customHeight="1" x14ac:dyDescent="0.3">
      <c r="A497" s="6" t="s">
        <v>1047</v>
      </c>
      <c r="B497" s="6">
        <v>58</v>
      </c>
      <c r="C497" s="6" t="s">
        <v>62</v>
      </c>
      <c r="D497" s="6" t="s">
        <v>47</v>
      </c>
      <c r="E497" s="6" t="s">
        <v>27</v>
      </c>
      <c r="F497" s="6">
        <v>1496</v>
      </c>
      <c r="G497" s="6">
        <v>182157.79</v>
      </c>
      <c r="H497" s="7">
        <v>41137</v>
      </c>
      <c r="I497" s="6" t="s">
        <v>56</v>
      </c>
      <c r="J497" s="6" t="s">
        <v>1048</v>
      </c>
      <c r="K497" s="6" t="s">
        <v>21</v>
      </c>
      <c r="L497" s="6" t="s">
        <v>22</v>
      </c>
      <c r="M497" s="6" t="s">
        <v>23</v>
      </c>
      <c r="N497" s="6">
        <v>4.47</v>
      </c>
      <c r="O497" s="6">
        <v>155</v>
      </c>
    </row>
    <row r="498" spans="1:15" ht="14.25" customHeight="1" x14ac:dyDescent="0.3">
      <c r="A498" s="6" t="s">
        <v>1049</v>
      </c>
      <c r="B498" s="6">
        <v>63</v>
      </c>
      <c r="C498" s="6" t="s">
        <v>16</v>
      </c>
      <c r="D498" s="6" t="s">
        <v>69</v>
      </c>
      <c r="E498" s="6" t="s">
        <v>80</v>
      </c>
      <c r="F498" s="6">
        <v>1497</v>
      </c>
      <c r="G498" s="6">
        <v>147571.76</v>
      </c>
      <c r="H498" s="7">
        <v>43776</v>
      </c>
      <c r="I498" s="6" t="s">
        <v>63</v>
      </c>
      <c r="J498" s="6" t="s">
        <v>1050</v>
      </c>
      <c r="K498" s="6" t="s">
        <v>30</v>
      </c>
      <c r="L498" s="6" t="s">
        <v>31</v>
      </c>
      <c r="M498" s="6" t="s">
        <v>32</v>
      </c>
      <c r="N498" s="6">
        <v>4.82</v>
      </c>
      <c r="O498" s="6">
        <v>190</v>
      </c>
    </row>
    <row r="499" spans="1:15" ht="14.25" customHeight="1" x14ac:dyDescent="0.3">
      <c r="A499" s="6" t="s">
        <v>1051</v>
      </c>
      <c r="B499" s="6">
        <v>26</v>
      </c>
      <c r="C499" s="6" t="s">
        <v>16</v>
      </c>
      <c r="D499" s="6" t="s">
        <v>17</v>
      </c>
      <c r="E499" s="6" t="s">
        <v>48</v>
      </c>
      <c r="F499" s="6">
        <v>1498</v>
      </c>
      <c r="G499" s="6">
        <v>154991.28</v>
      </c>
      <c r="H499" s="7">
        <v>37026</v>
      </c>
      <c r="I499" s="6" t="s">
        <v>66</v>
      </c>
      <c r="J499" s="6" t="s">
        <v>1052</v>
      </c>
      <c r="K499" s="6" t="s">
        <v>37</v>
      </c>
      <c r="L499" s="6" t="s">
        <v>38</v>
      </c>
      <c r="M499" s="6" t="s">
        <v>39</v>
      </c>
      <c r="N499" s="6">
        <v>4.88</v>
      </c>
      <c r="O499" s="6">
        <v>19</v>
      </c>
    </row>
    <row r="500" spans="1:15" ht="14.25" customHeight="1" x14ac:dyDescent="0.3">
      <c r="A500" s="6" t="s">
        <v>1053</v>
      </c>
      <c r="B500" s="6">
        <v>35</v>
      </c>
      <c r="C500" s="6" t="s">
        <v>62</v>
      </c>
      <c r="D500" s="6" t="s">
        <v>26</v>
      </c>
      <c r="E500" s="6" t="s">
        <v>34</v>
      </c>
      <c r="F500" s="6">
        <v>1499</v>
      </c>
      <c r="G500" s="6">
        <v>76122.87</v>
      </c>
      <c r="H500" s="7">
        <v>43011</v>
      </c>
      <c r="I500" s="6" t="s">
        <v>70</v>
      </c>
      <c r="J500" s="6" t="s">
        <v>1054</v>
      </c>
      <c r="K500" s="6" t="s">
        <v>43</v>
      </c>
      <c r="L500" s="6" t="s">
        <v>44</v>
      </c>
      <c r="M500" s="6" t="s">
        <v>45</v>
      </c>
      <c r="N500" s="6">
        <v>4.6399999999999997</v>
      </c>
      <c r="O500" s="6">
        <v>163</v>
      </c>
    </row>
    <row r="501" spans="1:15" ht="14.25" customHeight="1" x14ac:dyDescent="0.3">
      <c r="A501" s="6" t="s">
        <v>1055</v>
      </c>
      <c r="B501" s="6">
        <v>52</v>
      </c>
      <c r="C501" s="6" t="s">
        <v>25</v>
      </c>
      <c r="D501" s="6" t="s">
        <v>69</v>
      </c>
      <c r="E501" s="6" t="s">
        <v>18</v>
      </c>
      <c r="F501" s="6">
        <v>1500</v>
      </c>
      <c r="G501" s="6">
        <v>198098.61</v>
      </c>
      <c r="H501" s="7">
        <v>39187</v>
      </c>
      <c r="I501" s="6" t="s">
        <v>73</v>
      </c>
      <c r="J501" s="6" t="s">
        <v>1056</v>
      </c>
      <c r="K501" s="6" t="s">
        <v>51</v>
      </c>
      <c r="L501" s="6" t="s">
        <v>52</v>
      </c>
      <c r="M501" s="6" t="s">
        <v>53</v>
      </c>
      <c r="N501" s="6">
        <v>4.83</v>
      </c>
      <c r="O501" s="6">
        <v>52</v>
      </c>
    </row>
    <row r="502" spans="1:15" ht="14.25" customHeight="1" x14ac:dyDescent="0.3">
      <c r="A502" s="6" t="s">
        <v>1057</v>
      </c>
      <c r="B502" s="6">
        <v>45</v>
      </c>
      <c r="C502" s="6" t="s">
        <v>25</v>
      </c>
      <c r="D502" s="6" t="s">
        <v>55</v>
      </c>
      <c r="E502" s="6" t="s">
        <v>18</v>
      </c>
      <c r="F502" s="6">
        <v>1501</v>
      </c>
      <c r="G502" s="6">
        <v>96385.88</v>
      </c>
      <c r="H502" s="7">
        <v>41097</v>
      </c>
      <c r="I502" s="6" t="s">
        <v>19</v>
      </c>
      <c r="J502" s="6" t="s">
        <v>1058</v>
      </c>
      <c r="K502" s="6" t="s">
        <v>21</v>
      </c>
      <c r="L502" s="6" t="s">
        <v>22</v>
      </c>
      <c r="M502" s="6" t="s">
        <v>23</v>
      </c>
      <c r="N502" s="6">
        <v>2.11</v>
      </c>
      <c r="O502" s="6">
        <v>68</v>
      </c>
    </row>
    <row r="503" spans="1:15" ht="14.25" customHeight="1" x14ac:dyDescent="0.3">
      <c r="A503" s="6" t="s">
        <v>1059</v>
      </c>
      <c r="B503" s="6">
        <v>56</v>
      </c>
      <c r="C503" s="6" t="s">
        <v>16</v>
      </c>
      <c r="D503" s="6" t="s">
        <v>26</v>
      </c>
      <c r="E503" s="6" t="s">
        <v>80</v>
      </c>
      <c r="F503" s="6">
        <v>1502</v>
      </c>
      <c r="G503" s="6">
        <v>126163.48</v>
      </c>
      <c r="H503" s="7">
        <v>40507</v>
      </c>
      <c r="I503" s="6" t="s">
        <v>28</v>
      </c>
      <c r="J503" s="6" t="s">
        <v>1060</v>
      </c>
      <c r="K503" s="6" t="s">
        <v>30</v>
      </c>
      <c r="L503" s="6" t="s">
        <v>31</v>
      </c>
      <c r="M503" s="6" t="s">
        <v>32</v>
      </c>
      <c r="N503" s="6">
        <v>3.76</v>
      </c>
      <c r="O503" s="6">
        <v>42</v>
      </c>
    </row>
    <row r="504" spans="1:15" ht="14.25" customHeight="1" x14ac:dyDescent="0.3">
      <c r="A504" s="6" t="s">
        <v>1061</v>
      </c>
      <c r="B504" s="6">
        <v>57</v>
      </c>
      <c r="C504" s="6" t="s">
        <v>25</v>
      </c>
      <c r="D504" s="6" t="s">
        <v>26</v>
      </c>
      <c r="E504" s="6" t="s">
        <v>18</v>
      </c>
      <c r="F504" s="6">
        <v>1503</v>
      </c>
      <c r="G504" s="6">
        <v>66406.78</v>
      </c>
      <c r="H504" s="7">
        <v>43516</v>
      </c>
      <c r="I504" s="6" t="s">
        <v>35</v>
      </c>
      <c r="J504" s="6" t="s">
        <v>1062</v>
      </c>
      <c r="K504" s="6" t="s">
        <v>37</v>
      </c>
      <c r="L504" s="6" t="s">
        <v>38</v>
      </c>
      <c r="M504" s="6" t="s">
        <v>39</v>
      </c>
      <c r="N504" s="6">
        <v>4.34</v>
      </c>
      <c r="O504" s="6">
        <v>39</v>
      </c>
    </row>
    <row r="505" spans="1:15" ht="14.25" customHeight="1" x14ac:dyDescent="0.3">
      <c r="A505" s="6" t="s">
        <v>1063</v>
      </c>
      <c r="B505" s="6">
        <v>31</v>
      </c>
      <c r="C505" s="6" t="s">
        <v>25</v>
      </c>
      <c r="D505" s="6" t="s">
        <v>55</v>
      </c>
      <c r="E505" s="6" t="s">
        <v>27</v>
      </c>
      <c r="F505" s="6">
        <v>1504</v>
      </c>
      <c r="G505" s="6">
        <v>87081.07</v>
      </c>
      <c r="H505" s="7">
        <v>41660</v>
      </c>
      <c r="I505" s="6" t="s">
        <v>41</v>
      </c>
      <c r="J505" s="6" t="s">
        <v>1064</v>
      </c>
      <c r="K505" s="6" t="s">
        <v>43</v>
      </c>
      <c r="L505" s="6" t="s">
        <v>44</v>
      </c>
      <c r="M505" s="6" t="s">
        <v>45</v>
      </c>
      <c r="N505" s="6">
        <v>4.82</v>
      </c>
      <c r="O505" s="6">
        <v>113</v>
      </c>
    </row>
    <row r="506" spans="1:15" ht="14.25" customHeight="1" x14ac:dyDescent="0.3">
      <c r="A506" s="6" t="s">
        <v>1065</v>
      </c>
      <c r="B506" s="6">
        <v>48</v>
      </c>
      <c r="C506" s="6" t="s">
        <v>62</v>
      </c>
      <c r="D506" s="6" t="s">
        <v>26</v>
      </c>
      <c r="E506" s="6" t="s">
        <v>18</v>
      </c>
      <c r="F506" s="6">
        <v>1505</v>
      </c>
      <c r="G506" s="6">
        <v>75125.34</v>
      </c>
      <c r="H506" s="7">
        <v>38755</v>
      </c>
      <c r="I506" s="6" t="s">
        <v>49</v>
      </c>
      <c r="J506" s="6" t="s">
        <v>1066</v>
      </c>
      <c r="K506" s="6" t="s">
        <v>51</v>
      </c>
      <c r="L506" s="6" t="s">
        <v>52</v>
      </c>
      <c r="M506" s="6" t="s">
        <v>53</v>
      </c>
      <c r="N506" s="6">
        <v>1.85</v>
      </c>
      <c r="O506" s="6">
        <v>30</v>
      </c>
    </row>
    <row r="507" spans="1:15" ht="14.25" customHeight="1" x14ac:dyDescent="0.3">
      <c r="A507" s="6" t="s">
        <v>1067</v>
      </c>
      <c r="B507" s="6">
        <v>48</v>
      </c>
      <c r="C507" s="6" t="s">
        <v>25</v>
      </c>
      <c r="D507" s="6" t="s">
        <v>47</v>
      </c>
      <c r="E507" s="6" t="s">
        <v>27</v>
      </c>
      <c r="F507" s="6">
        <v>1506</v>
      </c>
      <c r="G507" s="6">
        <v>167094.56</v>
      </c>
      <c r="H507" s="7">
        <v>40911</v>
      </c>
      <c r="I507" s="6" t="s">
        <v>56</v>
      </c>
      <c r="J507" s="6" t="s">
        <v>1068</v>
      </c>
      <c r="K507" s="6" t="s">
        <v>21</v>
      </c>
      <c r="L507" s="6" t="s">
        <v>22</v>
      </c>
      <c r="M507" s="6" t="s">
        <v>23</v>
      </c>
      <c r="N507" s="6">
        <v>4.4000000000000004</v>
      </c>
      <c r="O507" s="6">
        <v>66</v>
      </c>
    </row>
    <row r="508" spans="1:15" ht="14.25" customHeight="1" x14ac:dyDescent="0.3">
      <c r="A508" s="6" t="s">
        <v>1069</v>
      </c>
      <c r="B508" s="6">
        <v>44</v>
      </c>
      <c r="C508" s="6" t="s">
        <v>25</v>
      </c>
      <c r="D508" s="6" t="s">
        <v>47</v>
      </c>
      <c r="E508" s="6" t="s">
        <v>18</v>
      </c>
      <c r="F508" s="6">
        <v>1507</v>
      </c>
      <c r="G508" s="6">
        <v>189006.14</v>
      </c>
      <c r="H508" s="7">
        <v>42616</v>
      </c>
      <c r="I508" s="6" t="s">
        <v>63</v>
      </c>
      <c r="J508" s="6" t="s">
        <v>1070</v>
      </c>
      <c r="K508" s="6" t="s">
        <v>30</v>
      </c>
      <c r="L508" s="6" t="s">
        <v>31</v>
      </c>
      <c r="M508" s="6" t="s">
        <v>32</v>
      </c>
      <c r="N508" s="6">
        <v>2.4900000000000002</v>
      </c>
      <c r="O508" s="6">
        <v>53</v>
      </c>
    </row>
    <row r="509" spans="1:15" ht="14.25" customHeight="1" x14ac:dyDescent="0.3">
      <c r="A509" s="6" t="s">
        <v>1071</v>
      </c>
      <c r="B509" s="6">
        <v>34</v>
      </c>
      <c r="C509" s="6" t="s">
        <v>16</v>
      </c>
      <c r="D509" s="6" t="s">
        <v>17</v>
      </c>
      <c r="E509" s="6" t="s">
        <v>27</v>
      </c>
      <c r="F509" s="6">
        <v>1508</v>
      </c>
      <c r="G509" s="6">
        <v>151604.91</v>
      </c>
      <c r="H509" s="7">
        <v>43728</v>
      </c>
      <c r="I509" s="6" t="s">
        <v>66</v>
      </c>
      <c r="J509" s="6" t="s">
        <v>1072</v>
      </c>
      <c r="K509" s="6" t="s">
        <v>37</v>
      </c>
      <c r="L509" s="6" t="s">
        <v>38</v>
      </c>
      <c r="M509" s="6" t="s">
        <v>39</v>
      </c>
      <c r="N509" s="6">
        <v>3.43</v>
      </c>
      <c r="O509" s="6">
        <v>32</v>
      </c>
    </row>
    <row r="510" spans="1:15" ht="14.25" customHeight="1" x14ac:dyDescent="0.3">
      <c r="A510" s="6" t="s">
        <v>1073</v>
      </c>
      <c r="B510" s="6">
        <v>37</v>
      </c>
      <c r="C510" s="6" t="s">
        <v>25</v>
      </c>
      <c r="D510" s="6" t="s">
        <v>17</v>
      </c>
      <c r="E510" s="6" t="s">
        <v>48</v>
      </c>
      <c r="F510" s="6">
        <v>1509</v>
      </c>
      <c r="G510" s="6">
        <v>168991.2</v>
      </c>
      <c r="H510" s="7">
        <v>43367</v>
      </c>
      <c r="I510" s="6" t="s">
        <v>70</v>
      </c>
      <c r="J510" s="6" t="s">
        <v>1074</v>
      </c>
      <c r="K510" s="6" t="s">
        <v>43</v>
      </c>
      <c r="L510" s="6" t="s">
        <v>44</v>
      </c>
      <c r="M510" s="6" t="s">
        <v>45</v>
      </c>
      <c r="N510" s="6">
        <v>2.39</v>
      </c>
      <c r="O510" s="6">
        <v>156</v>
      </c>
    </row>
    <row r="511" spans="1:15" ht="14.25" customHeight="1" x14ac:dyDescent="0.3">
      <c r="A511" s="6" t="s">
        <v>1075</v>
      </c>
      <c r="B511" s="6">
        <v>56</v>
      </c>
      <c r="C511" s="6" t="s">
        <v>25</v>
      </c>
      <c r="D511" s="6" t="s">
        <v>69</v>
      </c>
      <c r="E511" s="6" t="s">
        <v>48</v>
      </c>
      <c r="F511" s="6">
        <v>1510</v>
      </c>
      <c r="G511" s="6">
        <v>74633.440000000002</v>
      </c>
      <c r="H511" s="7">
        <v>44658</v>
      </c>
      <c r="I511" s="6" t="s">
        <v>73</v>
      </c>
      <c r="J511" s="6" t="s">
        <v>1076</v>
      </c>
      <c r="K511" s="6" t="s">
        <v>51</v>
      </c>
      <c r="L511" s="6" t="s">
        <v>52</v>
      </c>
      <c r="M511" s="6" t="s">
        <v>53</v>
      </c>
      <c r="N511" s="6">
        <v>4.1900000000000004</v>
      </c>
      <c r="O511" s="6">
        <v>128</v>
      </c>
    </row>
    <row r="512" spans="1:15" ht="14.25" customHeight="1" x14ac:dyDescent="0.3">
      <c r="A512" s="6" t="s">
        <v>1077</v>
      </c>
      <c r="B512" s="6">
        <v>48</v>
      </c>
      <c r="C512" s="6" t="s">
        <v>16</v>
      </c>
      <c r="D512" s="6" t="s">
        <v>69</v>
      </c>
      <c r="E512" s="6" t="s">
        <v>18</v>
      </c>
      <c r="F512" s="6">
        <v>1511</v>
      </c>
      <c r="G512" s="6">
        <v>115998.24</v>
      </c>
      <c r="H512" s="7">
        <v>44220</v>
      </c>
      <c r="I512" s="6" t="s">
        <v>19</v>
      </c>
      <c r="J512" s="6" t="s">
        <v>1078</v>
      </c>
      <c r="K512" s="6" t="s">
        <v>21</v>
      </c>
      <c r="L512" s="6" t="s">
        <v>22</v>
      </c>
      <c r="M512" s="6" t="s">
        <v>23</v>
      </c>
      <c r="N512" s="6">
        <v>1.1100000000000001</v>
      </c>
      <c r="O512" s="6">
        <v>9</v>
      </c>
    </row>
    <row r="513" spans="1:15" ht="14.25" customHeight="1" x14ac:dyDescent="0.3">
      <c r="A513" s="6" t="s">
        <v>1079</v>
      </c>
      <c r="B513" s="6">
        <v>60</v>
      </c>
      <c r="C513" s="6" t="s">
        <v>16</v>
      </c>
      <c r="D513" s="6" t="s">
        <v>47</v>
      </c>
      <c r="E513" s="6" t="s">
        <v>18</v>
      </c>
      <c r="F513" s="6">
        <v>1512</v>
      </c>
      <c r="G513" s="6">
        <v>65451.54</v>
      </c>
      <c r="H513" s="7">
        <v>38414</v>
      </c>
      <c r="I513" s="6" t="s">
        <v>28</v>
      </c>
      <c r="J513" s="6" t="s">
        <v>1080</v>
      </c>
      <c r="K513" s="6" t="s">
        <v>30</v>
      </c>
      <c r="L513" s="6" t="s">
        <v>31</v>
      </c>
      <c r="M513" s="6" t="s">
        <v>32</v>
      </c>
      <c r="N513" s="6">
        <v>2.62</v>
      </c>
      <c r="O513" s="6">
        <v>146</v>
      </c>
    </row>
    <row r="514" spans="1:15" ht="14.25" customHeight="1" x14ac:dyDescent="0.3">
      <c r="A514" s="6" t="s">
        <v>1081</v>
      </c>
      <c r="B514" s="6">
        <v>38</v>
      </c>
      <c r="C514" s="6" t="s">
        <v>16</v>
      </c>
      <c r="D514" s="6" t="s">
        <v>26</v>
      </c>
      <c r="E514" s="6" t="s">
        <v>18</v>
      </c>
      <c r="F514" s="6">
        <v>1513</v>
      </c>
      <c r="G514" s="6">
        <v>188640.81</v>
      </c>
      <c r="H514" s="7">
        <v>42642</v>
      </c>
      <c r="I514" s="6" t="s">
        <v>35</v>
      </c>
      <c r="J514" s="6" t="s">
        <v>1082</v>
      </c>
      <c r="K514" s="6" t="s">
        <v>37</v>
      </c>
      <c r="L514" s="6" t="s">
        <v>38</v>
      </c>
      <c r="M514" s="6" t="s">
        <v>39</v>
      </c>
      <c r="N514" s="6">
        <v>2.4500000000000002</v>
      </c>
      <c r="O514" s="6">
        <v>25</v>
      </c>
    </row>
    <row r="515" spans="1:15" ht="14.25" customHeight="1" x14ac:dyDescent="0.3">
      <c r="A515" s="6" t="s">
        <v>1083</v>
      </c>
      <c r="B515" s="6">
        <v>62</v>
      </c>
      <c r="C515" s="6" t="s">
        <v>25</v>
      </c>
      <c r="D515" s="6" t="s">
        <v>55</v>
      </c>
      <c r="E515" s="6" t="s">
        <v>27</v>
      </c>
      <c r="F515" s="6">
        <v>1514</v>
      </c>
      <c r="G515" s="6">
        <v>152927.76</v>
      </c>
      <c r="H515" s="7">
        <v>37902</v>
      </c>
      <c r="I515" s="6" t="s">
        <v>41</v>
      </c>
      <c r="J515" s="6" t="s">
        <v>1084</v>
      </c>
      <c r="K515" s="6" t="s">
        <v>43</v>
      </c>
      <c r="L515" s="6" t="s">
        <v>44</v>
      </c>
      <c r="M515" s="6" t="s">
        <v>45</v>
      </c>
      <c r="N515" s="6">
        <v>3.57</v>
      </c>
      <c r="O515" s="6">
        <v>7</v>
      </c>
    </row>
    <row r="516" spans="1:15" ht="14.25" customHeight="1" x14ac:dyDescent="0.3">
      <c r="A516" s="6" t="s">
        <v>1085</v>
      </c>
      <c r="B516" s="6">
        <v>22</v>
      </c>
      <c r="C516" s="6" t="s">
        <v>25</v>
      </c>
      <c r="D516" s="6" t="s">
        <v>47</v>
      </c>
      <c r="E516" s="6" t="s">
        <v>34</v>
      </c>
      <c r="F516" s="6">
        <v>1515</v>
      </c>
      <c r="G516" s="6">
        <v>65150.71</v>
      </c>
      <c r="H516" s="7">
        <v>37496</v>
      </c>
      <c r="I516" s="6" t="s">
        <v>49</v>
      </c>
      <c r="J516" s="6" t="s">
        <v>1086</v>
      </c>
      <c r="K516" s="6" t="s">
        <v>51</v>
      </c>
      <c r="L516" s="6" t="s">
        <v>52</v>
      </c>
      <c r="M516" s="6" t="s">
        <v>53</v>
      </c>
      <c r="N516" s="6">
        <v>1.75</v>
      </c>
      <c r="O516" s="6">
        <v>111</v>
      </c>
    </row>
    <row r="517" spans="1:15" ht="14.25" customHeight="1" x14ac:dyDescent="0.3">
      <c r="A517" s="6" t="s">
        <v>1087</v>
      </c>
      <c r="B517" s="6">
        <v>32</v>
      </c>
      <c r="C517" s="6" t="s">
        <v>25</v>
      </c>
      <c r="D517" s="6" t="s">
        <v>17</v>
      </c>
      <c r="E517" s="6" t="s">
        <v>18</v>
      </c>
      <c r="F517" s="6">
        <v>1516</v>
      </c>
      <c r="G517" s="6">
        <v>160695.57</v>
      </c>
      <c r="H517" s="7">
        <v>43628</v>
      </c>
      <c r="I517" s="6" t="s">
        <v>56</v>
      </c>
      <c r="J517" s="6" t="s">
        <v>1088</v>
      </c>
      <c r="K517" s="6" t="s">
        <v>21</v>
      </c>
      <c r="L517" s="6" t="s">
        <v>22</v>
      </c>
      <c r="M517" s="6" t="s">
        <v>23</v>
      </c>
      <c r="N517" s="6">
        <v>3.65</v>
      </c>
      <c r="O517" s="6">
        <v>7</v>
      </c>
    </row>
    <row r="518" spans="1:15" ht="14.25" customHeight="1" x14ac:dyDescent="0.3">
      <c r="A518" s="6" t="s">
        <v>1089</v>
      </c>
      <c r="B518" s="6">
        <v>33</v>
      </c>
      <c r="C518" s="6" t="s">
        <v>25</v>
      </c>
      <c r="D518" s="6" t="s">
        <v>17</v>
      </c>
      <c r="E518" s="6" t="s">
        <v>18</v>
      </c>
      <c r="F518" s="6">
        <v>1517</v>
      </c>
      <c r="G518" s="6">
        <v>95513.48</v>
      </c>
      <c r="H518" s="7">
        <v>42012</v>
      </c>
      <c r="I518" s="6" t="s">
        <v>63</v>
      </c>
      <c r="J518" s="6" t="s">
        <v>1090</v>
      </c>
      <c r="K518" s="6" t="s">
        <v>30</v>
      </c>
      <c r="L518" s="6" t="s">
        <v>31</v>
      </c>
      <c r="M518" s="6" t="s">
        <v>32</v>
      </c>
      <c r="N518" s="6">
        <v>2.2200000000000002</v>
      </c>
      <c r="O518" s="6">
        <v>91</v>
      </c>
    </row>
    <row r="519" spans="1:15" ht="14.25" customHeight="1" x14ac:dyDescent="0.3">
      <c r="A519" s="6" t="s">
        <v>1091</v>
      </c>
      <c r="B519" s="6">
        <v>35</v>
      </c>
      <c r="C519" s="6" t="s">
        <v>25</v>
      </c>
      <c r="D519" s="6" t="s">
        <v>17</v>
      </c>
      <c r="E519" s="6" t="s">
        <v>80</v>
      </c>
      <c r="F519" s="6">
        <v>1518</v>
      </c>
      <c r="G519" s="6">
        <v>188053.94</v>
      </c>
      <c r="H519" s="7">
        <v>43774</v>
      </c>
      <c r="I519" s="6" t="s">
        <v>66</v>
      </c>
      <c r="J519" s="6" t="s">
        <v>1092</v>
      </c>
      <c r="K519" s="6" t="s">
        <v>37</v>
      </c>
      <c r="L519" s="6" t="s">
        <v>38</v>
      </c>
      <c r="M519" s="6" t="s">
        <v>39</v>
      </c>
      <c r="N519" s="6">
        <v>1.04</v>
      </c>
      <c r="O519" s="6">
        <v>140</v>
      </c>
    </row>
    <row r="520" spans="1:15" ht="14.25" customHeight="1" x14ac:dyDescent="0.3">
      <c r="A520" s="6" t="s">
        <v>1093</v>
      </c>
      <c r="B520" s="6">
        <v>29</v>
      </c>
      <c r="C520" s="6" t="s">
        <v>25</v>
      </c>
      <c r="D520" s="6" t="s">
        <v>55</v>
      </c>
      <c r="E520" s="6" t="s">
        <v>18</v>
      </c>
      <c r="F520" s="6">
        <v>1519</v>
      </c>
      <c r="G520" s="6">
        <v>59547.38</v>
      </c>
      <c r="H520" s="7">
        <v>41936</v>
      </c>
      <c r="I520" s="6" t="s">
        <v>70</v>
      </c>
      <c r="J520" s="6" t="s">
        <v>1094</v>
      </c>
      <c r="K520" s="6" t="s">
        <v>43</v>
      </c>
      <c r="L520" s="6" t="s">
        <v>44</v>
      </c>
      <c r="M520" s="6" t="s">
        <v>45</v>
      </c>
      <c r="N520" s="6">
        <v>4.95</v>
      </c>
      <c r="O520" s="6">
        <v>189</v>
      </c>
    </row>
    <row r="521" spans="1:15" ht="14.25" customHeight="1" x14ac:dyDescent="0.3">
      <c r="A521" s="6" t="s">
        <v>1095</v>
      </c>
      <c r="B521" s="6">
        <v>52</v>
      </c>
      <c r="C521" s="6" t="s">
        <v>16</v>
      </c>
      <c r="D521" s="6" t="s">
        <v>17</v>
      </c>
      <c r="E521" s="6" t="s">
        <v>34</v>
      </c>
      <c r="F521" s="6">
        <v>1520</v>
      </c>
      <c r="G521" s="6">
        <v>96702.42</v>
      </c>
      <c r="H521" s="7">
        <v>43815</v>
      </c>
      <c r="I521" s="6" t="s">
        <v>73</v>
      </c>
      <c r="J521" s="6" t="s">
        <v>1096</v>
      </c>
      <c r="K521" s="6" t="s">
        <v>51</v>
      </c>
      <c r="L521" s="6" t="s">
        <v>52</v>
      </c>
      <c r="M521" s="6" t="s">
        <v>53</v>
      </c>
      <c r="N521" s="6">
        <v>4.1399999999999997</v>
      </c>
      <c r="O521" s="6">
        <v>88</v>
      </c>
    </row>
    <row r="522" spans="1:15" ht="14.25" customHeight="1" x14ac:dyDescent="0.3">
      <c r="A522" s="6" t="s">
        <v>1097</v>
      </c>
      <c r="B522" s="6">
        <v>28</v>
      </c>
      <c r="C522" s="6" t="s">
        <v>16</v>
      </c>
      <c r="D522" s="6" t="s">
        <v>17</v>
      </c>
      <c r="E522" s="6" t="s">
        <v>48</v>
      </c>
      <c r="F522" s="6">
        <v>1521</v>
      </c>
      <c r="G522" s="6">
        <v>177881.94</v>
      </c>
      <c r="H522" s="7">
        <v>44233</v>
      </c>
      <c r="I522" s="6" t="s">
        <v>19</v>
      </c>
      <c r="J522" s="6" t="s">
        <v>1098</v>
      </c>
      <c r="K522" s="6" t="s">
        <v>21</v>
      </c>
      <c r="L522" s="6" t="s">
        <v>22</v>
      </c>
      <c r="M522" s="6" t="s">
        <v>23</v>
      </c>
      <c r="N522" s="6">
        <v>4.9400000000000004</v>
      </c>
      <c r="O522" s="6">
        <v>96</v>
      </c>
    </row>
    <row r="523" spans="1:15" ht="14.25" customHeight="1" x14ac:dyDescent="0.3">
      <c r="A523" s="6" t="s">
        <v>1099</v>
      </c>
      <c r="B523" s="6">
        <v>52</v>
      </c>
      <c r="C523" s="6" t="s">
        <v>25</v>
      </c>
      <c r="D523" s="6" t="s">
        <v>69</v>
      </c>
      <c r="E523" s="6" t="s">
        <v>80</v>
      </c>
      <c r="F523" s="6">
        <v>1522</v>
      </c>
      <c r="G523" s="6">
        <v>65496.39</v>
      </c>
      <c r="H523" s="7">
        <v>41207</v>
      </c>
      <c r="I523" s="6" t="s">
        <v>28</v>
      </c>
      <c r="J523" s="6" t="s">
        <v>1100</v>
      </c>
      <c r="K523" s="6" t="s">
        <v>30</v>
      </c>
      <c r="L523" s="6" t="s">
        <v>31</v>
      </c>
      <c r="M523" s="6" t="s">
        <v>32</v>
      </c>
      <c r="N523" s="6">
        <v>4.8</v>
      </c>
      <c r="O523" s="6">
        <v>81</v>
      </c>
    </row>
    <row r="524" spans="1:15" ht="14.25" customHeight="1" x14ac:dyDescent="0.3">
      <c r="A524" s="6" t="s">
        <v>1101</v>
      </c>
      <c r="B524" s="6">
        <v>37</v>
      </c>
      <c r="C524" s="6" t="s">
        <v>62</v>
      </c>
      <c r="D524" s="6" t="s">
        <v>26</v>
      </c>
      <c r="E524" s="6" t="s">
        <v>80</v>
      </c>
      <c r="F524" s="6">
        <v>1523</v>
      </c>
      <c r="G524" s="6">
        <v>91073.46</v>
      </c>
      <c r="H524" s="7">
        <v>44639</v>
      </c>
      <c r="I524" s="6" t="s">
        <v>35</v>
      </c>
      <c r="J524" s="6" t="s">
        <v>1102</v>
      </c>
      <c r="K524" s="6" t="s">
        <v>37</v>
      </c>
      <c r="L524" s="6" t="s">
        <v>38</v>
      </c>
      <c r="M524" s="6" t="s">
        <v>39</v>
      </c>
      <c r="N524" s="6">
        <v>2.91</v>
      </c>
      <c r="O524" s="6">
        <v>30</v>
      </c>
    </row>
    <row r="525" spans="1:15" ht="14.25" customHeight="1" x14ac:dyDescent="0.3">
      <c r="A525" s="6" t="s">
        <v>1103</v>
      </c>
      <c r="B525" s="6">
        <v>63</v>
      </c>
      <c r="C525" s="6" t="s">
        <v>16</v>
      </c>
      <c r="D525" s="6" t="s">
        <v>26</v>
      </c>
      <c r="E525" s="6" t="s">
        <v>80</v>
      </c>
      <c r="F525" s="6">
        <v>1524</v>
      </c>
      <c r="G525" s="6">
        <v>76208.539999999994</v>
      </c>
      <c r="H525" s="7">
        <v>39267</v>
      </c>
      <c r="I525" s="6" t="s">
        <v>41</v>
      </c>
      <c r="J525" s="6" t="s">
        <v>1104</v>
      </c>
      <c r="K525" s="6" t="s">
        <v>43</v>
      </c>
      <c r="L525" s="6" t="s">
        <v>44</v>
      </c>
      <c r="M525" s="6" t="s">
        <v>45</v>
      </c>
      <c r="N525" s="6">
        <v>2.19</v>
      </c>
      <c r="O525" s="6">
        <v>110</v>
      </c>
    </row>
    <row r="526" spans="1:15" ht="14.25" customHeight="1" x14ac:dyDescent="0.3">
      <c r="A526" s="6" t="s">
        <v>1105</v>
      </c>
      <c r="B526" s="6">
        <v>60</v>
      </c>
      <c r="C526" s="6" t="s">
        <v>25</v>
      </c>
      <c r="D526" s="6" t="s">
        <v>55</v>
      </c>
      <c r="E526" s="6" t="s">
        <v>48</v>
      </c>
      <c r="F526" s="6">
        <v>1525</v>
      </c>
      <c r="G526" s="6">
        <v>183878.99</v>
      </c>
      <c r="H526" s="7">
        <v>39596</v>
      </c>
      <c r="I526" s="6" t="s">
        <v>49</v>
      </c>
      <c r="J526" s="6" t="s">
        <v>1106</v>
      </c>
      <c r="K526" s="6" t="s">
        <v>51</v>
      </c>
      <c r="L526" s="6" t="s">
        <v>52</v>
      </c>
      <c r="M526" s="6" t="s">
        <v>53</v>
      </c>
      <c r="N526" s="6">
        <v>4.58</v>
      </c>
      <c r="O526" s="6">
        <v>37</v>
      </c>
    </row>
    <row r="527" spans="1:15" ht="14.25" customHeight="1" x14ac:dyDescent="0.3">
      <c r="A527" s="6" t="s">
        <v>1107</v>
      </c>
      <c r="B527" s="6">
        <v>40</v>
      </c>
      <c r="C527" s="6" t="s">
        <v>16</v>
      </c>
      <c r="D527" s="6" t="s">
        <v>17</v>
      </c>
      <c r="E527" s="6" t="s">
        <v>27</v>
      </c>
      <c r="F527" s="6">
        <v>1526</v>
      </c>
      <c r="G527" s="6">
        <v>121979.56</v>
      </c>
      <c r="H527" s="7">
        <v>38626</v>
      </c>
      <c r="I527" s="6" t="s">
        <v>56</v>
      </c>
      <c r="J527" s="6" t="s">
        <v>1108</v>
      </c>
      <c r="K527" s="6" t="s">
        <v>21</v>
      </c>
      <c r="L527" s="6" t="s">
        <v>22</v>
      </c>
      <c r="M527" s="6" t="s">
        <v>23</v>
      </c>
      <c r="N527" s="6">
        <v>1.08</v>
      </c>
      <c r="O527" s="6">
        <v>90</v>
      </c>
    </row>
    <row r="528" spans="1:15" ht="14.25" customHeight="1" x14ac:dyDescent="0.3">
      <c r="A528" s="6" t="s">
        <v>1109</v>
      </c>
      <c r="B528" s="6">
        <v>29</v>
      </c>
      <c r="C528" s="6" t="s">
        <v>62</v>
      </c>
      <c r="D528" s="6" t="s">
        <v>69</v>
      </c>
      <c r="E528" s="6" t="s">
        <v>27</v>
      </c>
      <c r="F528" s="6">
        <v>1527</v>
      </c>
      <c r="G528" s="6">
        <v>178407.2</v>
      </c>
      <c r="H528" s="7">
        <v>41795</v>
      </c>
      <c r="I528" s="6" t="s">
        <v>63</v>
      </c>
      <c r="J528" s="6" t="s">
        <v>1110</v>
      </c>
      <c r="K528" s="6" t="s">
        <v>30</v>
      </c>
      <c r="L528" s="6" t="s">
        <v>31</v>
      </c>
      <c r="M528" s="6" t="s">
        <v>32</v>
      </c>
      <c r="N528" s="6">
        <v>1.83</v>
      </c>
      <c r="O528" s="6">
        <v>102</v>
      </c>
    </row>
    <row r="529" spans="1:15" ht="14.25" customHeight="1" x14ac:dyDescent="0.3">
      <c r="A529" s="6" t="s">
        <v>1111</v>
      </c>
      <c r="B529" s="6">
        <v>50</v>
      </c>
      <c r="C529" s="6" t="s">
        <v>16</v>
      </c>
      <c r="D529" s="6" t="s">
        <v>26</v>
      </c>
      <c r="E529" s="6" t="s">
        <v>48</v>
      </c>
      <c r="F529" s="6">
        <v>1528</v>
      </c>
      <c r="G529" s="6">
        <v>98966.52</v>
      </c>
      <c r="H529" s="7">
        <v>40470</v>
      </c>
      <c r="I529" s="6" t="s">
        <v>66</v>
      </c>
      <c r="J529" s="6" t="s">
        <v>1112</v>
      </c>
      <c r="K529" s="6" t="s">
        <v>37</v>
      </c>
      <c r="L529" s="6" t="s">
        <v>38</v>
      </c>
      <c r="M529" s="6" t="s">
        <v>39</v>
      </c>
      <c r="N529" s="6">
        <v>3.19</v>
      </c>
      <c r="O529" s="6">
        <v>146</v>
      </c>
    </row>
    <row r="530" spans="1:15" ht="14.25" customHeight="1" x14ac:dyDescent="0.3">
      <c r="A530" s="6" t="s">
        <v>1113</v>
      </c>
      <c r="B530" s="6">
        <v>23</v>
      </c>
      <c r="C530" s="6" t="s">
        <v>16</v>
      </c>
      <c r="D530" s="6" t="s">
        <v>55</v>
      </c>
      <c r="E530" s="6" t="s">
        <v>80</v>
      </c>
      <c r="F530" s="6">
        <v>1529</v>
      </c>
      <c r="G530" s="6">
        <v>150357.47</v>
      </c>
      <c r="H530" s="7">
        <v>36554</v>
      </c>
      <c r="I530" s="6" t="s">
        <v>70</v>
      </c>
      <c r="J530" s="6" t="s">
        <v>1114</v>
      </c>
      <c r="K530" s="6" t="s">
        <v>43</v>
      </c>
      <c r="L530" s="6" t="s">
        <v>44</v>
      </c>
      <c r="M530" s="6" t="s">
        <v>45</v>
      </c>
      <c r="N530" s="6">
        <v>1.78</v>
      </c>
      <c r="O530" s="6">
        <v>147</v>
      </c>
    </row>
    <row r="531" spans="1:15" ht="14.25" customHeight="1" x14ac:dyDescent="0.3">
      <c r="A531" s="6" t="s">
        <v>1115</v>
      </c>
      <c r="B531" s="6">
        <v>63</v>
      </c>
      <c r="C531" s="6" t="s">
        <v>16</v>
      </c>
      <c r="D531" s="6" t="s">
        <v>69</v>
      </c>
      <c r="E531" s="6" t="s">
        <v>34</v>
      </c>
      <c r="F531" s="6">
        <v>1530</v>
      </c>
      <c r="G531" s="6">
        <v>65094.53</v>
      </c>
      <c r="H531" s="7">
        <v>37831</v>
      </c>
      <c r="I531" s="6" t="s">
        <v>73</v>
      </c>
      <c r="J531" s="6" t="s">
        <v>1116</v>
      </c>
      <c r="K531" s="6" t="s">
        <v>51</v>
      </c>
      <c r="L531" s="6" t="s">
        <v>52</v>
      </c>
      <c r="M531" s="6" t="s">
        <v>53</v>
      </c>
      <c r="N531" s="6">
        <v>2.5099999999999998</v>
      </c>
      <c r="O531" s="6">
        <v>174</v>
      </c>
    </row>
    <row r="532" spans="1:15" ht="14.25" customHeight="1" x14ac:dyDescent="0.3">
      <c r="A532" s="6" t="s">
        <v>1117</v>
      </c>
      <c r="B532" s="6">
        <v>24</v>
      </c>
      <c r="C532" s="6" t="s">
        <v>16</v>
      </c>
      <c r="D532" s="6" t="s">
        <v>17</v>
      </c>
      <c r="E532" s="6" t="s">
        <v>48</v>
      </c>
      <c r="F532" s="6">
        <v>1531</v>
      </c>
      <c r="G532" s="6">
        <v>114556.85</v>
      </c>
      <c r="H532" s="7">
        <v>44137</v>
      </c>
      <c r="I532" s="6" t="s">
        <v>19</v>
      </c>
      <c r="J532" s="6" t="s">
        <v>1118</v>
      </c>
      <c r="K532" s="6" t="s">
        <v>21</v>
      </c>
      <c r="L532" s="6" t="s">
        <v>22</v>
      </c>
      <c r="M532" s="6" t="s">
        <v>23</v>
      </c>
      <c r="N532" s="6">
        <v>3.38</v>
      </c>
      <c r="O532" s="6">
        <v>119</v>
      </c>
    </row>
    <row r="533" spans="1:15" ht="14.25" customHeight="1" x14ac:dyDescent="0.3">
      <c r="A533" s="6" t="s">
        <v>1119</v>
      </c>
      <c r="B533" s="6">
        <v>50</v>
      </c>
      <c r="C533" s="6" t="s">
        <v>25</v>
      </c>
      <c r="D533" s="6" t="s">
        <v>55</v>
      </c>
      <c r="E533" s="6" t="s">
        <v>80</v>
      </c>
      <c r="F533" s="6">
        <v>1532</v>
      </c>
      <c r="G533" s="6">
        <v>88674.65</v>
      </c>
      <c r="H533" s="7">
        <v>44180</v>
      </c>
      <c r="I533" s="6" t="s">
        <v>28</v>
      </c>
      <c r="J533" s="6" t="s">
        <v>1120</v>
      </c>
      <c r="K533" s="6" t="s">
        <v>30</v>
      </c>
      <c r="L533" s="6" t="s">
        <v>31</v>
      </c>
      <c r="M533" s="6" t="s">
        <v>32</v>
      </c>
      <c r="N533" s="6">
        <v>4.55</v>
      </c>
      <c r="O533" s="6">
        <v>151</v>
      </c>
    </row>
    <row r="534" spans="1:15" ht="14.25" customHeight="1" x14ac:dyDescent="0.3">
      <c r="A534" s="6" t="s">
        <v>1121</v>
      </c>
      <c r="B534" s="6">
        <v>36</v>
      </c>
      <c r="C534" s="6" t="s">
        <v>62</v>
      </c>
      <c r="D534" s="6" t="s">
        <v>69</v>
      </c>
      <c r="E534" s="6" t="s">
        <v>80</v>
      </c>
      <c r="F534" s="6">
        <v>1533</v>
      </c>
      <c r="G534" s="6">
        <v>90758.03</v>
      </c>
      <c r="H534" s="7">
        <v>39424</v>
      </c>
      <c r="I534" s="6" t="s">
        <v>35</v>
      </c>
      <c r="J534" s="6" t="s">
        <v>1122</v>
      </c>
      <c r="K534" s="6" t="s">
        <v>37</v>
      </c>
      <c r="L534" s="6" t="s">
        <v>38</v>
      </c>
      <c r="M534" s="6" t="s">
        <v>39</v>
      </c>
      <c r="N534" s="6">
        <v>4.33</v>
      </c>
      <c r="O534" s="6">
        <v>60</v>
      </c>
    </row>
    <row r="535" spans="1:15" ht="14.25" customHeight="1" x14ac:dyDescent="0.3">
      <c r="A535" s="6" t="s">
        <v>1123</v>
      </c>
      <c r="B535" s="6">
        <v>59</v>
      </c>
      <c r="C535" s="6" t="s">
        <v>25</v>
      </c>
      <c r="D535" s="6" t="s">
        <v>26</v>
      </c>
      <c r="E535" s="6" t="s">
        <v>18</v>
      </c>
      <c r="F535" s="6">
        <v>1534</v>
      </c>
      <c r="G535" s="6">
        <v>67876.03</v>
      </c>
      <c r="H535" s="7">
        <v>38614</v>
      </c>
      <c r="I535" s="6" t="s">
        <v>41</v>
      </c>
      <c r="J535" s="6" t="s">
        <v>1124</v>
      </c>
      <c r="K535" s="6" t="s">
        <v>43</v>
      </c>
      <c r="L535" s="6" t="s">
        <v>44</v>
      </c>
      <c r="M535" s="6" t="s">
        <v>45</v>
      </c>
      <c r="N535" s="6">
        <v>4.1500000000000004</v>
      </c>
      <c r="O535" s="6">
        <v>3</v>
      </c>
    </row>
    <row r="536" spans="1:15" ht="14.25" customHeight="1" x14ac:dyDescent="0.3">
      <c r="A536" s="6" t="s">
        <v>1125</v>
      </c>
      <c r="B536" s="6">
        <v>49</v>
      </c>
      <c r="C536" s="6" t="s">
        <v>16</v>
      </c>
      <c r="D536" s="6" t="s">
        <v>47</v>
      </c>
      <c r="E536" s="6" t="s">
        <v>48</v>
      </c>
      <c r="F536" s="6">
        <v>1535</v>
      </c>
      <c r="G536" s="6">
        <v>108246.99</v>
      </c>
      <c r="H536" s="7">
        <v>42415</v>
      </c>
      <c r="I536" s="6" t="s">
        <v>49</v>
      </c>
      <c r="J536" s="6" t="s">
        <v>1126</v>
      </c>
      <c r="K536" s="6" t="s">
        <v>51</v>
      </c>
      <c r="L536" s="6" t="s">
        <v>52</v>
      </c>
      <c r="M536" s="6" t="s">
        <v>53</v>
      </c>
      <c r="N536" s="6">
        <v>3.43</v>
      </c>
      <c r="O536" s="6">
        <v>102</v>
      </c>
    </row>
    <row r="537" spans="1:15" ht="14.25" customHeight="1" x14ac:dyDescent="0.3">
      <c r="A537" s="6" t="s">
        <v>1127</v>
      </c>
      <c r="B537" s="6">
        <v>58</v>
      </c>
      <c r="C537" s="6" t="s">
        <v>16</v>
      </c>
      <c r="D537" s="6" t="s">
        <v>26</v>
      </c>
      <c r="E537" s="6" t="s">
        <v>27</v>
      </c>
      <c r="F537" s="6">
        <v>1536</v>
      </c>
      <c r="G537" s="6">
        <v>75886.649999999994</v>
      </c>
      <c r="H537" s="7">
        <v>44254</v>
      </c>
      <c r="I537" s="6" t="s">
        <v>56</v>
      </c>
      <c r="J537" s="6" t="s">
        <v>1128</v>
      </c>
      <c r="K537" s="6" t="s">
        <v>21</v>
      </c>
      <c r="L537" s="6" t="s">
        <v>22</v>
      </c>
      <c r="M537" s="6" t="s">
        <v>23</v>
      </c>
      <c r="N537" s="6">
        <v>4.0999999999999996</v>
      </c>
      <c r="O537" s="6">
        <v>175</v>
      </c>
    </row>
    <row r="538" spans="1:15" ht="14.25" customHeight="1" x14ac:dyDescent="0.3">
      <c r="A538" s="6" t="s">
        <v>1129</v>
      </c>
      <c r="B538" s="6">
        <v>53</v>
      </c>
      <c r="C538" s="6" t="s">
        <v>16</v>
      </c>
      <c r="D538" s="6" t="s">
        <v>47</v>
      </c>
      <c r="E538" s="6" t="s">
        <v>80</v>
      </c>
      <c r="F538" s="6">
        <v>1537</v>
      </c>
      <c r="G538" s="6">
        <v>152481.53</v>
      </c>
      <c r="H538" s="7">
        <v>38762</v>
      </c>
      <c r="I538" s="6" t="s">
        <v>63</v>
      </c>
      <c r="J538" s="6" t="s">
        <v>1130</v>
      </c>
      <c r="K538" s="6" t="s">
        <v>30</v>
      </c>
      <c r="L538" s="6" t="s">
        <v>31</v>
      </c>
      <c r="M538" s="6" t="s">
        <v>32</v>
      </c>
      <c r="N538" s="6">
        <v>1.65</v>
      </c>
      <c r="O538" s="6">
        <v>10</v>
      </c>
    </row>
    <row r="539" spans="1:15" ht="14.25" customHeight="1" x14ac:dyDescent="0.3">
      <c r="A539" s="6" t="s">
        <v>1131</v>
      </c>
      <c r="B539" s="6">
        <v>51</v>
      </c>
      <c r="C539" s="6" t="s">
        <v>62</v>
      </c>
      <c r="D539" s="6" t="s">
        <v>55</v>
      </c>
      <c r="E539" s="6" t="s">
        <v>27</v>
      </c>
      <c r="F539" s="6">
        <v>1538</v>
      </c>
      <c r="G539" s="6">
        <v>127607.52</v>
      </c>
      <c r="H539" s="7">
        <v>42063</v>
      </c>
      <c r="I539" s="6" t="s">
        <v>66</v>
      </c>
      <c r="J539" s="6" t="s">
        <v>1132</v>
      </c>
      <c r="K539" s="6" t="s">
        <v>37</v>
      </c>
      <c r="L539" s="6" t="s">
        <v>38</v>
      </c>
      <c r="M539" s="6" t="s">
        <v>39</v>
      </c>
      <c r="N539" s="6">
        <v>4.34</v>
      </c>
      <c r="O539" s="6">
        <v>169</v>
      </c>
    </row>
    <row r="540" spans="1:15" ht="14.25" customHeight="1" x14ac:dyDescent="0.3">
      <c r="A540" s="6" t="s">
        <v>1133</v>
      </c>
      <c r="B540" s="6">
        <v>51</v>
      </c>
      <c r="C540" s="6" t="s">
        <v>62</v>
      </c>
      <c r="D540" s="6" t="s">
        <v>69</v>
      </c>
      <c r="E540" s="6" t="s">
        <v>27</v>
      </c>
      <c r="F540" s="6">
        <v>1539</v>
      </c>
      <c r="G540" s="6">
        <v>118750.39999999999</v>
      </c>
      <c r="H540" s="7">
        <v>41771</v>
      </c>
      <c r="I540" s="6" t="s">
        <v>70</v>
      </c>
      <c r="J540" s="6" t="s">
        <v>1134</v>
      </c>
      <c r="K540" s="6" t="s">
        <v>43</v>
      </c>
      <c r="L540" s="6" t="s">
        <v>44</v>
      </c>
      <c r="M540" s="6" t="s">
        <v>45</v>
      </c>
      <c r="N540" s="6">
        <v>2.23</v>
      </c>
      <c r="O540" s="6">
        <v>179</v>
      </c>
    </row>
    <row r="541" spans="1:15" ht="14.25" customHeight="1" x14ac:dyDescent="0.3">
      <c r="A541" s="6" t="s">
        <v>1135</v>
      </c>
      <c r="B541" s="6">
        <v>55</v>
      </c>
      <c r="C541" s="6" t="s">
        <v>25</v>
      </c>
      <c r="D541" s="6" t="s">
        <v>69</v>
      </c>
      <c r="E541" s="6" t="s">
        <v>18</v>
      </c>
      <c r="F541" s="6">
        <v>1540</v>
      </c>
      <c r="G541" s="6">
        <v>181100.9</v>
      </c>
      <c r="H541" s="7">
        <v>39509</v>
      </c>
      <c r="I541" s="6" t="s">
        <v>73</v>
      </c>
      <c r="J541" s="6" t="s">
        <v>1136</v>
      </c>
      <c r="K541" s="6" t="s">
        <v>51</v>
      </c>
      <c r="L541" s="6" t="s">
        <v>52</v>
      </c>
      <c r="M541" s="6" t="s">
        <v>53</v>
      </c>
      <c r="N541" s="6">
        <v>1.67</v>
      </c>
      <c r="O541" s="6">
        <v>194</v>
      </c>
    </row>
    <row r="542" spans="1:15" ht="14.25" customHeight="1" x14ac:dyDescent="0.3">
      <c r="A542" s="6" t="s">
        <v>1137</v>
      </c>
      <c r="B542" s="6">
        <v>34</v>
      </c>
      <c r="C542" s="6" t="s">
        <v>16</v>
      </c>
      <c r="D542" s="6" t="s">
        <v>69</v>
      </c>
      <c r="E542" s="6" t="s">
        <v>18</v>
      </c>
      <c r="F542" s="6">
        <v>1541</v>
      </c>
      <c r="G542" s="6">
        <v>77795.33</v>
      </c>
      <c r="H542" s="7">
        <v>36937</v>
      </c>
      <c r="I542" s="6" t="s">
        <v>19</v>
      </c>
      <c r="J542" s="6" t="s">
        <v>1138</v>
      </c>
      <c r="K542" s="6" t="s">
        <v>21</v>
      </c>
      <c r="L542" s="6" t="s">
        <v>22</v>
      </c>
      <c r="M542" s="6" t="s">
        <v>23</v>
      </c>
      <c r="N542" s="6">
        <v>2.56</v>
      </c>
      <c r="O542" s="6">
        <v>156</v>
      </c>
    </row>
    <row r="543" spans="1:15" ht="14.25" customHeight="1" x14ac:dyDescent="0.3">
      <c r="A543" s="6" t="s">
        <v>1139</v>
      </c>
      <c r="B543" s="6">
        <v>54</v>
      </c>
      <c r="C543" s="6" t="s">
        <v>62</v>
      </c>
      <c r="D543" s="6" t="s">
        <v>17</v>
      </c>
      <c r="E543" s="6" t="s">
        <v>48</v>
      </c>
      <c r="F543" s="6">
        <v>1542</v>
      </c>
      <c r="G543" s="6">
        <v>154880.85</v>
      </c>
      <c r="H543" s="7">
        <v>37250</v>
      </c>
      <c r="I543" s="6" t="s">
        <v>28</v>
      </c>
      <c r="J543" s="6" t="s">
        <v>1140</v>
      </c>
      <c r="K543" s="6" t="s">
        <v>30</v>
      </c>
      <c r="L543" s="6" t="s">
        <v>31</v>
      </c>
      <c r="M543" s="6" t="s">
        <v>32</v>
      </c>
      <c r="N543" s="6">
        <v>1.38</v>
      </c>
      <c r="O543" s="6">
        <v>173</v>
      </c>
    </row>
    <row r="544" spans="1:15" ht="14.25" customHeight="1" x14ac:dyDescent="0.3">
      <c r="A544" s="6" t="s">
        <v>1141</v>
      </c>
      <c r="B544" s="6">
        <v>63</v>
      </c>
      <c r="C544" s="6" t="s">
        <v>16</v>
      </c>
      <c r="D544" s="6" t="s">
        <v>26</v>
      </c>
      <c r="E544" s="6" t="s">
        <v>48</v>
      </c>
      <c r="F544" s="6">
        <v>1543</v>
      </c>
      <c r="G544" s="6">
        <v>77774.16</v>
      </c>
      <c r="H544" s="7">
        <v>38215</v>
      </c>
      <c r="I544" s="6" t="s">
        <v>35</v>
      </c>
      <c r="J544" s="6" t="s">
        <v>1142</v>
      </c>
      <c r="K544" s="6" t="s">
        <v>37</v>
      </c>
      <c r="L544" s="6" t="s">
        <v>38</v>
      </c>
      <c r="M544" s="6" t="s">
        <v>39</v>
      </c>
      <c r="N544" s="6">
        <v>4.4800000000000004</v>
      </c>
      <c r="O544" s="6">
        <v>174</v>
      </c>
    </row>
    <row r="545" spans="1:15" ht="14.25" customHeight="1" x14ac:dyDescent="0.3">
      <c r="A545" s="6" t="s">
        <v>1143</v>
      </c>
      <c r="B545" s="6">
        <v>38</v>
      </c>
      <c r="C545" s="6" t="s">
        <v>25</v>
      </c>
      <c r="D545" s="6" t="s">
        <v>47</v>
      </c>
      <c r="E545" s="6" t="s">
        <v>80</v>
      </c>
      <c r="F545" s="6">
        <v>1544</v>
      </c>
      <c r="G545" s="6">
        <v>144280.99</v>
      </c>
      <c r="H545" s="7">
        <v>37886</v>
      </c>
      <c r="I545" s="6" t="s">
        <v>41</v>
      </c>
      <c r="J545" s="6" t="s">
        <v>1144</v>
      </c>
      <c r="K545" s="6" t="s">
        <v>43</v>
      </c>
      <c r="L545" s="6" t="s">
        <v>44</v>
      </c>
      <c r="M545" s="6" t="s">
        <v>45</v>
      </c>
      <c r="N545" s="6">
        <v>2.36</v>
      </c>
      <c r="O545" s="6">
        <v>77</v>
      </c>
    </row>
    <row r="546" spans="1:15" ht="14.25" customHeight="1" x14ac:dyDescent="0.3">
      <c r="A546" s="6" t="s">
        <v>1145</v>
      </c>
      <c r="B546" s="6">
        <v>24</v>
      </c>
      <c r="C546" s="6" t="s">
        <v>25</v>
      </c>
      <c r="D546" s="6" t="s">
        <v>17</v>
      </c>
      <c r="E546" s="6" t="s">
        <v>34</v>
      </c>
      <c r="F546" s="6">
        <v>1545</v>
      </c>
      <c r="G546" s="6">
        <v>55860.97</v>
      </c>
      <c r="H546" s="7">
        <v>43366</v>
      </c>
      <c r="I546" s="6" t="s">
        <v>49</v>
      </c>
      <c r="J546" s="6" t="s">
        <v>1146</v>
      </c>
      <c r="K546" s="6" t="s">
        <v>51</v>
      </c>
      <c r="L546" s="6" t="s">
        <v>52</v>
      </c>
      <c r="M546" s="6" t="s">
        <v>53</v>
      </c>
      <c r="N546" s="6">
        <v>1.63</v>
      </c>
      <c r="O546" s="6">
        <v>7</v>
      </c>
    </row>
    <row r="547" spans="1:15" ht="14.25" customHeight="1" x14ac:dyDescent="0.3">
      <c r="A547" s="6" t="s">
        <v>1147</v>
      </c>
      <c r="B547" s="6">
        <v>30</v>
      </c>
      <c r="C547" s="6" t="s">
        <v>62</v>
      </c>
      <c r="D547" s="6" t="s">
        <v>55</v>
      </c>
      <c r="E547" s="6" t="s">
        <v>80</v>
      </c>
      <c r="F547" s="6">
        <v>1546</v>
      </c>
      <c r="G547" s="6">
        <v>55158.9</v>
      </c>
      <c r="H547" s="7">
        <v>43867</v>
      </c>
      <c r="I547" s="6" t="s">
        <v>56</v>
      </c>
      <c r="J547" s="6" t="s">
        <v>1148</v>
      </c>
      <c r="K547" s="6" t="s">
        <v>21</v>
      </c>
      <c r="L547" s="6" t="s">
        <v>22</v>
      </c>
      <c r="M547" s="6" t="s">
        <v>23</v>
      </c>
      <c r="N547" s="6">
        <v>4.6500000000000004</v>
      </c>
      <c r="O547" s="6">
        <v>112</v>
      </c>
    </row>
    <row r="548" spans="1:15" ht="14.25" customHeight="1" x14ac:dyDescent="0.3">
      <c r="A548" s="6" t="s">
        <v>1149</v>
      </c>
      <c r="B548" s="6">
        <v>32</v>
      </c>
      <c r="C548" s="6" t="s">
        <v>25</v>
      </c>
      <c r="D548" s="6" t="s">
        <v>55</v>
      </c>
      <c r="E548" s="6" t="s">
        <v>27</v>
      </c>
      <c r="F548" s="6">
        <v>1547</v>
      </c>
      <c r="G548" s="6">
        <v>112106.12</v>
      </c>
      <c r="H548" s="7">
        <v>43251</v>
      </c>
      <c r="I548" s="6" t="s">
        <v>63</v>
      </c>
      <c r="J548" s="6" t="s">
        <v>1150</v>
      </c>
      <c r="K548" s="6" t="s">
        <v>30</v>
      </c>
      <c r="L548" s="6" t="s">
        <v>31</v>
      </c>
      <c r="M548" s="6" t="s">
        <v>32</v>
      </c>
      <c r="N548" s="6">
        <v>1.4</v>
      </c>
      <c r="O548" s="6">
        <v>84</v>
      </c>
    </row>
    <row r="549" spans="1:15" ht="14.25" customHeight="1" x14ac:dyDescent="0.3">
      <c r="A549" s="6" t="s">
        <v>1151</v>
      </c>
      <c r="B549" s="6">
        <v>48</v>
      </c>
      <c r="C549" s="6" t="s">
        <v>62</v>
      </c>
      <c r="D549" s="6" t="s">
        <v>17</v>
      </c>
      <c r="E549" s="6" t="s">
        <v>48</v>
      </c>
      <c r="F549" s="6">
        <v>1548</v>
      </c>
      <c r="G549" s="6">
        <v>198979.47</v>
      </c>
      <c r="H549" s="7">
        <v>40368</v>
      </c>
      <c r="I549" s="6" t="s">
        <v>66</v>
      </c>
      <c r="J549" s="6" t="s">
        <v>1152</v>
      </c>
      <c r="K549" s="6" t="s">
        <v>37</v>
      </c>
      <c r="L549" s="6" t="s">
        <v>38</v>
      </c>
      <c r="M549" s="6" t="s">
        <v>39</v>
      </c>
      <c r="N549" s="6">
        <v>4.21</v>
      </c>
      <c r="O549" s="6">
        <v>53</v>
      </c>
    </row>
    <row r="550" spans="1:15" ht="14.25" customHeight="1" x14ac:dyDescent="0.3">
      <c r="A550" s="6" t="s">
        <v>1153</v>
      </c>
      <c r="B550" s="6">
        <v>49</v>
      </c>
      <c r="C550" s="6" t="s">
        <v>16</v>
      </c>
      <c r="D550" s="6" t="s">
        <v>47</v>
      </c>
      <c r="E550" s="6" t="s">
        <v>48</v>
      </c>
      <c r="F550" s="6">
        <v>1549</v>
      </c>
      <c r="G550" s="6">
        <v>72123.34</v>
      </c>
      <c r="H550" s="7">
        <v>43353</v>
      </c>
      <c r="I550" s="6" t="s">
        <v>70</v>
      </c>
      <c r="J550" s="6" t="s">
        <v>1154</v>
      </c>
      <c r="K550" s="6" t="s">
        <v>43</v>
      </c>
      <c r="L550" s="6" t="s">
        <v>44</v>
      </c>
      <c r="M550" s="6" t="s">
        <v>45</v>
      </c>
      <c r="N550" s="6">
        <v>4.17</v>
      </c>
      <c r="O550" s="6">
        <v>41</v>
      </c>
    </row>
    <row r="551" spans="1:15" ht="14.25" customHeight="1" x14ac:dyDescent="0.3">
      <c r="A551" s="6" t="s">
        <v>1155</v>
      </c>
      <c r="B551" s="6">
        <v>23</v>
      </c>
      <c r="C551" s="6" t="s">
        <v>62</v>
      </c>
      <c r="D551" s="6" t="s">
        <v>55</v>
      </c>
      <c r="E551" s="6" t="s">
        <v>48</v>
      </c>
      <c r="F551" s="6">
        <v>1550</v>
      </c>
      <c r="G551" s="6">
        <v>162984.54</v>
      </c>
      <c r="H551" s="7">
        <v>40208</v>
      </c>
      <c r="I551" s="6" t="s">
        <v>73</v>
      </c>
      <c r="J551" s="6" t="s">
        <v>1156</v>
      </c>
      <c r="K551" s="6" t="s">
        <v>51</v>
      </c>
      <c r="L551" s="6" t="s">
        <v>52</v>
      </c>
      <c r="M551" s="6" t="s">
        <v>53</v>
      </c>
      <c r="N551" s="6">
        <v>4.4800000000000004</v>
      </c>
      <c r="O551" s="6">
        <v>176</v>
      </c>
    </row>
    <row r="552" spans="1:15" ht="14.25" customHeight="1" x14ac:dyDescent="0.3">
      <c r="A552" s="6" t="s">
        <v>1157</v>
      </c>
      <c r="B552" s="6">
        <v>22</v>
      </c>
      <c r="C552" s="6" t="s">
        <v>25</v>
      </c>
      <c r="D552" s="6" t="s">
        <v>26</v>
      </c>
      <c r="E552" s="6" t="s">
        <v>48</v>
      </c>
      <c r="F552" s="6">
        <v>1551</v>
      </c>
      <c r="G552" s="6">
        <v>136079.5</v>
      </c>
      <c r="H552" s="7">
        <v>44781</v>
      </c>
      <c r="I552" s="6" t="s">
        <v>19</v>
      </c>
      <c r="J552" s="6" t="s">
        <v>1158</v>
      </c>
      <c r="K552" s="6" t="s">
        <v>21</v>
      </c>
      <c r="L552" s="6" t="s">
        <v>22</v>
      </c>
      <c r="M552" s="6" t="s">
        <v>23</v>
      </c>
      <c r="N552" s="6">
        <v>2.04</v>
      </c>
      <c r="O552" s="6">
        <v>114</v>
      </c>
    </row>
    <row r="553" spans="1:15" ht="14.25" customHeight="1" x14ac:dyDescent="0.3">
      <c r="A553" s="6" t="s">
        <v>1159</v>
      </c>
      <c r="B553" s="6">
        <v>27</v>
      </c>
      <c r="C553" s="6" t="s">
        <v>16</v>
      </c>
      <c r="D553" s="6" t="s">
        <v>55</v>
      </c>
      <c r="E553" s="6" t="s">
        <v>34</v>
      </c>
      <c r="F553" s="6">
        <v>1552</v>
      </c>
      <c r="G553" s="6">
        <v>92116.47</v>
      </c>
      <c r="H553" s="7">
        <v>36774</v>
      </c>
      <c r="I553" s="6" t="s">
        <v>28</v>
      </c>
      <c r="J553" s="6" t="s">
        <v>1160</v>
      </c>
      <c r="K553" s="6" t="s">
        <v>30</v>
      </c>
      <c r="L553" s="6" t="s">
        <v>31</v>
      </c>
      <c r="M553" s="6" t="s">
        <v>32</v>
      </c>
      <c r="N553" s="6">
        <v>4.91</v>
      </c>
      <c r="O553" s="6">
        <v>160</v>
      </c>
    </row>
    <row r="554" spans="1:15" ht="14.25" customHeight="1" x14ac:dyDescent="0.3">
      <c r="A554" s="6" t="s">
        <v>1161</v>
      </c>
      <c r="B554" s="6">
        <v>46</v>
      </c>
      <c r="C554" s="6" t="s">
        <v>25</v>
      </c>
      <c r="D554" s="6" t="s">
        <v>47</v>
      </c>
      <c r="E554" s="6" t="s">
        <v>80</v>
      </c>
      <c r="F554" s="6">
        <v>1553</v>
      </c>
      <c r="G554" s="6">
        <v>165222.51</v>
      </c>
      <c r="H554" s="7">
        <v>37508</v>
      </c>
      <c r="I554" s="6" t="s">
        <v>35</v>
      </c>
      <c r="J554" s="6" t="s">
        <v>1162</v>
      </c>
      <c r="K554" s="6" t="s">
        <v>37</v>
      </c>
      <c r="L554" s="6" t="s">
        <v>38</v>
      </c>
      <c r="M554" s="6" t="s">
        <v>39</v>
      </c>
      <c r="N554" s="6">
        <v>2.78</v>
      </c>
      <c r="O554" s="6">
        <v>192</v>
      </c>
    </row>
    <row r="555" spans="1:15" ht="14.25" customHeight="1" x14ac:dyDescent="0.3">
      <c r="A555" s="6" t="s">
        <v>1163</v>
      </c>
      <c r="B555" s="6">
        <v>56</v>
      </c>
      <c r="C555" s="6" t="s">
        <v>16</v>
      </c>
      <c r="D555" s="6" t="s">
        <v>26</v>
      </c>
      <c r="E555" s="6" t="s">
        <v>48</v>
      </c>
      <c r="F555" s="6">
        <v>1554</v>
      </c>
      <c r="G555" s="6">
        <v>94306.51</v>
      </c>
      <c r="H555" s="7">
        <v>37200</v>
      </c>
      <c r="I555" s="6" t="s">
        <v>41</v>
      </c>
      <c r="J555" s="6" t="s">
        <v>1164</v>
      </c>
      <c r="K555" s="6" t="s">
        <v>43</v>
      </c>
      <c r="L555" s="6" t="s">
        <v>44</v>
      </c>
      <c r="M555" s="6" t="s">
        <v>45</v>
      </c>
      <c r="N555" s="6">
        <v>3.16</v>
      </c>
      <c r="O555" s="6">
        <v>195</v>
      </c>
    </row>
    <row r="556" spans="1:15" ht="14.25" customHeight="1" x14ac:dyDescent="0.3">
      <c r="A556" s="6" t="s">
        <v>1165</v>
      </c>
      <c r="B556" s="6">
        <v>37</v>
      </c>
      <c r="C556" s="6" t="s">
        <v>16</v>
      </c>
      <c r="D556" s="6" t="s">
        <v>17</v>
      </c>
      <c r="E556" s="6" t="s">
        <v>34</v>
      </c>
      <c r="F556" s="6">
        <v>1555</v>
      </c>
      <c r="G556" s="6">
        <v>75310.399999999994</v>
      </c>
      <c r="H556" s="7">
        <v>39141</v>
      </c>
      <c r="I556" s="6" t="s">
        <v>49</v>
      </c>
      <c r="J556" s="6" t="s">
        <v>1166</v>
      </c>
      <c r="K556" s="6" t="s">
        <v>51</v>
      </c>
      <c r="L556" s="6" t="s">
        <v>52</v>
      </c>
      <c r="M556" s="6" t="s">
        <v>53</v>
      </c>
      <c r="N556" s="6">
        <v>1.96</v>
      </c>
      <c r="O556" s="6">
        <v>79</v>
      </c>
    </row>
    <row r="557" spans="1:15" ht="14.25" customHeight="1" x14ac:dyDescent="0.3">
      <c r="A557" s="6" t="s">
        <v>1167</v>
      </c>
      <c r="B557" s="6">
        <v>25</v>
      </c>
      <c r="C557" s="6" t="s">
        <v>16</v>
      </c>
      <c r="D557" s="6" t="s">
        <v>47</v>
      </c>
      <c r="E557" s="6" t="s">
        <v>18</v>
      </c>
      <c r="F557" s="6">
        <v>1556</v>
      </c>
      <c r="G557" s="6">
        <v>79117.16</v>
      </c>
      <c r="H557" s="7">
        <v>43606</v>
      </c>
      <c r="I557" s="6" t="s">
        <v>56</v>
      </c>
      <c r="J557" s="6" t="s">
        <v>1168</v>
      </c>
      <c r="K557" s="6" t="s">
        <v>21</v>
      </c>
      <c r="L557" s="6" t="s">
        <v>22</v>
      </c>
      <c r="M557" s="6" t="s">
        <v>23</v>
      </c>
      <c r="N557" s="6">
        <v>4.4800000000000004</v>
      </c>
      <c r="O557" s="6">
        <v>13</v>
      </c>
    </row>
    <row r="558" spans="1:15" ht="14.25" customHeight="1" x14ac:dyDescent="0.3">
      <c r="A558" s="6" t="s">
        <v>1169</v>
      </c>
      <c r="B558" s="6">
        <v>59</v>
      </c>
      <c r="C558" s="6" t="s">
        <v>16</v>
      </c>
      <c r="D558" s="6" t="s">
        <v>26</v>
      </c>
      <c r="E558" s="6" t="s">
        <v>34</v>
      </c>
      <c r="F558" s="6">
        <v>1557</v>
      </c>
      <c r="G558" s="6">
        <v>78253.77</v>
      </c>
      <c r="H558" s="7">
        <v>44801</v>
      </c>
      <c r="I558" s="6" t="s">
        <v>63</v>
      </c>
      <c r="J558" s="6" t="s">
        <v>1170</v>
      </c>
      <c r="K558" s="6" t="s">
        <v>30</v>
      </c>
      <c r="L558" s="6" t="s">
        <v>31</v>
      </c>
      <c r="M558" s="6" t="s">
        <v>32</v>
      </c>
      <c r="N558" s="6">
        <v>2.4900000000000002</v>
      </c>
      <c r="O558" s="6">
        <v>73</v>
      </c>
    </row>
    <row r="559" spans="1:15" ht="14.25" customHeight="1" x14ac:dyDescent="0.3">
      <c r="A559" s="6" t="s">
        <v>1171</v>
      </c>
      <c r="B559" s="6">
        <v>41</v>
      </c>
      <c r="C559" s="6" t="s">
        <v>25</v>
      </c>
      <c r="D559" s="6" t="s">
        <v>26</v>
      </c>
      <c r="E559" s="6" t="s">
        <v>48</v>
      </c>
      <c r="F559" s="6">
        <v>1558</v>
      </c>
      <c r="G559" s="6">
        <v>163784.25</v>
      </c>
      <c r="H559" s="7">
        <v>38054</v>
      </c>
      <c r="I559" s="6" t="s">
        <v>66</v>
      </c>
      <c r="J559" s="6" t="s">
        <v>1172</v>
      </c>
      <c r="K559" s="6" t="s">
        <v>37</v>
      </c>
      <c r="L559" s="6" t="s">
        <v>38</v>
      </c>
      <c r="M559" s="6" t="s">
        <v>39</v>
      </c>
      <c r="N559" s="6">
        <v>4.7699999999999996</v>
      </c>
      <c r="O559" s="6">
        <v>25</v>
      </c>
    </row>
    <row r="560" spans="1:15" ht="14.25" customHeight="1" x14ac:dyDescent="0.3">
      <c r="A560" s="6" t="s">
        <v>1173</v>
      </c>
      <c r="B560" s="6">
        <v>46</v>
      </c>
      <c r="C560" s="6" t="s">
        <v>62</v>
      </c>
      <c r="D560" s="6" t="s">
        <v>26</v>
      </c>
      <c r="E560" s="6" t="s">
        <v>48</v>
      </c>
      <c r="F560" s="6">
        <v>1559</v>
      </c>
      <c r="G560" s="6">
        <v>129267.95</v>
      </c>
      <c r="H560" s="7">
        <v>40296</v>
      </c>
      <c r="I560" s="6" t="s">
        <v>70</v>
      </c>
      <c r="J560" s="6" t="s">
        <v>1174</v>
      </c>
      <c r="K560" s="6" t="s">
        <v>43</v>
      </c>
      <c r="L560" s="6" t="s">
        <v>44</v>
      </c>
      <c r="M560" s="6" t="s">
        <v>45</v>
      </c>
      <c r="N560" s="6">
        <v>1.36</v>
      </c>
      <c r="O560" s="6">
        <v>116</v>
      </c>
    </row>
    <row r="561" spans="1:15" ht="14.25" customHeight="1" x14ac:dyDescent="0.3">
      <c r="A561" s="6" t="s">
        <v>1175</v>
      </c>
      <c r="B561" s="6">
        <v>28</v>
      </c>
      <c r="C561" s="6" t="s">
        <v>16</v>
      </c>
      <c r="D561" s="6" t="s">
        <v>47</v>
      </c>
      <c r="E561" s="6" t="s">
        <v>34</v>
      </c>
      <c r="F561" s="6">
        <v>1560</v>
      </c>
      <c r="G561" s="6">
        <v>148034.73000000001</v>
      </c>
      <c r="H561" s="7">
        <v>43494</v>
      </c>
      <c r="I561" s="6" t="s">
        <v>73</v>
      </c>
      <c r="J561" s="6" t="s">
        <v>1176</v>
      </c>
      <c r="K561" s="6" t="s">
        <v>51</v>
      </c>
      <c r="L561" s="6" t="s">
        <v>52</v>
      </c>
      <c r="M561" s="6" t="s">
        <v>53</v>
      </c>
      <c r="N561" s="6">
        <v>3.48</v>
      </c>
      <c r="O561" s="6">
        <v>14</v>
      </c>
    </row>
    <row r="562" spans="1:15" ht="14.25" customHeight="1" x14ac:dyDescent="0.3">
      <c r="A562" s="6" t="s">
        <v>1177</v>
      </c>
      <c r="B562" s="6">
        <v>42</v>
      </c>
      <c r="C562" s="6" t="s">
        <v>25</v>
      </c>
      <c r="D562" s="6" t="s">
        <v>69</v>
      </c>
      <c r="E562" s="6" t="s">
        <v>48</v>
      </c>
      <c r="F562" s="6">
        <v>1561</v>
      </c>
      <c r="G562" s="6">
        <v>184148.21</v>
      </c>
      <c r="H562" s="7">
        <v>39586</v>
      </c>
      <c r="I562" s="6" t="s">
        <v>19</v>
      </c>
      <c r="J562" s="6" t="s">
        <v>1178</v>
      </c>
      <c r="K562" s="6" t="s">
        <v>21</v>
      </c>
      <c r="L562" s="6" t="s">
        <v>22</v>
      </c>
      <c r="M562" s="6" t="s">
        <v>23</v>
      </c>
      <c r="N562" s="6">
        <v>2.27</v>
      </c>
      <c r="O562" s="6">
        <v>138</v>
      </c>
    </row>
    <row r="563" spans="1:15" ht="14.25" customHeight="1" x14ac:dyDescent="0.3">
      <c r="A563" s="6" t="s">
        <v>1179</v>
      </c>
      <c r="B563" s="6">
        <v>28</v>
      </c>
      <c r="C563" s="6" t="s">
        <v>25</v>
      </c>
      <c r="D563" s="6" t="s">
        <v>55</v>
      </c>
      <c r="E563" s="6" t="s">
        <v>48</v>
      </c>
      <c r="F563" s="6">
        <v>1562</v>
      </c>
      <c r="G563" s="6">
        <v>75235.11</v>
      </c>
      <c r="H563" s="7">
        <v>38572</v>
      </c>
      <c r="I563" s="6" t="s">
        <v>28</v>
      </c>
      <c r="J563" s="6" t="s">
        <v>1180</v>
      </c>
      <c r="K563" s="6" t="s">
        <v>30</v>
      </c>
      <c r="L563" s="6" t="s">
        <v>31</v>
      </c>
      <c r="M563" s="6" t="s">
        <v>32</v>
      </c>
      <c r="N563" s="6">
        <v>3.61</v>
      </c>
      <c r="O563" s="6">
        <v>103</v>
      </c>
    </row>
    <row r="564" spans="1:15" ht="14.25" customHeight="1" x14ac:dyDescent="0.3">
      <c r="A564" s="6" t="s">
        <v>1181</v>
      </c>
      <c r="B564" s="6">
        <v>50</v>
      </c>
      <c r="C564" s="6" t="s">
        <v>25</v>
      </c>
      <c r="D564" s="6" t="s">
        <v>69</v>
      </c>
      <c r="E564" s="6" t="s">
        <v>34</v>
      </c>
      <c r="F564" s="6">
        <v>1563</v>
      </c>
      <c r="G564" s="6">
        <v>113352.93</v>
      </c>
      <c r="H564" s="7">
        <v>37461</v>
      </c>
      <c r="I564" s="6" t="s">
        <v>35</v>
      </c>
      <c r="J564" s="6" t="s">
        <v>1182</v>
      </c>
      <c r="K564" s="6" t="s">
        <v>37</v>
      </c>
      <c r="L564" s="6" t="s">
        <v>38</v>
      </c>
      <c r="M564" s="6" t="s">
        <v>39</v>
      </c>
      <c r="N564" s="6">
        <v>4.91</v>
      </c>
      <c r="O564" s="6">
        <v>74</v>
      </c>
    </row>
    <row r="565" spans="1:15" ht="14.25" customHeight="1" x14ac:dyDescent="0.3">
      <c r="A565" s="6" t="s">
        <v>1183</v>
      </c>
      <c r="B565" s="6">
        <v>28</v>
      </c>
      <c r="C565" s="6" t="s">
        <v>62</v>
      </c>
      <c r="D565" s="6" t="s">
        <v>55</v>
      </c>
      <c r="E565" s="6" t="s">
        <v>80</v>
      </c>
      <c r="F565" s="6">
        <v>1564</v>
      </c>
      <c r="G565" s="6">
        <v>152013.65</v>
      </c>
      <c r="H565" s="7">
        <v>39159</v>
      </c>
      <c r="I565" s="6" t="s">
        <v>41</v>
      </c>
      <c r="J565" s="6" t="s">
        <v>1184</v>
      </c>
      <c r="K565" s="6" t="s">
        <v>43</v>
      </c>
      <c r="L565" s="6" t="s">
        <v>44</v>
      </c>
      <c r="M565" s="6" t="s">
        <v>45</v>
      </c>
      <c r="N565" s="6">
        <v>1.9</v>
      </c>
      <c r="O565" s="6">
        <v>170</v>
      </c>
    </row>
    <row r="566" spans="1:15" ht="14.25" customHeight="1" x14ac:dyDescent="0.3">
      <c r="A566" s="6" t="s">
        <v>1185</v>
      </c>
      <c r="B566" s="6">
        <v>24</v>
      </c>
      <c r="C566" s="6" t="s">
        <v>25</v>
      </c>
      <c r="D566" s="6" t="s">
        <v>47</v>
      </c>
      <c r="E566" s="6" t="s">
        <v>27</v>
      </c>
      <c r="F566" s="6">
        <v>1565</v>
      </c>
      <c r="G566" s="6">
        <v>102467.66</v>
      </c>
      <c r="H566" s="7">
        <v>41626</v>
      </c>
      <c r="I566" s="6" t="s">
        <v>49</v>
      </c>
      <c r="J566" s="6" t="s">
        <v>1186</v>
      </c>
      <c r="K566" s="6" t="s">
        <v>51</v>
      </c>
      <c r="L566" s="6" t="s">
        <v>52</v>
      </c>
      <c r="M566" s="6" t="s">
        <v>53</v>
      </c>
      <c r="N566" s="6">
        <v>4.87</v>
      </c>
      <c r="O566" s="6">
        <v>111</v>
      </c>
    </row>
    <row r="567" spans="1:15" ht="14.25" customHeight="1" x14ac:dyDescent="0.3">
      <c r="A567" s="6" t="s">
        <v>1187</v>
      </c>
      <c r="B567" s="6">
        <v>50</v>
      </c>
      <c r="C567" s="6" t="s">
        <v>25</v>
      </c>
      <c r="D567" s="6" t="s">
        <v>55</v>
      </c>
      <c r="E567" s="6" t="s">
        <v>80</v>
      </c>
      <c r="F567" s="6">
        <v>1566</v>
      </c>
      <c r="G567" s="6">
        <v>149240.94</v>
      </c>
      <c r="H567" s="7">
        <v>41196</v>
      </c>
      <c r="I567" s="6" t="s">
        <v>56</v>
      </c>
      <c r="J567" s="6" t="s">
        <v>1188</v>
      </c>
      <c r="K567" s="6" t="s">
        <v>21</v>
      </c>
      <c r="L567" s="6" t="s">
        <v>22</v>
      </c>
      <c r="M567" s="6" t="s">
        <v>23</v>
      </c>
      <c r="N567" s="6">
        <v>1.27</v>
      </c>
      <c r="O567" s="6">
        <v>100</v>
      </c>
    </row>
    <row r="568" spans="1:15" ht="14.25" customHeight="1" x14ac:dyDescent="0.3">
      <c r="A568" s="6" t="s">
        <v>1189</v>
      </c>
      <c r="B568" s="6">
        <v>50</v>
      </c>
      <c r="C568" s="6" t="s">
        <v>62</v>
      </c>
      <c r="D568" s="6" t="s">
        <v>47</v>
      </c>
      <c r="E568" s="6" t="s">
        <v>34</v>
      </c>
      <c r="F568" s="6">
        <v>1567</v>
      </c>
      <c r="G568" s="6">
        <v>103959.8</v>
      </c>
      <c r="H568" s="7">
        <v>44544</v>
      </c>
      <c r="I568" s="6" t="s">
        <v>63</v>
      </c>
      <c r="J568" s="6" t="s">
        <v>1190</v>
      </c>
      <c r="K568" s="6" t="s">
        <v>30</v>
      </c>
      <c r="L568" s="6" t="s">
        <v>31</v>
      </c>
      <c r="M568" s="6" t="s">
        <v>32</v>
      </c>
      <c r="N568" s="6">
        <v>4.8099999999999996</v>
      </c>
      <c r="O568" s="6">
        <v>67</v>
      </c>
    </row>
    <row r="569" spans="1:15" ht="14.25" customHeight="1" x14ac:dyDescent="0.3">
      <c r="A569" s="6" t="s">
        <v>1191</v>
      </c>
      <c r="B569" s="6">
        <v>60</v>
      </c>
      <c r="C569" s="6" t="s">
        <v>25</v>
      </c>
      <c r="D569" s="6" t="s">
        <v>26</v>
      </c>
      <c r="E569" s="6" t="s">
        <v>48</v>
      </c>
      <c r="F569" s="6">
        <v>1568</v>
      </c>
      <c r="G569" s="6">
        <v>76806.81</v>
      </c>
      <c r="H569" s="7">
        <v>43485</v>
      </c>
      <c r="I569" s="6" t="s">
        <v>66</v>
      </c>
      <c r="J569" s="6" t="s">
        <v>1192</v>
      </c>
      <c r="K569" s="6" t="s">
        <v>37</v>
      </c>
      <c r="L569" s="6" t="s">
        <v>38</v>
      </c>
      <c r="M569" s="6" t="s">
        <v>39</v>
      </c>
      <c r="N569" s="6">
        <v>3.77</v>
      </c>
      <c r="O569" s="6">
        <v>58</v>
      </c>
    </row>
    <row r="570" spans="1:15" ht="14.25" customHeight="1" x14ac:dyDescent="0.3">
      <c r="A570" s="6" t="s">
        <v>1193</v>
      </c>
      <c r="B570" s="6">
        <v>59</v>
      </c>
      <c r="C570" s="6" t="s">
        <v>25</v>
      </c>
      <c r="D570" s="6" t="s">
        <v>17</v>
      </c>
      <c r="E570" s="6" t="s">
        <v>80</v>
      </c>
      <c r="F570" s="6">
        <v>1569</v>
      </c>
      <c r="G570" s="6">
        <v>130105.82</v>
      </c>
      <c r="H570" s="7">
        <v>40415</v>
      </c>
      <c r="I570" s="6" t="s">
        <v>70</v>
      </c>
      <c r="J570" s="6" t="s">
        <v>1194</v>
      </c>
      <c r="K570" s="6" t="s">
        <v>43</v>
      </c>
      <c r="L570" s="6" t="s">
        <v>44</v>
      </c>
      <c r="M570" s="6" t="s">
        <v>45</v>
      </c>
      <c r="N570" s="6">
        <v>1.04</v>
      </c>
      <c r="O570" s="6">
        <v>41</v>
      </c>
    </row>
    <row r="571" spans="1:15" ht="14.25" customHeight="1" x14ac:dyDescent="0.3">
      <c r="A571" s="6" t="s">
        <v>1195</v>
      </c>
      <c r="B571" s="6">
        <v>27</v>
      </c>
      <c r="C571" s="6" t="s">
        <v>62</v>
      </c>
      <c r="D571" s="6" t="s">
        <v>69</v>
      </c>
      <c r="E571" s="6" t="s">
        <v>34</v>
      </c>
      <c r="F571" s="6">
        <v>1570</v>
      </c>
      <c r="G571" s="6">
        <v>52307.44</v>
      </c>
      <c r="H571" s="7">
        <v>41960</v>
      </c>
      <c r="I571" s="6" t="s">
        <v>73</v>
      </c>
      <c r="J571" s="6" t="s">
        <v>1196</v>
      </c>
      <c r="K571" s="6" t="s">
        <v>51</v>
      </c>
      <c r="L571" s="6" t="s">
        <v>52</v>
      </c>
      <c r="M571" s="6" t="s">
        <v>53</v>
      </c>
      <c r="N571" s="6">
        <v>3.96</v>
      </c>
      <c r="O571" s="6">
        <v>88</v>
      </c>
    </row>
    <row r="572" spans="1:15" ht="14.25" customHeight="1" x14ac:dyDescent="0.3">
      <c r="A572" s="6" t="s">
        <v>1197</v>
      </c>
      <c r="B572" s="6">
        <v>31</v>
      </c>
      <c r="C572" s="6" t="s">
        <v>62</v>
      </c>
      <c r="D572" s="6" t="s">
        <v>69</v>
      </c>
      <c r="E572" s="6" t="s">
        <v>34</v>
      </c>
      <c r="F572" s="6">
        <v>1571</v>
      </c>
      <c r="G572" s="6">
        <v>107761.93</v>
      </c>
      <c r="H572" s="7">
        <v>39816</v>
      </c>
      <c r="I572" s="6" t="s">
        <v>19</v>
      </c>
      <c r="J572" s="6" t="s">
        <v>1198</v>
      </c>
      <c r="K572" s="6" t="s">
        <v>21</v>
      </c>
      <c r="L572" s="6" t="s">
        <v>22</v>
      </c>
      <c r="M572" s="6" t="s">
        <v>23</v>
      </c>
      <c r="N572" s="6">
        <v>1.88</v>
      </c>
      <c r="O572" s="6">
        <v>183</v>
      </c>
    </row>
    <row r="573" spans="1:15" ht="14.25" customHeight="1" x14ac:dyDescent="0.3">
      <c r="A573" s="6" t="s">
        <v>1199</v>
      </c>
      <c r="B573" s="6">
        <v>58</v>
      </c>
      <c r="C573" s="6" t="s">
        <v>62</v>
      </c>
      <c r="D573" s="6" t="s">
        <v>47</v>
      </c>
      <c r="E573" s="6" t="s">
        <v>18</v>
      </c>
      <c r="F573" s="6">
        <v>1572</v>
      </c>
      <c r="G573" s="6">
        <v>152804.75</v>
      </c>
      <c r="H573" s="7">
        <v>37375</v>
      </c>
      <c r="I573" s="6" t="s">
        <v>28</v>
      </c>
      <c r="J573" s="6" t="s">
        <v>1200</v>
      </c>
      <c r="K573" s="6" t="s">
        <v>30</v>
      </c>
      <c r="L573" s="6" t="s">
        <v>31</v>
      </c>
      <c r="M573" s="6" t="s">
        <v>32</v>
      </c>
      <c r="N573" s="6">
        <v>3.95</v>
      </c>
      <c r="O573" s="6">
        <v>101</v>
      </c>
    </row>
    <row r="574" spans="1:15" ht="14.25" customHeight="1" x14ac:dyDescent="0.3">
      <c r="A574" s="6" t="s">
        <v>1201</v>
      </c>
      <c r="B574" s="6">
        <v>35</v>
      </c>
      <c r="C574" s="6" t="s">
        <v>16</v>
      </c>
      <c r="D574" s="6" t="s">
        <v>55</v>
      </c>
      <c r="E574" s="6" t="s">
        <v>48</v>
      </c>
      <c r="F574" s="6">
        <v>1573</v>
      </c>
      <c r="G574" s="6">
        <v>89658.78</v>
      </c>
      <c r="H574" s="7">
        <v>37791</v>
      </c>
      <c r="I574" s="6" t="s">
        <v>35</v>
      </c>
      <c r="J574" s="6" t="s">
        <v>1202</v>
      </c>
      <c r="K574" s="6" t="s">
        <v>37</v>
      </c>
      <c r="L574" s="6" t="s">
        <v>38</v>
      </c>
      <c r="M574" s="6" t="s">
        <v>39</v>
      </c>
      <c r="N574" s="6">
        <v>2.36</v>
      </c>
      <c r="O574" s="6">
        <v>99</v>
      </c>
    </row>
    <row r="575" spans="1:15" ht="14.25" customHeight="1" x14ac:dyDescent="0.3">
      <c r="A575" s="6" t="s">
        <v>1203</v>
      </c>
      <c r="B575" s="6">
        <v>43</v>
      </c>
      <c r="C575" s="6" t="s">
        <v>62</v>
      </c>
      <c r="D575" s="6" t="s">
        <v>55</v>
      </c>
      <c r="E575" s="6" t="s">
        <v>18</v>
      </c>
      <c r="F575" s="6">
        <v>1574</v>
      </c>
      <c r="G575" s="6">
        <v>158924.78</v>
      </c>
      <c r="H575" s="7">
        <v>36999</v>
      </c>
      <c r="I575" s="6" t="s">
        <v>41</v>
      </c>
      <c r="J575" s="6" t="s">
        <v>1204</v>
      </c>
      <c r="K575" s="6" t="s">
        <v>43</v>
      </c>
      <c r="L575" s="6" t="s">
        <v>44</v>
      </c>
      <c r="M575" s="6" t="s">
        <v>45</v>
      </c>
      <c r="N575" s="6">
        <v>4.83</v>
      </c>
      <c r="O575" s="6">
        <v>113</v>
      </c>
    </row>
    <row r="576" spans="1:15" ht="14.25" customHeight="1" x14ac:dyDescent="0.3">
      <c r="A576" s="6" t="s">
        <v>1205</v>
      </c>
      <c r="B576" s="6">
        <v>53</v>
      </c>
      <c r="C576" s="6" t="s">
        <v>16</v>
      </c>
      <c r="D576" s="6" t="s">
        <v>17</v>
      </c>
      <c r="E576" s="6" t="s">
        <v>27</v>
      </c>
      <c r="F576" s="6">
        <v>1575</v>
      </c>
      <c r="G576" s="6">
        <v>123959.3</v>
      </c>
      <c r="H576" s="7">
        <v>44446</v>
      </c>
      <c r="I576" s="6" t="s">
        <v>49</v>
      </c>
      <c r="J576" s="6" t="s">
        <v>1206</v>
      </c>
      <c r="K576" s="6" t="s">
        <v>51</v>
      </c>
      <c r="L576" s="6" t="s">
        <v>52</v>
      </c>
      <c r="M576" s="6" t="s">
        <v>53</v>
      </c>
      <c r="N576" s="6">
        <v>3.4</v>
      </c>
      <c r="O576" s="6">
        <v>14</v>
      </c>
    </row>
    <row r="577" spans="1:15" ht="14.25" customHeight="1" x14ac:dyDescent="0.3">
      <c r="A577" s="6" t="s">
        <v>1207</v>
      </c>
      <c r="B577" s="6">
        <v>39</v>
      </c>
      <c r="C577" s="6" t="s">
        <v>16</v>
      </c>
      <c r="D577" s="6" t="s">
        <v>26</v>
      </c>
      <c r="E577" s="6" t="s">
        <v>34</v>
      </c>
      <c r="F577" s="6">
        <v>1576</v>
      </c>
      <c r="G577" s="6">
        <v>93166.6</v>
      </c>
      <c r="H577" s="7">
        <v>39517</v>
      </c>
      <c r="I577" s="6" t="s">
        <v>56</v>
      </c>
      <c r="J577" s="6" t="s">
        <v>1208</v>
      </c>
      <c r="K577" s="6" t="s">
        <v>21</v>
      </c>
      <c r="L577" s="6" t="s">
        <v>22</v>
      </c>
      <c r="M577" s="6" t="s">
        <v>23</v>
      </c>
      <c r="N577" s="6">
        <v>3.91</v>
      </c>
      <c r="O577" s="6">
        <v>37</v>
      </c>
    </row>
    <row r="578" spans="1:15" ht="14.25" customHeight="1" x14ac:dyDescent="0.3">
      <c r="A578" s="6" t="s">
        <v>1209</v>
      </c>
      <c r="B578" s="6">
        <v>57</v>
      </c>
      <c r="C578" s="6" t="s">
        <v>62</v>
      </c>
      <c r="D578" s="6" t="s">
        <v>55</v>
      </c>
      <c r="E578" s="6" t="s">
        <v>34</v>
      </c>
      <c r="F578" s="6">
        <v>1577</v>
      </c>
      <c r="G578" s="6">
        <v>114703.67</v>
      </c>
      <c r="H578" s="7">
        <v>38114</v>
      </c>
      <c r="I578" s="6" t="s">
        <v>63</v>
      </c>
      <c r="J578" s="6" t="s">
        <v>1210</v>
      </c>
      <c r="K578" s="6" t="s">
        <v>30</v>
      </c>
      <c r="L578" s="6" t="s">
        <v>31</v>
      </c>
      <c r="M578" s="6" t="s">
        <v>32</v>
      </c>
      <c r="N578" s="6">
        <v>1.79</v>
      </c>
      <c r="O578" s="6">
        <v>75</v>
      </c>
    </row>
    <row r="579" spans="1:15" ht="14.25" customHeight="1" x14ac:dyDescent="0.3">
      <c r="A579" s="6" t="s">
        <v>1211</v>
      </c>
      <c r="B579" s="6">
        <v>30</v>
      </c>
      <c r="C579" s="6" t="s">
        <v>16</v>
      </c>
      <c r="D579" s="6" t="s">
        <v>55</v>
      </c>
      <c r="E579" s="6" t="s">
        <v>48</v>
      </c>
      <c r="F579" s="6">
        <v>1578</v>
      </c>
      <c r="G579" s="6">
        <v>59843.18</v>
      </c>
      <c r="H579" s="7">
        <v>38038</v>
      </c>
      <c r="I579" s="6" t="s">
        <v>66</v>
      </c>
      <c r="J579" s="6" t="s">
        <v>1212</v>
      </c>
      <c r="K579" s="6" t="s">
        <v>37</v>
      </c>
      <c r="L579" s="6" t="s">
        <v>38</v>
      </c>
      <c r="M579" s="6" t="s">
        <v>39</v>
      </c>
      <c r="N579" s="6">
        <v>3.66</v>
      </c>
      <c r="O579" s="6">
        <v>80</v>
      </c>
    </row>
    <row r="580" spans="1:15" ht="14.25" customHeight="1" x14ac:dyDescent="0.3">
      <c r="A580" s="6" t="s">
        <v>1213</v>
      </c>
      <c r="B580" s="6">
        <v>47</v>
      </c>
      <c r="C580" s="6" t="s">
        <v>25</v>
      </c>
      <c r="D580" s="6" t="s">
        <v>26</v>
      </c>
      <c r="E580" s="6" t="s">
        <v>18</v>
      </c>
      <c r="F580" s="6">
        <v>1579</v>
      </c>
      <c r="G580" s="6">
        <v>122224.49</v>
      </c>
      <c r="H580" s="7">
        <v>42366</v>
      </c>
      <c r="I580" s="6" t="s">
        <v>70</v>
      </c>
      <c r="J580" s="6" t="s">
        <v>1214</v>
      </c>
      <c r="K580" s="6" t="s">
        <v>43</v>
      </c>
      <c r="L580" s="6" t="s">
        <v>44</v>
      </c>
      <c r="M580" s="6" t="s">
        <v>45</v>
      </c>
      <c r="N580" s="6">
        <v>3.56</v>
      </c>
      <c r="O580" s="6">
        <v>43</v>
      </c>
    </row>
    <row r="581" spans="1:15" ht="14.25" customHeight="1" x14ac:dyDescent="0.3">
      <c r="A581" s="6" t="s">
        <v>1215</v>
      </c>
      <c r="B581" s="6">
        <v>43</v>
      </c>
      <c r="C581" s="6" t="s">
        <v>25</v>
      </c>
      <c r="D581" s="6" t="s">
        <v>17</v>
      </c>
      <c r="E581" s="6" t="s">
        <v>18</v>
      </c>
      <c r="F581" s="6">
        <v>1580</v>
      </c>
      <c r="G581" s="6">
        <v>111441.57</v>
      </c>
      <c r="H581" s="7">
        <v>42097</v>
      </c>
      <c r="I581" s="6" t="s">
        <v>73</v>
      </c>
      <c r="J581" s="6" t="s">
        <v>1216</v>
      </c>
      <c r="K581" s="6" t="s">
        <v>51</v>
      </c>
      <c r="L581" s="6" t="s">
        <v>52</v>
      </c>
      <c r="M581" s="6" t="s">
        <v>53</v>
      </c>
      <c r="N581" s="6">
        <v>4.66</v>
      </c>
      <c r="O581" s="6">
        <v>167</v>
      </c>
    </row>
    <row r="582" spans="1:15" ht="14.25" customHeight="1" x14ac:dyDescent="0.3">
      <c r="A582" s="6" t="s">
        <v>1217</v>
      </c>
      <c r="B582" s="6">
        <v>59</v>
      </c>
      <c r="C582" s="6" t="s">
        <v>62</v>
      </c>
      <c r="D582" s="6" t="s">
        <v>55</v>
      </c>
      <c r="E582" s="6" t="s">
        <v>48</v>
      </c>
      <c r="F582" s="6">
        <v>1581</v>
      </c>
      <c r="G582" s="6">
        <v>119168.51</v>
      </c>
      <c r="H582" s="7">
        <v>36929</v>
      </c>
      <c r="I582" s="6" t="s">
        <v>19</v>
      </c>
      <c r="J582" s="6" t="s">
        <v>1218</v>
      </c>
      <c r="K582" s="6" t="s">
        <v>21</v>
      </c>
      <c r="L582" s="6" t="s">
        <v>22</v>
      </c>
      <c r="M582" s="6" t="s">
        <v>23</v>
      </c>
      <c r="N582" s="6">
        <v>1.43</v>
      </c>
      <c r="O582" s="6">
        <v>95</v>
      </c>
    </row>
    <row r="583" spans="1:15" ht="14.25" customHeight="1" x14ac:dyDescent="0.3">
      <c r="A583" s="6" t="s">
        <v>1219</v>
      </c>
      <c r="B583" s="6">
        <v>44</v>
      </c>
      <c r="C583" s="6" t="s">
        <v>16</v>
      </c>
      <c r="D583" s="6" t="s">
        <v>47</v>
      </c>
      <c r="E583" s="6" t="s">
        <v>18</v>
      </c>
      <c r="F583" s="6">
        <v>1582</v>
      </c>
      <c r="G583" s="6">
        <v>65315.76</v>
      </c>
      <c r="H583" s="7">
        <v>37916</v>
      </c>
      <c r="I583" s="6" t="s">
        <v>28</v>
      </c>
      <c r="J583" s="6" t="s">
        <v>1220</v>
      </c>
      <c r="K583" s="6" t="s">
        <v>30</v>
      </c>
      <c r="L583" s="6" t="s">
        <v>31</v>
      </c>
      <c r="M583" s="6" t="s">
        <v>32</v>
      </c>
      <c r="N583" s="6">
        <v>2.82</v>
      </c>
      <c r="O583" s="6">
        <v>172</v>
      </c>
    </row>
    <row r="584" spans="1:15" ht="14.25" customHeight="1" x14ac:dyDescent="0.3">
      <c r="A584" s="6" t="s">
        <v>1221</v>
      </c>
      <c r="B584" s="6">
        <v>38</v>
      </c>
      <c r="C584" s="6" t="s">
        <v>25</v>
      </c>
      <c r="D584" s="6" t="s">
        <v>26</v>
      </c>
      <c r="E584" s="6" t="s">
        <v>48</v>
      </c>
      <c r="F584" s="6">
        <v>1583</v>
      </c>
      <c r="G584" s="6">
        <v>54137.82</v>
      </c>
      <c r="H584" s="7">
        <v>37457</v>
      </c>
      <c r="I584" s="6" t="s">
        <v>35</v>
      </c>
      <c r="J584" s="6" t="s">
        <v>1222</v>
      </c>
      <c r="K584" s="6" t="s">
        <v>37</v>
      </c>
      <c r="L584" s="6" t="s">
        <v>38</v>
      </c>
      <c r="M584" s="6" t="s">
        <v>39</v>
      </c>
      <c r="N584" s="6">
        <v>3.25</v>
      </c>
      <c r="O584" s="6">
        <v>22</v>
      </c>
    </row>
    <row r="585" spans="1:15" ht="14.25" customHeight="1" x14ac:dyDescent="0.3">
      <c r="A585" s="6" t="s">
        <v>1223</v>
      </c>
      <c r="B585" s="6">
        <v>47</v>
      </c>
      <c r="C585" s="6" t="s">
        <v>16</v>
      </c>
      <c r="D585" s="6" t="s">
        <v>55</v>
      </c>
      <c r="E585" s="6" t="s">
        <v>18</v>
      </c>
      <c r="F585" s="6">
        <v>1584</v>
      </c>
      <c r="G585" s="6">
        <v>69720.009999999995</v>
      </c>
      <c r="H585" s="7">
        <v>43919</v>
      </c>
      <c r="I585" s="6" t="s">
        <v>41</v>
      </c>
      <c r="J585" s="6" t="s">
        <v>1224</v>
      </c>
      <c r="K585" s="6" t="s">
        <v>43</v>
      </c>
      <c r="L585" s="6" t="s">
        <v>44</v>
      </c>
      <c r="M585" s="6" t="s">
        <v>45</v>
      </c>
      <c r="N585" s="6">
        <v>3.31</v>
      </c>
      <c r="O585" s="6">
        <v>68</v>
      </c>
    </row>
    <row r="586" spans="1:15" ht="14.25" customHeight="1" x14ac:dyDescent="0.3">
      <c r="A586" s="6" t="s">
        <v>1225</v>
      </c>
      <c r="B586" s="6">
        <v>59</v>
      </c>
      <c r="C586" s="6" t="s">
        <v>16</v>
      </c>
      <c r="D586" s="6" t="s">
        <v>17</v>
      </c>
      <c r="E586" s="6" t="s">
        <v>48</v>
      </c>
      <c r="F586" s="6">
        <v>1585</v>
      </c>
      <c r="G586" s="6">
        <v>96543.07</v>
      </c>
      <c r="H586" s="7">
        <v>41069</v>
      </c>
      <c r="I586" s="6" t="s">
        <v>49</v>
      </c>
      <c r="J586" s="6" t="s">
        <v>1226</v>
      </c>
      <c r="K586" s="6" t="s">
        <v>51</v>
      </c>
      <c r="L586" s="6" t="s">
        <v>52</v>
      </c>
      <c r="M586" s="6" t="s">
        <v>53</v>
      </c>
      <c r="N586" s="6">
        <v>4.42</v>
      </c>
      <c r="O586" s="6">
        <v>19</v>
      </c>
    </row>
    <row r="587" spans="1:15" ht="14.25" customHeight="1" x14ac:dyDescent="0.3">
      <c r="A587" s="6" t="s">
        <v>1227</v>
      </c>
      <c r="B587" s="6">
        <v>23</v>
      </c>
      <c r="C587" s="6" t="s">
        <v>25</v>
      </c>
      <c r="D587" s="6" t="s">
        <v>69</v>
      </c>
      <c r="E587" s="6" t="s">
        <v>27</v>
      </c>
      <c r="F587" s="6">
        <v>1586</v>
      </c>
      <c r="G587" s="6">
        <v>66204.36</v>
      </c>
      <c r="H587" s="7">
        <v>42579</v>
      </c>
      <c r="I587" s="6" t="s">
        <v>56</v>
      </c>
      <c r="J587" s="6" t="s">
        <v>1228</v>
      </c>
      <c r="K587" s="6" t="s">
        <v>21</v>
      </c>
      <c r="L587" s="6" t="s">
        <v>22</v>
      </c>
      <c r="M587" s="6" t="s">
        <v>23</v>
      </c>
      <c r="N587" s="6">
        <v>2.04</v>
      </c>
      <c r="O587" s="6">
        <v>146</v>
      </c>
    </row>
    <row r="588" spans="1:15" ht="14.25" customHeight="1" x14ac:dyDescent="0.3">
      <c r="A588" s="6" t="s">
        <v>1229</v>
      </c>
      <c r="B588" s="6">
        <v>27</v>
      </c>
      <c r="C588" s="6" t="s">
        <v>62</v>
      </c>
      <c r="D588" s="6" t="s">
        <v>47</v>
      </c>
      <c r="E588" s="6" t="s">
        <v>48</v>
      </c>
      <c r="F588" s="6">
        <v>1587</v>
      </c>
      <c r="G588" s="6">
        <v>165098.76</v>
      </c>
      <c r="H588" s="7">
        <v>40609</v>
      </c>
      <c r="I588" s="6" t="s">
        <v>63</v>
      </c>
      <c r="J588" s="6" t="s">
        <v>1230</v>
      </c>
      <c r="K588" s="6" t="s">
        <v>30</v>
      </c>
      <c r="L588" s="6" t="s">
        <v>31</v>
      </c>
      <c r="M588" s="6" t="s">
        <v>32</v>
      </c>
      <c r="N588" s="6">
        <v>2.6</v>
      </c>
      <c r="O588" s="6">
        <v>95</v>
      </c>
    </row>
    <row r="589" spans="1:15" ht="14.25" customHeight="1" x14ac:dyDescent="0.3">
      <c r="A589" s="6" t="s">
        <v>1231</v>
      </c>
      <c r="B589" s="6">
        <v>28</v>
      </c>
      <c r="C589" s="6" t="s">
        <v>16</v>
      </c>
      <c r="D589" s="6" t="s">
        <v>47</v>
      </c>
      <c r="E589" s="6" t="s">
        <v>48</v>
      </c>
      <c r="F589" s="6">
        <v>1588</v>
      </c>
      <c r="G589" s="6">
        <v>179512.19</v>
      </c>
      <c r="H589" s="7">
        <v>42656</v>
      </c>
      <c r="I589" s="6" t="s">
        <v>66</v>
      </c>
      <c r="J589" s="6" t="s">
        <v>1232</v>
      </c>
      <c r="K589" s="6" t="s">
        <v>37</v>
      </c>
      <c r="L589" s="6" t="s">
        <v>38</v>
      </c>
      <c r="M589" s="6" t="s">
        <v>39</v>
      </c>
      <c r="N589" s="6">
        <v>1.69</v>
      </c>
      <c r="O589" s="6">
        <v>187</v>
      </c>
    </row>
    <row r="590" spans="1:15" ht="14.25" customHeight="1" x14ac:dyDescent="0.3">
      <c r="A590" s="6" t="s">
        <v>1233</v>
      </c>
      <c r="B590" s="6">
        <v>34</v>
      </c>
      <c r="C590" s="6" t="s">
        <v>25</v>
      </c>
      <c r="D590" s="6" t="s">
        <v>47</v>
      </c>
      <c r="E590" s="6" t="s">
        <v>18</v>
      </c>
      <c r="F590" s="6">
        <v>1589</v>
      </c>
      <c r="G590" s="6">
        <v>137398.88</v>
      </c>
      <c r="H590" s="7">
        <v>42805</v>
      </c>
      <c r="I590" s="6" t="s">
        <v>70</v>
      </c>
      <c r="J590" s="6" t="s">
        <v>1234</v>
      </c>
      <c r="K590" s="6" t="s">
        <v>43</v>
      </c>
      <c r="L590" s="6" t="s">
        <v>44</v>
      </c>
      <c r="M590" s="6" t="s">
        <v>45</v>
      </c>
      <c r="N590" s="6">
        <v>3.39</v>
      </c>
      <c r="O590" s="6">
        <v>167</v>
      </c>
    </row>
    <row r="591" spans="1:15" ht="14.25" customHeight="1" x14ac:dyDescent="0.3">
      <c r="A591" s="6" t="s">
        <v>1235</v>
      </c>
      <c r="B591" s="6">
        <v>48</v>
      </c>
      <c r="C591" s="6" t="s">
        <v>62</v>
      </c>
      <c r="D591" s="6" t="s">
        <v>47</v>
      </c>
      <c r="E591" s="6" t="s">
        <v>18</v>
      </c>
      <c r="F591" s="6">
        <v>1590</v>
      </c>
      <c r="G591" s="6">
        <v>144189.63</v>
      </c>
      <c r="H591" s="7">
        <v>38319</v>
      </c>
      <c r="I591" s="6" t="s">
        <v>73</v>
      </c>
      <c r="J591" s="6" t="s">
        <v>1236</v>
      </c>
      <c r="K591" s="6" t="s">
        <v>51</v>
      </c>
      <c r="L591" s="6" t="s">
        <v>52</v>
      </c>
      <c r="M591" s="6" t="s">
        <v>53</v>
      </c>
      <c r="N591" s="6">
        <v>4.49</v>
      </c>
      <c r="O591" s="6">
        <v>85</v>
      </c>
    </row>
    <row r="592" spans="1:15" ht="14.25" customHeight="1" x14ac:dyDescent="0.3">
      <c r="A592" s="6" t="s">
        <v>1237</v>
      </c>
      <c r="B592" s="6">
        <v>32</v>
      </c>
      <c r="C592" s="6" t="s">
        <v>16</v>
      </c>
      <c r="D592" s="6" t="s">
        <v>69</v>
      </c>
      <c r="E592" s="6" t="s">
        <v>48</v>
      </c>
      <c r="F592" s="6">
        <v>1591</v>
      </c>
      <c r="G592" s="6">
        <v>194005.54</v>
      </c>
      <c r="H592" s="7">
        <v>37272</v>
      </c>
      <c r="I592" s="6" t="s">
        <v>19</v>
      </c>
      <c r="J592" s="6" t="s">
        <v>1238</v>
      </c>
      <c r="K592" s="6" t="s">
        <v>21</v>
      </c>
      <c r="L592" s="6" t="s">
        <v>22</v>
      </c>
      <c r="M592" s="6" t="s">
        <v>23</v>
      </c>
      <c r="N592" s="6">
        <v>2.91</v>
      </c>
      <c r="O592" s="6">
        <v>46</v>
      </c>
    </row>
    <row r="593" spans="1:15" ht="14.25" customHeight="1" x14ac:dyDescent="0.3">
      <c r="A593" s="6" t="s">
        <v>1239</v>
      </c>
      <c r="B593" s="6">
        <v>36</v>
      </c>
      <c r="C593" s="6" t="s">
        <v>16</v>
      </c>
      <c r="D593" s="6" t="s">
        <v>69</v>
      </c>
      <c r="E593" s="6" t="s">
        <v>48</v>
      </c>
      <c r="F593" s="6">
        <v>1592</v>
      </c>
      <c r="G593" s="6">
        <v>132712.63</v>
      </c>
      <c r="H593" s="7">
        <v>38448</v>
      </c>
      <c r="I593" s="6" t="s">
        <v>28</v>
      </c>
      <c r="J593" s="6" t="s">
        <v>1240</v>
      </c>
      <c r="K593" s="6" t="s">
        <v>30</v>
      </c>
      <c r="L593" s="6" t="s">
        <v>31</v>
      </c>
      <c r="M593" s="6" t="s">
        <v>32</v>
      </c>
      <c r="N593" s="6">
        <v>1.36</v>
      </c>
      <c r="O593" s="6">
        <v>178</v>
      </c>
    </row>
    <row r="594" spans="1:15" ht="14.25" customHeight="1" x14ac:dyDescent="0.3">
      <c r="A594" s="6" t="s">
        <v>1241</v>
      </c>
      <c r="B594" s="6">
        <v>30</v>
      </c>
      <c r="C594" s="6" t="s">
        <v>16</v>
      </c>
      <c r="D594" s="6" t="s">
        <v>69</v>
      </c>
      <c r="E594" s="6" t="s">
        <v>18</v>
      </c>
      <c r="F594" s="6">
        <v>1593</v>
      </c>
      <c r="G594" s="6">
        <v>180303.16</v>
      </c>
      <c r="H594" s="7">
        <v>37642</v>
      </c>
      <c r="I594" s="6" t="s">
        <v>35</v>
      </c>
      <c r="J594" s="6" t="s">
        <v>1242</v>
      </c>
      <c r="K594" s="6" t="s">
        <v>37</v>
      </c>
      <c r="L594" s="6" t="s">
        <v>38</v>
      </c>
      <c r="M594" s="6" t="s">
        <v>39</v>
      </c>
      <c r="N594" s="6">
        <v>1.74</v>
      </c>
      <c r="O594" s="6">
        <v>33</v>
      </c>
    </row>
    <row r="595" spans="1:15" ht="14.25" customHeight="1" x14ac:dyDescent="0.3">
      <c r="A595" s="6" t="s">
        <v>1243</v>
      </c>
      <c r="B595" s="6">
        <v>29</v>
      </c>
      <c r="C595" s="6" t="s">
        <v>16</v>
      </c>
      <c r="D595" s="6" t="s">
        <v>69</v>
      </c>
      <c r="E595" s="6" t="s">
        <v>34</v>
      </c>
      <c r="F595" s="6">
        <v>1594</v>
      </c>
      <c r="G595" s="6">
        <v>159094.14000000001</v>
      </c>
      <c r="H595" s="7">
        <v>44435</v>
      </c>
      <c r="I595" s="6" t="s">
        <v>41</v>
      </c>
      <c r="J595" s="6" t="s">
        <v>1244</v>
      </c>
      <c r="K595" s="6" t="s">
        <v>43</v>
      </c>
      <c r="L595" s="6" t="s">
        <v>44</v>
      </c>
      <c r="M595" s="6" t="s">
        <v>45</v>
      </c>
      <c r="N595" s="6">
        <v>1.97</v>
      </c>
      <c r="O595" s="6">
        <v>115</v>
      </c>
    </row>
    <row r="596" spans="1:15" ht="14.25" customHeight="1" x14ac:dyDescent="0.3">
      <c r="A596" s="6" t="s">
        <v>1245</v>
      </c>
      <c r="B596" s="6">
        <v>27</v>
      </c>
      <c r="C596" s="6" t="s">
        <v>62</v>
      </c>
      <c r="D596" s="6" t="s">
        <v>17</v>
      </c>
      <c r="E596" s="6" t="s">
        <v>80</v>
      </c>
      <c r="F596" s="6">
        <v>1595</v>
      </c>
      <c r="G596" s="6">
        <v>133133.51999999999</v>
      </c>
      <c r="H596" s="7">
        <v>42520</v>
      </c>
      <c r="I596" s="6" t="s">
        <v>49</v>
      </c>
      <c r="J596" s="6" t="s">
        <v>1246</v>
      </c>
      <c r="K596" s="6" t="s">
        <v>51</v>
      </c>
      <c r="L596" s="6" t="s">
        <v>52</v>
      </c>
      <c r="M596" s="6" t="s">
        <v>53</v>
      </c>
      <c r="N596" s="6">
        <v>2.44</v>
      </c>
      <c r="O596" s="6">
        <v>62</v>
      </c>
    </row>
    <row r="597" spans="1:15" ht="14.25" customHeight="1" x14ac:dyDescent="0.3">
      <c r="A597" s="6" t="s">
        <v>1247</v>
      </c>
      <c r="B597" s="6">
        <v>64</v>
      </c>
      <c r="C597" s="6" t="s">
        <v>16</v>
      </c>
      <c r="D597" s="6" t="s">
        <v>55</v>
      </c>
      <c r="E597" s="6" t="s">
        <v>27</v>
      </c>
      <c r="F597" s="6">
        <v>1596</v>
      </c>
      <c r="G597" s="6">
        <v>126717.08</v>
      </c>
      <c r="H597" s="7">
        <v>42484</v>
      </c>
      <c r="I597" s="6" t="s">
        <v>56</v>
      </c>
      <c r="J597" s="6" t="s">
        <v>1248</v>
      </c>
      <c r="K597" s="6" t="s">
        <v>21</v>
      </c>
      <c r="L597" s="6" t="s">
        <v>22</v>
      </c>
      <c r="M597" s="6" t="s">
        <v>23</v>
      </c>
      <c r="N597" s="6">
        <v>4.57</v>
      </c>
      <c r="O597" s="6">
        <v>5</v>
      </c>
    </row>
    <row r="598" spans="1:15" ht="14.25" customHeight="1" x14ac:dyDescent="0.3">
      <c r="A598" s="6" t="s">
        <v>1249</v>
      </c>
      <c r="B598" s="6">
        <v>25</v>
      </c>
      <c r="C598" s="6" t="s">
        <v>25</v>
      </c>
      <c r="D598" s="6" t="s">
        <v>69</v>
      </c>
      <c r="E598" s="6" t="s">
        <v>48</v>
      </c>
      <c r="F598" s="6">
        <v>1597</v>
      </c>
      <c r="G598" s="6">
        <v>54476.87</v>
      </c>
      <c r="H598" s="7">
        <v>40346</v>
      </c>
      <c r="I598" s="6" t="s">
        <v>63</v>
      </c>
      <c r="J598" s="6" t="s">
        <v>1250</v>
      </c>
      <c r="K598" s="6" t="s">
        <v>30</v>
      </c>
      <c r="L598" s="6" t="s">
        <v>31</v>
      </c>
      <c r="M598" s="6" t="s">
        <v>32</v>
      </c>
      <c r="N598" s="6">
        <v>2.38</v>
      </c>
      <c r="O598" s="6">
        <v>36</v>
      </c>
    </row>
    <row r="599" spans="1:15" ht="14.25" customHeight="1" x14ac:dyDescent="0.3">
      <c r="A599" s="6" t="s">
        <v>1251</v>
      </c>
      <c r="B599" s="6">
        <v>32</v>
      </c>
      <c r="C599" s="6" t="s">
        <v>25</v>
      </c>
      <c r="D599" s="6" t="s">
        <v>69</v>
      </c>
      <c r="E599" s="6" t="s">
        <v>18</v>
      </c>
      <c r="F599" s="6">
        <v>1598</v>
      </c>
      <c r="G599" s="6">
        <v>94627.61</v>
      </c>
      <c r="H599" s="7">
        <v>42618</v>
      </c>
      <c r="I599" s="6" t="s">
        <v>66</v>
      </c>
      <c r="J599" s="6" t="s">
        <v>1252</v>
      </c>
      <c r="K599" s="6" t="s">
        <v>37</v>
      </c>
      <c r="L599" s="6" t="s">
        <v>38</v>
      </c>
      <c r="M599" s="6" t="s">
        <v>39</v>
      </c>
      <c r="N599" s="6">
        <v>1.17</v>
      </c>
      <c r="O599" s="6">
        <v>180</v>
      </c>
    </row>
    <row r="600" spans="1:15" ht="14.25" customHeight="1" x14ac:dyDescent="0.3">
      <c r="A600" s="6" t="s">
        <v>1253</v>
      </c>
      <c r="B600" s="6">
        <v>49</v>
      </c>
      <c r="C600" s="6" t="s">
        <v>25</v>
      </c>
      <c r="D600" s="6" t="s">
        <v>17</v>
      </c>
      <c r="E600" s="6" t="s">
        <v>80</v>
      </c>
      <c r="F600" s="6">
        <v>1599</v>
      </c>
      <c r="G600" s="6">
        <v>85578.67</v>
      </c>
      <c r="H600" s="7">
        <v>42274</v>
      </c>
      <c r="I600" s="6" t="s">
        <v>70</v>
      </c>
      <c r="J600" s="6" t="s">
        <v>1254</v>
      </c>
      <c r="K600" s="6" t="s">
        <v>43</v>
      </c>
      <c r="L600" s="6" t="s">
        <v>44</v>
      </c>
      <c r="M600" s="6" t="s">
        <v>45</v>
      </c>
      <c r="N600" s="6">
        <v>2.2799999999999998</v>
      </c>
      <c r="O600" s="6">
        <v>132</v>
      </c>
    </row>
    <row r="601" spans="1:15" ht="14.25" customHeight="1" x14ac:dyDescent="0.3">
      <c r="A601" s="6" t="s">
        <v>1255</v>
      </c>
      <c r="B601" s="6">
        <v>47</v>
      </c>
      <c r="C601" s="6" t="s">
        <v>62</v>
      </c>
      <c r="D601" s="6" t="s">
        <v>26</v>
      </c>
      <c r="E601" s="6" t="s">
        <v>48</v>
      </c>
      <c r="F601" s="6">
        <v>1600</v>
      </c>
      <c r="G601" s="6">
        <v>93873.05</v>
      </c>
      <c r="H601" s="7">
        <v>37149</v>
      </c>
      <c r="I601" s="6" t="s">
        <v>73</v>
      </c>
      <c r="J601" s="6" t="s">
        <v>1256</v>
      </c>
      <c r="K601" s="6" t="s">
        <v>51</v>
      </c>
      <c r="L601" s="6" t="s">
        <v>52</v>
      </c>
      <c r="M601" s="6" t="s">
        <v>53</v>
      </c>
      <c r="N601" s="6">
        <v>4</v>
      </c>
      <c r="O601" s="6">
        <v>168</v>
      </c>
    </row>
    <row r="602" spans="1:15" ht="14.25" customHeight="1" x14ac:dyDescent="0.3">
      <c r="A602" s="6" t="s">
        <v>1257</v>
      </c>
      <c r="B602" s="6">
        <v>25</v>
      </c>
      <c r="C602" s="6" t="s">
        <v>25</v>
      </c>
      <c r="D602" s="6" t="s">
        <v>17</v>
      </c>
      <c r="E602" s="6" t="s">
        <v>18</v>
      </c>
      <c r="F602" s="6">
        <v>1601</v>
      </c>
      <c r="G602" s="6">
        <v>149907.38</v>
      </c>
      <c r="H602" s="7">
        <v>41924</v>
      </c>
      <c r="I602" s="6" t="s">
        <v>19</v>
      </c>
      <c r="J602" s="6" t="s">
        <v>1258</v>
      </c>
      <c r="K602" s="6" t="s">
        <v>21</v>
      </c>
      <c r="L602" s="6" t="s">
        <v>22</v>
      </c>
      <c r="M602" s="6" t="s">
        <v>23</v>
      </c>
      <c r="N602" s="6">
        <v>1.75</v>
      </c>
      <c r="O602" s="6">
        <v>181</v>
      </c>
    </row>
    <row r="603" spans="1:15" ht="14.25" customHeight="1" x14ac:dyDescent="0.3">
      <c r="A603" s="6" t="s">
        <v>1259</v>
      </c>
      <c r="B603" s="6">
        <v>36</v>
      </c>
      <c r="C603" s="6" t="s">
        <v>16</v>
      </c>
      <c r="D603" s="6" t="s">
        <v>26</v>
      </c>
      <c r="E603" s="6" t="s">
        <v>18</v>
      </c>
      <c r="F603" s="6">
        <v>1602</v>
      </c>
      <c r="G603" s="6">
        <v>127407.79</v>
      </c>
      <c r="H603" s="7">
        <v>40976</v>
      </c>
      <c r="I603" s="6" t="s">
        <v>28</v>
      </c>
      <c r="J603" s="6" t="s">
        <v>1260</v>
      </c>
      <c r="K603" s="6" t="s">
        <v>30</v>
      </c>
      <c r="L603" s="6" t="s">
        <v>31</v>
      </c>
      <c r="M603" s="6" t="s">
        <v>32</v>
      </c>
      <c r="N603" s="6">
        <v>3.02</v>
      </c>
      <c r="O603" s="6">
        <v>156</v>
      </c>
    </row>
    <row r="604" spans="1:15" ht="14.25" customHeight="1" x14ac:dyDescent="0.3">
      <c r="A604" s="6" t="s">
        <v>1261</v>
      </c>
      <c r="B604" s="6">
        <v>40</v>
      </c>
      <c r="C604" s="6" t="s">
        <v>16</v>
      </c>
      <c r="D604" s="6" t="s">
        <v>47</v>
      </c>
      <c r="E604" s="6" t="s">
        <v>34</v>
      </c>
      <c r="F604" s="6">
        <v>1603</v>
      </c>
      <c r="G604" s="6">
        <v>110672.6</v>
      </c>
      <c r="H604" s="7">
        <v>40253</v>
      </c>
      <c r="I604" s="6" t="s">
        <v>35</v>
      </c>
      <c r="J604" s="6" t="s">
        <v>1262</v>
      </c>
      <c r="K604" s="6" t="s">
        <v>37</v>
      </c>
      <c r="L604" s="6" t="s">
        <v>38</v>
      </c>
      <c r="M604" s="6" t="s">
        <v>39</v>
      </c>
      <c r="N604" s="6">
        <v>3.39</v>
      </c>
      <c r="O604" s="6">
        <v>150</v>
      </c>
    </row>
    <row r="605" spans="1:15" ht="14.25" customHeight="1" x14ac:dyDescent="0.3">
      <c r="A605" s="6" t="s">
        <v>1263</v>
      </c>
      <c r="B605" s="6">
        <v>27</v>
      </c>
      <c r="C605" s="6" t="s">
        <v>25</v>
      </c>
      <c r="D605" s="6" t="s">
        <v>17</v>
      </c>
      <c r="E605" s="6" t="s">
        <v>48</v>
      </c>
      <c r="F605" s="6">
        <v>1604</v>
      </c>
      <c r="G605" s="6">
        <v>147956.4</v>
      </c>
      <c r="H605" s="7">
        <v>37803</v>
      </c>
      <c r="I605" s="6" t="s">
        <v>41</v>
      </c>
      <c r="J605" s="6" t="s">
        <v>1264</v>
      </c>
      <c r="K605" s="6" t="s">
        <v>43</v>
      </c>
      <c r="L605" s="6" t="s">
        <v>44</v>
      </c>
      <c r="M605" s="6" t="s">
        <v>45</v>
      </c>
      <c r="N605" s="6">
        <v>4.4000000000000004</v>
      </c>
      <c r="O605" s="6">
        <v>59</v>
      </c>
    </row>
    <row r="606" spans="1:15" ht="14.25" customHeight="1" x14ac:dyDescent="0.3">
      <c r="A606" s="6" t="s">
        <v>1265</v>
      </c>
      <c r="B606" s="6">
        <v>26</v>
      </c>
      <c r="C606" s="6" t="s">
        <v>62</v>
      </c>
      <c r="D606" s="6" t="s">
        <v>47</v>
      </c>
      <c r="E606" s="6" t="s">
        <v>80</v>
      </c>
      <c r="F606" s="6">
        <v>1605</v>
      </c>
      <c r="G606" s="6">
        <v>76904.960000000006</v>
      </c>
      <c r="H606" s="7">
        <v>41290</v>
      </c>
      <c r="I606" s="6" t="s">
        <v>49</v>
      </c>
      <c r="J606" s="6" t="s">
        <v>1266</v>
      </c>
      <c r="K606" s="6" t="s">
        <v>51</v>
      </c>
      <c r="L606" s="6" t="s">
        <v>52</v>
      </c>
      <c r="M606" s="6" t="s">
        <v>53</v>
      </c>
      <c r="N606" s="6">
        <v>4.5199999999999996</v>
      </c>
      <c r="O606" s="6">
        <v>22</v>
      </c>
    </row>
    <row r="607" spans="1:15" ht="14.25" customHeight="1" x14ac:dyDescent="0.3">
      <c r="A607" s="6" t="s">
        <v>1267</v>
      </c>
      <c r="B607" s="6">
        <v>39</v>
      </c>
      <c r="C607" s="6" t="s">
        <v>62</v>
      </c>
      <c r="D607" s="6" t="s">
        <v>26</v>
      </c>
      <c r="E607" s="6" t="s">
        <v>27</v>
      </c>
      <c r="F607" s="6">
        <v>1606</v>
      </c>
      <c r="G607" s="6">
        <v>85472.35</v>
      </c>
      <c r="H607" s="7">
        <v>38214</v>
      </c>
      <c r="I607" s="6" t="s">
        <v>56</v>
      </c>
      <c r="J607" s="6" t="s">
        <v>1268</v>
      </c>
      <c r="K607" s="6" t="s">
        <v>21</v>
      </c>
      <c r="L607" s="6" t="s">
        <v>22</v>
      </c>
      <c r="M607" s="6" t="s">
        <v>23</v>
      </c>
      <c r="N607" s="6">
        <v>2.19</v>
      </c>
      <c r="O607" s="6">
        <v>19</v>
      </c>
    </row>
    <row r="608" spans="1:15" ht="14.25" customHeight="1" x14ac:dyDescent="0.3">
      <c r="A608" s="6" t="s">
        <v>1269</v>
      </c>
      <c r="B608" s="6">
        <v>27</v>
      </c>
      <c r="C608" s="6" t="s">
        <v>16</v>
      </c>
      <c r="D608" s="6" t="s">
        <v>17</v>
      </c>
      <c r="E608" s="6" t="s">
        <v>34</v>
      </c>
      <c r="F608" s="6">
        <v>1607</v>
      </c>
      <c r="G608" s="6">
        <v>122192.26</v>
      </c>
      <c r="H608" s="7">
        <v>41444</v>
      </c>
      <c r="I608" s="6" t="s">
        <v>63</v>
      </c>
      <c r="J608" s="6" t="s">
        <v>1270</v>
      </c>
      <c r="K608" s="6" t="s">
        <v>30</v>
      </c>
      <c r="L608" s="6" t="s">
        <v>31</v>
      </c>
      <c r="M608" s="6" t="s">
        <v>32</v>
      </c>
      <c r="N608" s="6">
        <v>4.6500000000000004</v>
      </c>
      <c r="O608" s="6">
        <v>24</v>
      </c>
    </row>
    <row r="609" spans="1:15" ht="14.25" customHeight="1" x14ac:dyDescent="0.3">
      <c r="A609" s="6" t="s">
        <v>1271</v>
      </c>
      <c r="B609" s="6">
        <v>52</v>
      </c>
      <c r="C609" s="6" t="s">
        <v>16</v>
      </c>
      <c r="D609" s="6" t="s">
        <v>26</v>
      </c>
      <c r="E609" s="6" t="s">
        <v>27</v>
      </c>
      <c r="F609" s="6">
        <v>1608</v>
      </c>
      <c r="G609" s="6">
        <v>155865.62</v>
      </c>
      <c r="H609" s="7">
        <v>39009</v>
      </c>
      <c r="I609" s="6" t="s">
        <v>66</v>
      </c>
      <c r="J609" s="6" t="s">
        <v>1272</v>
      </c>
      <c r="K609" s="6" t="s">
        <v>37</v>
      </c>
      <c r="L609" s="6" t="s">
        <v>38</v>
      </c>
      <c r="M609" s="6" t="s">
        <v>39</v>
      </c>
      <c r="N609" s="6">
        <v>4.0599999999999996</v>
      </c>
      <c r="O609" s="6">
        <v>128</v>
      </c>
    </row>
    <row r="610" spans="1:15" ht="14.25" customHeight="1" x14ac:dyDescent="0.3">
      <c r="A610" s="6" t="s">
        <v>1273</v>
      </c>
      <c r="B610" s="6">
        <v>46</v>
      </c>
      <c r="C610" s="6" t="s">
        <v>25</v>
      </c>
      <c r="D610" s="6" t="s">
        <v>26</v>
      </c>
      <c r="E610" s="6" t="s">
        <v>48</v>
      </c>
      <c r="F610" s="6">
        <v>1609</v>
      </c>
      <c r="G610" s="6">
        <v>66372.600000000006</v>
      </c>
      <c r="H610" s="7">
        <v>43513</v>
      </c>
      <c r="I610" s="6" t="s">
        <v>70</v>
      </c>
      <c r="J610" s="6" t="s">
        <v>1274</v>
      </c>
      <c r="K610" s="6" t="s">
        <v>43</v>
      </c>
      <c r="L610" s="6" t="s">
        <v>44</v>
      </c>
      <c r="M610" s="6" t="s">
        <v>45</v>
      </c>
      <c r="N610" s="6">
        <v>2.36</v>
      </c>
      <c r="O610" s="6">
        <v>154</v>
      </c>
    </row>
    <row r="611" spans="1:15" ht="14.25" customHeight="1" x14ac:dyDescent="0.3">
      <c r="A611" s="6" t="s">
        <v>1275</v>
      </c>
      <c r="B611" s="6">
        <v>25</v>
      </c>
      <c r="C611" s="6" t="s">
        <v>62</v>
      </c>
      <c r="D611" s="6" t="s">
        <v>47</v>
      </c>
      <c r="E611" s="6" t="s">
        <v>80</v>
      </c>
      <c r="F611" s="6">
        <v>1610</v>
      </c>
      <c r="G611" s="6">
        <v>176904.31</v>
      </c>
      <c r="H611" s="7">
        <v>43479</v>
      </c>
      <c r="I611" s="6" t="s">
        <v>73</v>
      </c>
      <c r="J611" s="6" t="s">
        <v>1276</v>
      </c>
      <c r="K611" s="6" t="s">
        <v>51</v>
      </c>
      <c r="L611" s="6" t="s">
        <v>52</v>
      </c>
      <c r="M611" s="6" t="s">
        <v>53</v>
      </c>
      <c r="N611" s="6">
        <v>4.49</v>
      </c>
      <c r="O611" s="6">
        <v>55</v>
      </c>
    </row>
    <row r="612" spans="1:15" ht="14.25" customHeight="1" x14ac:dyDescent="0.3">
      <c r="A612" s="6" t="s">
        <v>1277</v>
      </c>
      <c r="B612" s="6">
        <v>27</v>
      </c>
      <c r="C612" s="6" t="s">
        <v>25</v>
      </c>
      <c r="D612" s="6" t="s">
        <v>26</v>
      </c>
      <c r="E612" s="6" t="s">
        <v>80</v>
      </c>
      <c r="F612" s="6">
        <v>1611</v>
      </c>
      <c r="G612" s="6">
        <v>163598.23000000001</v>
      </c>
      <c r="H612" s="7">
        <v>38571</v>
      </c>
      <c r="I612" s="6" t="s">
        <v>19</v>
      </c>
      <c r="J612" s="6" t="s">
        <v>1278</v>
      </c>
      <c r="K612" s="6" t="s">
        <v>21</v>
      </c>
      <c r="L612" s="6" t="s">
        <v>22</v>
      </c>
      <c r="M612" s="6" t="s">
        <v>23</v>
      </c>
      <c r="N612" s="6">
        <v>1</v>
      </c>
      <c r="O612" s="6">
        <v>33</v>
      </c>
    </row>
    <row r="613" spans="1:15" ht="14.25" customHeight="1" x14ac:dyDescent="0.3">
      <c r="A613" s="6" t="s">
        <v>1279</v>
      </c>
      <c r="B613" s="6">
        <v>62</v>
      </c>
      <c r="C613" s="6" t="s">
        <v>16</v>
      </c>
      <c r="D613" s="6" t="s">
        <v>55</v>
      </c>
      <c r="E613" s="6" t="s">
        <v>80</v>
      </c>
      <c r="F613" s="6">
        <v>1612</v>
      </c>
      <c r="G613" s="6">
        <v>146340.24</v>
      </c>
      <c r="H613" s="7">
        <v>44469</v>
      </c>
      <c r="I613" s="6" t="s">
        <v>28</v>
      </c>
      <c r="J613" s="6" t="s">
        <v>1280</v>
      </c>
      <c r="K613" s="6" t="s">
        <v>30</v>
      </c>
      <c r="L613" s="6" t="s">
        <v>31</v>
      </c>
      <c r="M613" s="6" t="s">
        <v>32</v>
      </c>
      <c r="N613" s="6">
        <v>1.6</v>
      </c>
      <c r="O613" s="6">
        <v>25</v>
      </c>
    </row>
    <row r="614" spans="1:15" ht="14.25" customHeight="1" x14ac:dyDescent="0.3">
      <c r="A614" s="6" t="s">
        <v>1281</v>
      </c>
      <c r="B614" s="6">
        <v>58</v>
      </c>
      <c r="C614" s="6" t="s">
        <v>16</v>
      </c>
      <c r="D614" s="6" t="s">
        <v>69</v>
      </c>
      <c r="E614" s="6" t="s">
        <v>18</v>
      </c>
      <c r="F614" s="6">
        <v>1613</v>
      </c>
      <c r="G614" s="6">
        <v>116439.74</v>
      </c>
      <c r="H614" s="7">
        <v>37534</v>
      </c>
      <c r="I614" s="6" t="s">
        <v>35</v>
      </c>
      <c r="J614" s="6" t="s">
        <v>1282</v>
      </c>
      <c r="K614" s="6" t="s">
        <v>37</v>
      </c>
      <c r="L614" s="6" t="s">
        <v>38</v>
      </c>
      <c r="M614" s="6" t="s">
        <v>39</v>
      </c>
      <c r="N614" s="6">
        <v>2.79</v>
      </c>
      <c r="O614" s="6">
        <v>5</v>
      </c>
    </row>
    <row r="615" spans="1:15" ht="14.25" customHeight="1" x14ac:dyDescent="0.3">
      <c r="A615" s="6" t="s">
        <v>1283</v>
      </c>
      <c r="B615" s="6">
        <v>46</v>
      </c>
      <c r="C615" s="6" t="s">
        <v>25</v>
      </c>
      <c r="D615" s="6" t="s">
        <v>17</v>
      </c>
      <c r="E615" s="6" t="s">
        <v>80</v>
      </c>
      <c r="F615" s="6">
        <v>1614</v>
      </c>
      <c r="G615" s="6">
        <v>172137.66</v>
      </c>
      <c r="H615" s="7">
        <v>41909</v>
      </c>
      <c r="I615" s="6" t="s">
        <v>41</v>
      </c>
      <c r="J615" s="6" t="s">
        <v>1284</v>
      </c>
      <c r="K615" s="6" t="s">
        <v>43</v>
      </c>
      <c r="L615" s="6" t="s">
        <v>44</v>
      </c>
      <c r="M615" s="6" t="s">
        <v>45</v>
      </c>
      <c r="N615" s="6">
        <v>1.37</v>
      </c>
      <c r="O615" s="6">
        <v>127</v>
      </c>
    </row>
    <row r="616" spans="1:15" ht="14.25" customHeight="1" x14ac:dyDescent="0.3">
      <c r="A616" s="6" t="s">
        <v>1285</v>
      </c>
      <c r="B616" s="6">
        <v>55</v>
      </c>
      <c r="C616" s="6" t="s">
        <v>62</v>
      </c>
      <c r="D616" s="6" t="s">
        <v>47</v>
      </c>
      <c r="E616" s="6" t="s">
        <v>18</v>
      </c>
      <c r="F616" s="6">
        <v>1615</v>
      </c>
      <c r="G616" s="6">
        <v>107062.89</v>
      </c>
      <c r="H616" s="7">
        <v>43051</v>
      </c>
      <c r="I616" s="6" t="s">
        <v>49</v>
      </c>
      <c r="J616" s="6" t="s">
        <v>1286</v>
      </c>
      <c r="K616" s="6" t="s">
        <v>51</v>
      </c>
      <c r="L616" s="6" t="s">
        <v>52</v>
      </c>
      <c r="M616" s="6" t="s">
        <v>53</v>
      </c>
      <c r="N616" s="6">
        <v>1.46</v>
      </c>
      <c r="O616" s="6">
        <v>81</v>
      </c>
    </row>
    <row r="617" spans="1:15" ht="14.25" customHeight="1" x14ac:dyDescent="0.3">
      <c r="A617" s="6" t="s">
        <v>1287</v>
      </c>
      <c r="B617" s="6">
        <v>40</v>
      </c>
      <c r="C617" s="6" t="s">
        <v>16</v>
      </c>
      <c r="D617" s="6" t="s">
        <v>69</v>
      </c>
      <c r="E617" s="6" t="s">
        <v>80</v>
      </c>
      <c r="F617" s="6">
        <v>1616</v>
      </c>
      <c r="G617" s="6">
        <v>79768.45</v>
      </c>
      <c r="H617" s="7">
        <v>36944</v>
      </c>
      <c r="I617" s="6" t="s">
        <v>56</v>
      </c>
      <c r="J617" s="6" t="s">
        <v>1288</v>
      </c>
      <c r="K617" s="6" t="s">
        <v>21</v>
      </c>
      <c r="L617" s="6" t="s">
        <v>22</v>
      </c>
      <c r="M617" s="6" t="s">
        <v>23</v>
      </c>
      <c r="N617" s="6">
        <v>2.75</v>
      </c>
      <c r="O617" s="6">
        <v>106</v>
      </c>
    </row>
    <row r="618" spans="1:15" ht="14.25" customHeight="1" x14ac:dyDescent="0.3">
      <c r="A618" s="6" t="s">
        <v>1289</v>
      </c>
      <c r="B618" s="6">
        <v>55</v>
      </c>
      <c r="C618" s="6" t="s">
        <v>16</v>
      </c>
      <c r="D618" s="6" t="s">
        <v>47</v>
      </c>
      <c r="E618" s="6" t="s">
        <v>27</v>
      </c>
      <c r="F618" s="6">
        <v>1617</v>
      </c>
      <c r="G618" s="6">
        <v>79643.06</v>
      </c>
      <c r="H618" s="7">
        <v>38944</v>
      </c>
      <c r="I618" s="6" t="s">
        <v>63</v>
      </c>
      <c r="J618" s="6" t="s">
        <v>1290</v>
      </c>
      <c r="K618" s="6" t="s">
        <v>30</v>
      </c>
      <c r="L618" s="6" t="s">
        <v>31</v>
      </c>
      <c r="M618" s="6" t="s">
        <v>32</v>
      </c>
      <c r="N618" s="6">
        <v>3.97</v>
      </c>
      <c r="O618" s="6">
        <v>5</v>
      </c>
    </row>
    <row r="619" spans="1:15" ht="14.25" customHeight="1" x14ac:dyDescent="0.3">
      <c r="A619" s="6" t="s">
        <v>1291</v>
      </c>
      <c r="B619" s="6">
        <v>36</v>
      </c>
      <c r="C619" s="6" t="s">
        <v>62</v>
      </c>
      <c r="D619" s="6" t="s">
        <v>55</v>
      </c>
      <c r="E619" s="6" t="s">
        <v>27</v>
      </c>
      <c r="F619" s="6">
        <v>1618</v>
      </c>
      <c r="G619" s="6">
        <v>186910.81</v>
      </c>
      <c r="H619" s="7">
        <v>37907</v>
      </c>
      <c r="I619" s="6" t="s">
        <v>66</v>
      </c>
      <c r="J619" s="6" t="s">
        <v>1292</v>
      </c>
      <c r="K619" s="6" t="s">
        <v>37</v>
      </c>
      <c r="L619" s="6" t="s">
        <v>38</v>
      </c>
      <c r="M619" s="6" t="s">
        <v>39</v>
      </c>
      <c r="N619" s="6">
        <v>1.6</v>
      </c>
      <c r="O619" s="6">
        <v>90</v>
      </c>
    </row>
    <row r="620" spans="1:15" ht="14.25" customHeight="1" x14ac:dyDescent="0.3">
      <c r="A620" s="6" t="s">
        <v>1293</v>
      </c>
      <c r="B620" s="6">
        <v>29</v>
      </c>
      <c r="C620" s="6" t="s">
        <v>16</v>
      </c>
      <c r="D620" s="6" t="s">
        <v>69</v>
      </c>
      <c r="E620" s="6" t="s">
        <v>80</v>
      </c>
      <c r="F620" s="6">
        <v>1619</v>
      </c>
      <c r="G620" s="6">
        <v>139021.10999999999</v>
      </c>
      <c r="H620" s="7">
        <v>42378</v>
      </c>
      <c r="I620" s="6" t="s">
        <v>70</v>
      </c>
      <c r="J620" s="6" t="s">
        <v>1294</v>
      </c>
      <c r="K620" s="6" t="s">
        <v>43</v>
      </c>
      <c r="L620" s="6" t="s">
        <v>44</v>
      </c>
      <c r="M620" s="6" t="s">
        <v>45</v>
      </c>
      <c r="N620" s="6">
        <v>4.5</v>
      </c>
      <c r="O620" s="6">
        <v>41</v>
      </c>
    </row>
    <row r="621" spans="1:15" ht="14.25" customHeight="1" x14ac:dyDescent="0.3">
      <c r="A621" s="6" t="s">
        <v>1295</v>
      </c>
      <c r="B621" s="6">
        <v>55</v>
      </c>
      <c r="C621" s="6" t="s">
        <v>62</v>
      </c>
      <c r="D621" s="6" t="s">
        <v>17</v>
      </c>
      <c r="E621" s="6" t="s">
        <v>80</v>
      </c>
      <c r="F621" s="6">
        <v>1620</v>
      </c>
      <c r="G621" s="6">
        <v>86153.05</v>
      </c>
      <c r="H621" s="7">
        <v>38188</v>
      </c>
      <c r="I621" s="6" t="s">
        <v>73</v>
      </c>
      <c r="J621" s="6" t="s">
        <v>1296</v>
      </c>
      <c r="K621" s="6" t="s">
        <v>51</v>
      </c>
      <c r="L621" s="6" t="s">
        <v>52</v>
      </c>
      <c r="M621" s="6" t="s">
        <v>53</v>
      </c>
      <c r="N621" s="6">
        <v>3.6</v>
      </c>
      <c r="O621" s="6">
        <v>78</v>
      </c>
    </row>
    <row r="622" spans="1:15" ht="14.25" customHeight="1" x14ac:dyDescent="0.3">
      <c r="A622" s="6" t="s">
        <v>1297</v>
      </c>
      <c r="B622" s="6">
        <v>39</v>
      </c>
      <c r="C622" s="6" t="s">
        <v>62</v>
      </c>
      <c r="D622" s="6" t="s">
        <v>26</v>
      </c>
      <c r="E622" s="6" t="s">
        <v>18</v>
      </c>
      <c r="F622" s="6">
        <v>1621</v>
      </c>
      <c r="G622" s="6">
        <v>84826.23</v>
      </c>
      <c r="H622" s="7">
        <v>38130</v>
      </c>
      <c r="I622" s="6" t="s">
        <v>19</v>
      </c>
      <c r="J622" s="6" t="s">
        <v>1298</v>
      </c>
      <c r="K622" s="6" t="s">
        <v>21</v>
      </c>
      <c r="L622" s="6" t="s">
        <v>22</v>
      </c>
      <c r="M622" s="6" t="s">
        <v>23</v>
      </c>
      <c r="N622" s="6">
        <v>4.63</v>
      </c>
      <c r="O622" s="6">
        <v>144</v>
      </c>
    </row>
    <row r="623" spans="1:15" ht="14.25" customHeight="1" x14ac:dyDescent="0.3">
      <c r="A623" s="6" t="s">
        <v>1299</v>
      </c>
      <c r="B623" s="6">
        <v>51</v>
      </c>
      <c r="C623" s="6" t="s">
        <v>16</v>
      </c>
      <c r="D623" s="6" t="s">
        <v>26</v>
      </c>
      <c r="E623" s="6" t="s">
        <v>18</v>
      </c>
      <c r="F623" s="6">
        <v>1622</v>
      </c>
      <c r="G623" s="6">
        <v>121962.51</v>
      </c>
      <c r="H623" s="7">
        <v>43703</v>
      </c>
      <c r="I623" s="6" t="s">
        <v>28</v>
      </c>
      <c r="J623" s="6" t="s">
        <v>1300</v>
      </c>
      <c r="K623" s="6" t="s">
        <v>30</v>
      </c>
      <c r="L623" s="6" t="s">
        <v>31</v>
      </c>
      <c r="M623" s="6" t="s">
        <v>32</v>
      </c>
      <c r="N623" s="6">
        <v>4.92</v>
      </c>
      <c r="O623" s="6">
        <v>51</v>
      </c>
    </row>
    <row r="624" spans="1:15" ht="14.25" customHeight="1" x14ac:dyDescent="0.3">
      <c r="A624" s="6" t="s">
        <v>1301</v>
      </c>
      <c r="B624" s="6">
        <v>34</v>
      </c>
      <c r="C624" s="6" t="s">
        <v>25</v>
      </c>
      <c r="D624" s="6" t="s">
        <v>69</v>
      </c>
      <c r="E624" s="6" t="s">
        <v>18</v>
      </c>
      <c r="F624" s="6">
        <v>1623</v>
      </c>
      <c r="G624" s="6">
        <v>133995.53</v>
      </c>
      <c r="H624" s="7">
        <v>41984</v>
      </c>
      <c r="I624" s="6" t="s">
        <v>35</v>
      </c>
      <c r="J624" s="6" t="s">
        <v>1302</v>
      </c>
      <c r="K624" s="6" t="s">
        <v>37</v>
      </c>
      <c r="L624" s="6" t="s">
        <v>38</v>
      </c>
      <c r="M624" s="6" t="s">
        <v>39</v>
      </c>
      <c r="N624" s="6">
        <v>2.12</v>
      </c>
      <c r="O624" s="6">
        <v>180</v>
      </c>
    </row>
    <row r="625" spans="1:15" ht="14.25" customHeight="1" x14ac:dyDescent="0.3">
      <c r="A625" s="6" t="s">
        <v>1303</v>
      </c>
      <c r="B625" s="6">
        <v>54</v>
      </c>
      <c r="C625" s="6" t="s">
        <v>16</v>
      </c>
      <c r="D625" s="6" t="s">
        <v>47</v>
      </c>
      <c r="E625" s="6" t="s">
        <v>48</v>
      </c>
      <c r="F625" s="6">
        <v>1624</v>
      </c>
      <c r="G625" s="6">
        <v>184492.29</v>
      </c>
      <c r="H625" s="7">
        <v>44058</v>
      </c>
      <c r="I625" s="6" t="s">
        <v>41</v>
      </c>
      <c r="J625" s="6" t="s">
        <v>1304</v>
      </c>
      <c r="K625" s="6" t="s">
        <v>43</v>
      </c>
      <c r="L625" s="6" t="s">
        <v>44</v>
      </c>
      <c r="M625" s="6" t="s">
        <v>45</v>
      </c>
      <c r="N625" s="6">
        <v>3.43</v>
      </c>
      <c r="O625" s="6">
        <v>188</v>
      </c>
    </row>
    <row r="626" spans="1:15" ht="14.25" customHeight="1" x14ac:dyDescent="0.3">
      <c r="A626" s="6" t="s">
        <v>1305</v>
      </c>
      <c r="B626" s="6">
        <v>56</v>
      </c>
      <c r="C626" s="6" t="s">
        <v>16</v>
      </c>
      <c r="D626" s="6" t="s">
        <v>17</v>
      </c>
      <c r="E626" s="6" t="s">
        <v>18</v>
      </c>
      <c r="F626" s="6">
        <v>1625</v>
      </c>
      <c r="G626" s="6">
        <v>88349.22</v>
      </c>
      <c r="H626" s="7">
        <v>40204</v>
      </c>
      <c r="I626" s="6" t="s">
        <v>49</v>
      </c>
      <c r="J626" s="6" t="s">
        <v>1306</v>
      </c>
      <c r="K626" s="6" t="s">
        <v>51</v>
      </c>
      <c r="L626" s="6" t="s">
        <v>52</v>
      </c>
      <c r="M626" s="6" t="s">
        <v>53</v>
      </c>
      <c r="N626" s="6">
        <v>4</v>
      </c>
      <c r="O626" s="6">
        <v>93</v>
      </c>
    </row>
    <row r="627" spans="1:15" ht="14.25" customHeight="1" x14ac:dyDescent="0.3">
      <c r="A627" s="6" t="s">
        <v>1307</v>
      </c>
      <c r="B627" s="6">
        <v>45</v>
      </c>
      <c r="C627" s="6" t="s">
        <v>16</v>
      </c>
      <c r="D627" s="6" t="s">
        <v>26</v>
      </c>
      <c r="E627" s="6" t="s">
        <v>18</v>
      </c>
      <c r="F627" s="6">
        <v>1626</v>
      </c>
      <c r="G627" s="6">
        <v>149020.12</v>
      </c>
      <c r="H627" s="7">
        <v>42413</v>
      </c>
      <c r="I627" s="6" t="s">
        <v>56</v>
      </c>
      <c r="J627" s="6" t="s">
        <v>1308</v>
      </c>
      <c r="K627" s="6" t="s">
        <v>21</v>
      </c>
      <c r="L627" s="6" t="s">
        <v>22</v>
      </c>
      <c r="M627" s="6" t="s">
        <v>23</v>
      </c>
      <c r="N627" s="6">
        <v>4.18</v>
      </c>
      <c r="O627" s="6">
        <v>68</v>
      </c>
    </row>
    <row r="628" spans="1:15" ht="14.25" customHeight="1" x14ac:dyDescent="0.3">
      <c r="A628" s="6" t="s">
        <v>1309</v>
      </c>
      <c r="B628" s="6">
        <v>47</v>
      </c>
      <c r="C628" s="6" t="s">
        <v>16</v>
      </c>
      <c r="D628" s="6" t="s">
        <v>69</v>
      </c>
      <c r="E628" s="6" t="s">
        <v>48</v>
      </c>
      <c r="F628" s="6">
        <v>1627</v>
      </c>
      <c r="G628" s="6">
        <v>158918.78</v>
      </c>
      <c r="H628" s="7">
        <v>38608</v>
      </c>
      <c r="I628" s="6" t="s">
        <v>63</v>
      </c>
      <c r="J628" s="6" t="s">
        <v>1310</v>
      </c>
      <c r="K628" s="6" t="s">
        <v>30</v>
      </c>
      <c r="L628" s="6" t="s">
        <v>31</v>
      </c>
      <c r="M628" s="6" t="s">
        <v>32</v>
      </c>
      <c r="N628" s="6">
        <v>4.6100000000000003</v>
      </c>
      <c r="O628" s="6">
        <v>1</v>
      </c>
    </row>
    <row r="629" spans="1:15" ht="14.25" customHeight="1" x14ac:dyDescent="0.3">
      <c r="A629" s="6" t="s">
        <v>1311</v>
      </c>
      <c r="B629" s="6">
        <v>63</v>
      </c>
      <c r="C629" s="6" t="s">
        <v>25</v>
      </c>
      <c r="D629" s="6" t="s">
        <v>69</v>
      </c>
      <c r="E629" s="6" t="s">
        <v>80</v>
      </c>
      <c r="F629" s="6">
        <v>1628</v>
      </c>
      <c r="G629" s="6">
        <v>182301.05</v>
      </c>
      <c r="H629" s="7">
        <v>36699</v>
      </c>
      <c r="I629" s="6" t="s">
        <v>66</v>
      </c>
      <c r="J629" s="6" t="s">
        <v>1312</v>
      </c>
      <c r="K629" s="6" t="s">
        <v>37</v>
      </c>
      <c r="L629" s="6" t="s">
        <v>38</v>
      </c>
      <c r="M629" s="6" t="s">
        <v>39</v>
      </c>
      <c r="N629" s="6">
        <v>1.06</v>
      </c>
      <c r="O629" s="6">
        <v>18</v>
      </c>
    </row>
    <row r="630" spans="1:15" ht="14.25" customHeight="1" x14ac:dyDescent="0.3">
      <c r="A630" s="6" t="s">
        <v>1313</v>
      </c>
      <c r="B630" s="6">
        <v>22</v>
      </c>
      <c r="C630" s="6" t="s">
        <v>25</v>
      </c>
      <c r="D630" s="6" t="s">
        <v>55</v>
      </c>
      <c r="E630" s="6" t="s">
        <v>34</v>
      </c>
      <c r="F630" s="6">
        <v>1629</v>
      </c>
      <c r="G630" s="6">
        <v>181295.7</v>
      </c>
      <c r="H630" s="7">
        <v>40002</v>
      </c>
      <c r="I630" s="6" t="s">
        <v>70</v>
      </c>
      <c r="J630" s="6" t="s">
        <v>1314</v>
      </c>
      <c r="K630" s="6" t="s">
        <v>43</v>
      </c>
      <c r="L630" s="6" t="s">
        <v>44</v>
      </c>
      <c r="M630" s="6" t="s">
        <v>45</v>
      </c>
      <c r="N630" s="6">
        <v>2.42</v>
      </c>
      <c r="O630" s="6">
        <v>112</v>
      </c>
    </row>
    <row r="631" spans="1:15" ht="14.25" customHeight="1" x14ac:dyDescent="0.3">
      <c r="A631" s="6" t="s">
        <v>1315</v>
      </c>
      <c r="B631" s="6">
        <v>34</v>
      </c>
      <c r="C631" s="6" t="s">
        <v>25</v>
      </c>
      <c r="D631" s="6" t="s">
        <v>17</v>
      </c>
      <c r="E631" s="6" t="s">
        <v>48</v>
      </c>
      <c r="F631" s="6">
        <v>1630</v>
      </c>
      <c r="G631" s="6">
        <v>135718.99</v>
      </c>
      <c r="H631" s="7">
        <v>39302</v>
      </c>
      <c r="I631" s="6" t="s">
        <v>73</v>
      </c>
      <c r="J631" s="6" t="s">
        <v>1316</v>
      </c>
      <c r="K631" s="6" t="s">
        <v>51</v>
      </c>
      <c r="L631" s="6" t="s">
        <v>52</v>
      </c>
      <c r="M631" s="6" t="s">
        <v>53</v>
      </c>
      <c r="N631" s="6">
        <v>2.9</v>
      </c>
      <c r="O631" s="6">
        <v>78</v>
      </c>
    </row>
    <row r="632" spans="1:15" ht="14.25" customHeight="1" x14ac:dyDescent="0.3">
      <c r="A632" s="6" t="s">
        <v>1317</v>
      </c>
      <c r="B632" s="6">
        <v>31</v>
      </c>
      <c r="C632" s="6" t="s">
        <v>62</v>
      </c>
      <c r="D632" s="6" t="s">
        <v>17</v>
      </c>
      <c r="E632" s="6" t="s">
        <v>18</v>
      </c>
      <c r="F632" s="6">
        <v>1631</v>
      </c>
      <c r="G632" s="6">
        <v>98972.26</v>
      </c>
      <c r="H632" s="7">
        <v>36669</v>
      </c>
      <c r="I632" s="6" t="s">
        <v>19</v>
      </c>
      <c r="J632" s="6" t="s">
        <v>1318</v>
      </c>
      <c r="K632" s="6" t="s">
        <v>21</v>
      </c>
      <c r="L632" s="6" t="s">
        <v>22</v>
      </c>
      <c r="M632" s="6" t="s">
        <v>23</v>
      </c>
      <c r="N632" s="6">
        <v>2.88</v>
      </c>
      <c r="O632" s="6">
        <v>138</v>
      </c>
    </row>
    <row r="633" spans="1:15" ht="14.25" customHeight="1" x14ac:dyDescent="0.3">
      <c r="A633" s="6" t="s">
        <v>1319</v>
      </c>
      <c r="B633" s="6">
        <v>40</v>
      </c>
      <c r="C633" s="6" t="s">
        <v>25</v>
      </c>
      <c r="D633" s="6" t="s">
        <v>47</v>
      </c>
      <c r="E633" s="6" t="s">
        <v>48</v>
      </c>
      <c r="F633" s="6">
        <v>1632</v>
      </c>
      <c r="G633" s="6">
        <v>93392.17</v>
      </c>
      <c r="H633" s="7">
        <v>36581</v>
      </c>
      <c r="I633" s="6" t="s">
        <v>28</v>
      </c>
      <c r="J633" s="6" t="s">
        <v>1320</v>
      </c>
      <c r="K633" s="6" t="s">
        <v>30</v>
      </c>
      <c r="L633" s="6" t="s">
        <v>31</v>
      </c>
      <c r="M633" s="6" t="s">
        <v>32</v>
      </c>
      <c r="N633" s="6">
        <v>2.34</v>
      </c>
      <c r="O633" s="6">
        <v>141</v>
      </c>
    </row>
    <row r="634" spans="1:15" ht="14.25" customHeight="1" x14ac:dyDescent="0.3">
      <c r="A634" s="6" t="s">
        <v>1321</v>
      </c>
      <c r="B634" s="6">
        <v>26</v>
      </c>
      <c r="C634" s="6" t="s">
        <v>62</v>
      </c>
      <c r="D634" s="6" t="s">
        <v>47</v>
      </c>
      <c r="E634" s="6" t="s">
        <v>27</v>
      </c>
      <c r="F634" s="6">
        <v>1633</v>
      </c>
      <c r="G634" s="6">
        <v>153205.43</v>
      </c>
      <c r="H634" s="7">
        <v>40564</v>
      </c>
      <c r="I634" s="6" t="s">
        <v>35</v>
      </c>
      <c r="J634" s="6" t="s">
        <v>1322</v>
      </c>
      <c r="K634" s="6" t="s">
        <v>37</v>
      </c>
      <c r="L634" s="6" t="s">
        <v>38</v>
      </c>
      <c r="M634" s="6" t="s">
        <v>39</v>
      </c>
      <c r="N634" s="6">
        <v>4.8600000000000003</v>
      </c>
      <c r="O634" s="6">
        <v>137</v>
      </c>
    </row>
    <row r="635" spans="1:15" ht="14.25" customHeight="1" x14ac:dyDescent="0.3">
      <c r="A635" s="6" t="s">
        <v>1323</v>
      </c>
      <c r="B635" s="6">
        <v>29</v>
      </c>
      <c r="C635" s="6" t="s">
        <v>16</v>
      </c>
      <c r="D635" s="6" t="s">
        <v>69</v>
      </c>
      <c r="E635" s="6" t="s">
        <v>27</v>
      </c>
      <c r="F635" s="6">
        <v>1634</v>
      </c>
      <c r="G635" s="6">
        <v>169668.18</v>
      </c>
      <c r="H635" s="7">
        <v>43840</v>
      </c>
      <c r="I635" s="6" t="s">
        <v>41</v>
      </c>
      <c r="J635" s="6" t="s">
        <v>1324</v>
      </c>
      <c r="K635" s="6" t="s">
        <v>43</v>
      </c>
      <c r="L635" s="6" t="s">
        <v>44</v>
      </c>
      <c r="M635" s="6" t="s">
        <v>45</v>
      </c>
      <c r="N635" s="6">
        <v>1.23</v>
      </c>
      <c r="O635" s="6">
        <v>63</v>
      </c>
    </row>
    <row r="636" spans="1:15" ht="14.25" customHeight="1" x14ac:dyDescent="0.3">
      <c r="A636" s="6" t="s">
        <v>1325</v>
      </c>
      <c r="B636" s="6">
        <v>25</v>
      </c>
      <c r="C636" s="6" t="s">
        <v>25</v>
      </c>
      <c r="D636" s="6" t="s">
        <v>55</v>
      </c>
      <c r="E636" s="6" t="s">
        <v>80</v>
      </c>
      <c r="F636" s="6">
        <v>1635</v>
      </c>
      <c r="G636" s="6">
        <v>111696.18</v>
      </c>
      <c r="H636" s="7">
        <v>44171</v>
      </c>
      <c r="I636" s="6" t="s">
        <v>49</v>
      </c>
      <c r="J636" s="6" t="s">
        <v>1326</v>
      </c>
      <c r="K636" s="6" t="s">
        <v>51</v>
      </c>
      <c r="L636" s="6" t="s">
        <v>52</v>
      </c>
      <c r="M636" s="6" t="s">
        <v>53</v>
      </c>
      <c r="N636" s="6">
        <v>4.1399999999999997</v>
      </c>
      <c r="O636" s="6">
        <v>69</v>
      </c>
    </row>
    <row r="637" spans="1:15" ht="14.25" customHeight="1" x14ac:dyDescent="0.3">
      <c r="A637" s="6" t="s">
        <v>1327</v>
      </c>
      <c r="B637" s="6">
        <v>34</v>
      </c>
      <c r="C637" s="6" t="s">
        <v>25</v>
      </c>
      <c r="D637" s="6" t="s">
        <v>69</v>
      </c>
      <c r="E637" s="6" t="s">
        <v>18</v>
      </c>
      <c r="F637" s="6">
        <v>1636</v>
      </c>
      <c r="G637" s="6">
        <v>158624.41</v>
      </c>
      <c r="H637" s="7">
        <v>44665</v>
      </c>
      <c r="I637" s="6" t="s">
        <v>56</v>
      </c>
      <c r="J637" s="6" t="s">
        <v>1328</v>
      </c>
      <c r="K637" s="6" t="s">
        <v>21</v>
      </c>
      <c r="L637" s="6" t="s">
        <v>22</v>
      </c>
      <c r="M637" s="6" t="s">
        <v>23</v>
      </c>
      <c r="N637" s="6">
        <v>2.1</v>
      </c>
      <c r="O637" s="6">
        <v>12</v>
      </c>
    </row>
    <row r="638" spans="1:15" ht="14.25" customHeight="1" x14ac:dyDescent="0.3">
      <c r="A638" s="6" t="s">
        <v>1329</v>
      </c>
      <c r="B638" s="6">
        <v>59</v>
      </c>
      <c r="C638" s="6" t="s">
        <v>25</v>
      </c>
      <c r="D638" s="6" t="s">
        <v>47</v>
      </c>
      <c r="E638" s="6" t="s">
        <v>27</v>
      </c>
      <c r="F638" s="6">
        <v>1637</v>
      </c>
      <c r="G638" s="6">
        <v>64248.01</v>
      </c>
      <c r="H638" s="7">
        <v>41160</v>
      </c>
      <c r="I638" s="6" t="s">
        <v>63</v>
      </c>
      <c r="J638" s="6" t="s">
        <v>1330</v>
      </c>
      <c r="K638" s="6" t="s">
        <v>30</v>
      </c>
      <c r="L638" s="6" t="s">
        <v>31</v>
      </c>
      <c r="M638" s="6" t="s">
        <v>32</v>
      </c>
      <c r="N638" s="6">
        <v>2.5299999999999998</v>
      </c>
      <c r="O638" s="6">
        <v>30</v>
      </c>
    </row>
    <row r="639" spans="1:15" ht="14.25" customHeight="1" x14ac:dyDescent="0.3">
      <c r="A639" s="6" t="s">
        <v>1331</v>
      </c>
      <c r="B639" s="6">
        <v>40</v>
      </c>
      <c r="C639" s="6" t="s">
        <v>25</v>
      </c>
      <c r="D639" s="6" t="s">
        <v>26</v>
      </c>
      <c r="E639" s="6" t="s">
        <v>48</v>
      </c>
      <c r="F639" s="6">
        <v>1638</v>
      </c>
      <c r="G639" s="6">
        <v>68255.63</v>
      </c>
      <c r="H639" s="7">
        <v>40523</v>
      </c>
      <c r="I639" s="6" t="s">
        <v>66</v>
      </c>
      <c r="J639" s="6" t="s">
        <v>1332</v>
      </c>
      <c r="K639" s="6" t="s">
        <v>37</v>
      </c>
      <c r="L639" s="6" t="s">
        <v>38</v>
      </c>
      <c r="M639" s="6" t="s">
        <v>39</v>
      </c>
      <c r="N639" s="6">
        <v>1.56</v>
      </c>
      <c r="O639" s="6">
        <v>32</v>
      </c>
    </row>
    <row r="640" spans="1:15" ht="14.25" customHeight="1" x14ac:dyDescent="0.3">
      <c r="A640" s="6" t="s">
        <v>1333</v>
      </c>
      <c r="B640" s="6">
        <v>29</v>
      </c>
      <c r="C640" s="6" t="s">
        <v>25</v>
      </c>
      <c r="D640" s="6" t="s">
        <v>55</v>
      </c>
      <c r="E640" s="6" t="s">
        <v>18</v>
      </c>
      <c r="F640" s="6">
        <v>1639</v>
      </c>
      <c r="G640" s="6">
        <v>112412.55</v>
      </c>
      <c r="H640" s="7">
        <v>40630</v>
      </c>
      <c r="I640" s="6" t="s">
        <v>70</v>
      </c>
      <c r="J640" s="6" t="s">
        <v>1334</v>
      </c>
      <c r="K640" s="6" t="s">
        <v>43</v>
      </c>
      <c r="L640" s="6" t="s">
        <v>44</v>
      </c>
      <c r="M640" s="6" t="s">
        <v>45</v>
      </c>
      <c r="N640" s="6">
        <v>3.53</v>
      </c>
      <c r="O640" s="6">
        <v>26</v>
      </c>
    </row>
    <row r="641" spans="1:15" ht="14.25" customHeight="1" x14ac:dyDescent="0.3">
      <c r="A641" s="6" t="s">
        <v>1335</v>
      </c>
      <c r="B641" s="6">
        <v>48</v>
      </c>
      <c r="C641" s="6" t="s">
        <v>16</v>
      </c>
      <c r="D641" s="6" t="s">
        <v>17</v>
      </c>
      <c r="E641" s="6" t="s">
        <v>80</v>
      </c>
      <c r="F641" s="6">
        <v>1640</v>
      </c>
      <c r="G641" s="6">
        <v>158607.1</v>
      </c>
      <c r="H641" s="7">
        <v>39434</v>
      </c>
      <c r="I641" s="6" t="s">
        <v>73</v>
      </c>
      <c r="J641" s="6" t="s">
        <v>1336</v>
      </c>
      <c r="K641" s="6" t="s">
        <v>51</v>
      </c>
      <c r="L641" s="6" t="s">
        <v>52</v>
      </c>
      <c r="M641" s="6" t="s">
        <v>53</v>
      </c>
      <c r="N641" s="6">
        <v>2.0299999999999998</v>
      </c>
      <c r="O641" s="6">
        <v>105</v>
      </c>
    </row>
    <row r="642" spans="1:15" ht="14.25" customHeight="1" x14ac:dyDescent="0.3">
      <c r="A642" s="6" t="s">
        <v>1337</v>
      </c>
      <c r="B642" s="6">
        <v>51</v>
      </c>
      <c r="C642" s="6" t="s">
        <v>25</v>
      </c>
      <c r="D642" s="6" t="s">
        <v>26</v>
      </c>
      <c r="E642" s="6" t="s">
        <v>18</v>
      </c>
      <c r="F642" s="6">
        <v>1641</v>
      </c>
      <c r="G642" s="6">
        <v>187233.17</v>
      </c>
      <c r="H642" s="7">
        <v>37204</v>
      </c>
      <c r="I642" s="6" t="s">
        <v>19</v>
      </c>
      <c r="J642" s="6" t="s">
        <v>1338</v>
      </c>
      <c r="K642" s="6" t="s">
        <v>21</v>
      </c>
      <c r="L642" s="6" t="s">
        <v>22</v>
      </c>
      <c r="M642" s="6" t="s">
        <v>23</v>
      </c>
      <c r="N642" s="6">
        <v>2.09</v>
      </c>
      <c r="O642" s="6">
        <v>161</v>
      </c>
    </row>
    <row r="643" spans="1:15" ht="14.25" customHeight="1" x14ac:dyDescent="0.3">
      <c r="A643" s="6" t="s">
        <v>1339</v>
      </c>
      <c r="B643" s="6">
        <v>25</v>
      </c>
      <c r="C643" s="6" t="s">
        <v>62</v>
      </c>
      <c r="D643" s="6" t="s">
        <v>26</v>
      </c>
      <c r="E643" s="6" t="s">
        <v>18</v>
      </c>
      <c r="F643" s="6">
        <v>1642</v>
      </c>
      <c r="G643" s="6">
        <v>150847.21</v>
      </c>
      <c r="H643" s="7">
        <v>36886</v>
      </c>
      <c r="I643" s="6" t="s">
        <v>28</v>
      </c>
      <c r="J643" s="6" t="s">
        <v>1340</v>
      </c>
      <c r="K643" s="6" t="s">
        <v>30</v>
      </c>
      <c r="L643" s="6" t="s">
        <v>31</v>
      </c>
      <c r="M643" s="6" t="s">
        <v>32</v>
      </c>
      <c r="N643" s="6">
        <v>3.31</v>
      </c>
      <c r="O643" s="6">
        <v>107</v>
      </c>
    </row>
    <row r="644" spans="1:15" ht="14.25" customHeight="1" x14ac:dyDescent="0.3">
      <c r="A644" s="6" t="s">
        <v>1341</v>
      </c>
      <c r="B644" s="6">
        <v>32</v>
      </c>
      <c r="C644" s="6" t="s">
        <v>62</v>
      </c>
      <c r="D644" s="6" t="s">
        <v>17</v>
      </c>
      <c r="E644" s="6" t="s">
        <v>48</v>
      </c>
      <c r="F644" s="6">
        <v>1643</v>
      </c>
      <c r="G644" s="6">
        <v>76919.47</v>
      </c>
      <c r="H644" s="7">
        <v>43566</v>
      </c>
      <c r="I644" s="6" t="s">
        <v>35</v>
      </c>
      <c r="J644" s="6" t="s">
        <v>1342</v>
      </c>
      <c r="K644" s="6" t="s">
        <v>37</v>
      </c>
      <c r="L644" s="6" t="s">
        <v>38</v>
      </c>
      <c r="M644" s="6" t="s">
        <v>39</v>
      </c>
      <c r="N644" s="6">
        <v>2.17</v>
      </c>
      <c r="O644" s="6">
        <v>94</v>
      </c>
    </row>
    <row r="645" spans="1:15" ht="14.25" customHeight="1" x14ac:dyDescent="0.3">
      <c r="A645" s="6" t="s">
        <v>1343</v>
      </c>
      <c r="B645" s="6">
        <v>42</v>
      </c>
      <c r="C645" s="6" t="s">
        <v>25</v>
      </c>
      <c r="D645" s="6" t="s">
        <v>69</v>
      </c>
      <c r="E645" s="6" t="s">
        <v>18</v>
      </c>
      <c r="F645" s="6">
        <v>1644</v>
      </c>
      <c r="G645" s="6">
        <v>113011.89</v>
      </c>
      <c r="H645" s="7">
        <v>36904</v>
      </c>
      <c r="I645" s="6" t="s">
        <v>41</v>
      </c>
      <c r="J645" s="6" t="s">
        <v>1344</v>
      </c>
      <c r="K645" s="6" t="s">
        <v>43</v>
      </c>
      <c r="L645" s="6" t="s">
        <v>44</v>
      </c>
      <c r="M645" s="6" t="s">
        <v>45</v>
      </c>
      <c r="N645" s="6">
        <v>4.95</v>
      </c>
      <c r="O645" s="6">
        <v>134</v>
      </c>
    </row>
    <row r="646" spans="1:15" ht="14.25" customHeight="1" x14ac:dyDescent="0.3">
      <c r="A646" s="6" t="s">
        <v>1345</v>
      </c>
      <c r="B646" s="6">
        <v>64</v>
      </c>
      <c r="C646" s="6" t="s">
        <v>62</v>
      </c>
      <c r="D646" s="6" t="s">
        <v>55</v>
      </c>
      <c r="E646" s="6" t="s">
        <v>48</v>
      </c>
      <c r="F646" s="6">
        <v>1645</v>
      </c>
      <c r="G646" s="6">
        <v>90982.91</v>
      </c>
      <c r="H646" s="7">
        <v>41104</v>
      </c>
      <c r="I646" s="6" t="s">
        <v>49</v>
      </c>
      <c r="J646" s="6" t="s">
        <v>1346</v>
      </c>
      <c r="K646" s="6" t="s">
        <v>51</v>
      </c>
      <c r="L646" s="6" t="s">
        <v>52</v>
      </c>
      <c r="M646" s="6" t="s">
        <v>53</v>
      </c>
      <c r="N646" s="6">
        <v>4.93</v>
      </c>
      <c r="O646" s="6">
        <v>1</v>
      </c>
    </row>
    <row r="647" spans="1:15" ht="14.25" customHeight="1" x14ac:dyDescent="0.3">
      <c r="A647" s="6" t="s">
        <v>1347</v>
      </c>
      <c r="B647" s="6">
        <v>23</v>
      </c>
      <c r="C647" s="6" t="s">
        <v>25</v>
      </c>
      <c r="D647" s="6" t="s">
        <v>26</v>
      </c>
      <c r="E647" s="6" t="s">
        <v>48</v>
      </c>
      <c r="F647" s="6">
        <v>1646</v>
      </c>
      <c r="G647" s="6">
        <v>60115.79</v>
      </c>
      <c r="H647" s="7">
        <v>43342</v>
      </c>
      <c r="I647" s="6" t="s">
        <v>56</v>
      </c>
      <c r="J647" s="6" t="s">
        <v>1348</v>
      </c>
      <c r="K647" s="6" t="s">
        <v>21</v>
      </c>
      <c r="L647" s="6" t="s">
        <v>22</v>
      </c>
      <c r="M647" s="6" t="s">
        <v>23</v>
      </c>
      <c r="N647" s="6">
        <v>3.76</v>
      </c>
      <c r="O647" s="6">
        <v>142</v>
      </c>
    </row>
    <row r="648" spans="1:15" ht="14.25" customHeight="1" x14ac:dyDescent="0.3">
      <c r="A648" s="6" t="s">
        <v>1349</v>
      </c>
      <c r="B648" s="6">
        <v>42</v>
      </c>
      <c r="C648" s="6" t="s">
        <v>16</v>
      </c>
      <c r="D648" s="6" t="s">
        <v>69</v>
      </c>
      <c r="E648" s="6" t="s">
        <v>18</v>
      </c>
      <c r="F648" s="6">
        <v>1647</v>
      </c>
      <c r="G648" s="6">
        <v>173867.8</v>
      </c>
      <c r="H648" s="7">
        <v>41697</v>
      </c>
      <c r="I648" s="6" t="s">
        <v>63</v>
      </c>
      <c r="J648" s="6" t="s">
        <v>1350</v>
      </c>
      <c r="K648" s="6" t="s">
        <v>30</v>
      </c>
      <c r="L648" s="6" t="s">
        <v>31</v>
      </c>
      <c r="M648" s="6" t="s">
        <v>32</v>
      </c>
      <c r="N648" s="6">
        <v>1.63</v>
      </c>
      <c r="O648" s="6">
        <v>75</v>
      </c>
    </row>
    <row r="649" spans="1:15" ht="14.25" customHeight="1" x14ac:dyDescent="0.3">
      <c r="A649" s="6" t="s">
        <v>1351</v>
      </c>
      <c r="B649" s="6">
        <v>38</v>
      </c>
      <c r="C649" s="6" t="s">
        <v>62</v>
      </c>
      <c r="D649" s="6" t="s">
        <v>17</v>
      </c>
      <c r="E649" s="6" t="s">
        <v>80</v>
      </c>
      <c r="F649" s="6">
        <v>1648</v>
      </c>
      <c r="G649" s="6">
        <v>101529.57</v>
      </c>
      <c r="H649" s="7">
        <v>42258</v>
      </c>
      <c r="I649" s="6" t="s">
        <v>66</v>
      </c>
      <c r="J649" s="6" t="s">
        <v>1352</v>
      </c>
      <c r="K649" s="6" t="s">
        <v>37</v>
      </c>
      <c r="L649" s="6" t="s">
        <v>38</v>
      </c>
      <c r="M649" s="6" t="s">
        <v>39</v>
      </c>
      <c r="N649" s="6">
        <v>3.14</v>
      </c>
      <c r="O649" s="6">
        <v>29</v>
      </c>
    </row>
    <row r="650" spans="1:15" ht="14.25" customHeight="1" x14ac:dyDescent="0.3">
      <c r="A650" s="6" t="s">
        <v>1353</v>
      </c>
      <c r="B650" s="6">
        <v>64</v>
      </c>
      <c r="C650" s="6" t="s">
        <v>25</v>
      </c>
      <c r="D650" s="6" t="s">
        <v>69</v>
      </c>
      <c r="E650" s="6" t="s">
        <v>80</v>
      </c>
      <c r="F650" s="6">
        <v>1649</v>
      </c>
      <c r="G650" s="6">
        <v>127649.35</v>
      </c>
      <c r="H650" s="7">
        <v>44418</v>
      </c>
      <c r="I650" s="6" t="s">
        <v>70</v>
      </c>
      <c r="J650" s="6" t="s">
        <v>1354</v>
      </c>
      <c r="K650" s="6" t="s">
        <v>43</v>
      </c>
      <c r="L650" s="6" t="s">
        <v>44</v>
      </c>
      <c r="M650" s="6" t="s">
        <v>45</v>
      </c>
      <c r="N650" s="6">
        <v>1.21</v>
      </c>
      <c r="O650" s="6">
        <v>197</v>
      </c>
    </row>
    <row r="651" spans="1:15" ht="14.25" customHeight="1" x14ac:dyDescent="0.3">
      <c r="A651" s="6" t="s">
        <v>1355</v>
      </c>
      <c r="B651" s="6">
        <v>50</v>
      </c>
      <c r="C651" s="6" t="s">
        <v>62</v>
      </c>
      <c r="D651" s="6" t="s">
        <v>26</v>
      </c>
      <c r="E651" s="6" t="s">
        <v>34</v>
      </c>
      <c r="F651" s="6">
        <v>1650</v>
      </c>
      <c r="G651" s="6">
        <v>136504.01999999999</v>
      </c>
      <c r="H651" s="7">
        <v>43367</v>
      </c>
      <c r="I651" s="6" t="s">
        <v>73</v>
      </c>
      <c r="J651" s="6" t="s">
        <v>1356</v>
      </c>
      <c r="K651" s="6" t="s">
        <v>51</v>
      </c>
      <c r="L651" s="6" t="s">
        <v>52</v>
      </c>
      <c r="M651" s="6" t="s">
        <v>53</v>
      </c>
      <c r="N651" s="6">
        <v>2.75</v>
      </c>
      <c r="O651" s="6">
        <v>176</v>
      </c>
    </row>
    <row r="652" spans="1:15" ht="14.25" customHeight="1" x14ac:dyDescent="0.3">
      <c r="A652" s="6" t="s">
        <v>1357</v>
      </c>
      <c r="B652" s="6">
        <v>48</v>
      </c>
      <c r="C652" s="6" t="s">
        <v>25</v>
      </c>
      <c r="D652" s="6" t="s">
        <v>55</v>
      </c>
      <c r="E652" s="6" t="s">
        <v>27</v>
      </c>
      <c r="F652" s="6">
        <v>1651</v>
      </c>
      <c r="G652" s="6">
        <v>188112.37</v>
      </c>
      <c r="H652" s="7">
        <v>39084</v>
      </c>
      <c r="I652" s="6" t="s">
        <v>19</v>
      </c>
      <c r="J652" s="6" t="s">
        <v>1358</v>
      </c>
      <c r="K652" s="6" t="s">
        <v>21</v>
      </c>
      <c r="L652" s="6" t="s">
        <v>22</v>
      </c>
      <c r="M652" s="6" t="s">
        <v>23</v>
      </c>
      <c r="N652" s="6">
        <v>1.28</v>
      </c>
      <c r="O652" s="6">
        <v>179</v>
      </c>
    </row>
    <row r="653" spans="1:15" ht="14.25" customHeight="1" x14ac:dyDescent="0.3">
      <c r="A653" s="6" t="s">
        <v>1359</v>
      </c>
      <c r="B653" s="6">
        <v>45</v>
      </c>
      <c r="C653" s="6" t="s">
        <v>62</v>
      </c>
      <c r="D653" s="6" t="s">
        <v>55</v>
      </c>
      <c r="E653" s="6" t="s">
        <v>18</v>
      </c>
      <c r="F653" s="6">
        <v>1652</v>
      </c>
      <c r="G653" s="6">
        <v>65045.99</v>
      </c>
      <c r="H653" s="7">
        <v>44721</v>
      </c>
      <c r="I653" s="6" t="s">
        <v>28</v>
      </c>
      <c r="J653" s="6" t="s">
        <v>1360</v>
      </c>
      <c r="K653" s="6" t="s">
        <v>30</v>
      </c>
      <c r="L653" s="6" t="s">
        <v>31</v>
      </c>
      <c r="M653" s="6" t="s">
        <v>32</v>
      </c>
      <c r="N653" s="6">
        <v>2.58</v>
      </c>
      <c r="O653" s="6">
        <v>118</v>
      </c>
    </row>
    <row r="654" spans="1:15" ht="14.25" customHeight="1" x14ac:dyDescent="0.3">
      <c r="A654" s="6" t="s">
        <v>1361</v>
      </c>
      <c r="B654" s="6">
        <v>24</v>
      </c>
      <c r="C654" s="6" t="s">
        <v>16</v>
      </c>
      <c r="D654" s="6" t="s">
        <v>17</v>
      </c>
      <c r="E654" s="6" t="s">
        <v>18</v>
      </c>
      <c r="F654" s="6">
        <v>1653</v>
      </c>
      <c r="G654" s="6">
        <v>195862.91</v>
      </c>
      <c r="H654" s="7">
        <v>43951</v>
      </c>
      <c r="I654" s="6" t="s">
        <v>35</v>
      </c>
      <c r="J654" s="6" t="s">
        <v>1362</v>
      </c>
      <c r="K654" s="6" t="s">
        <v>37</v>
      </c>
      <c r="L654" s="6" t="s">
        <v>38</v>
      </c>
      <c r="M654" s="6" t="s">
        <v>39</v>
      </c>
      <c r="N654" s="6">
        <v>4.4000000000000004</v>
      </c>
      <c r="O654" s="6">
        <v>166</v>
      </c>
    </row>
    <row r="655" spans="1:15" ht="14.25" customHeight="1" x14ac:dyDescent="0.3">
      <c r="A655" s="6" t="s">
        <v>1363</v>
      </c>
      <c r="B655" s="6">
        <v>60</v>
      </c>
      <c r="C655" s="6" t="s">
        <v>62</v>
      </c>
      <c r="D655" s="6" t="s">
        <v>69</v>
      </c>
      <c r="E655" s="6" t="s">
        <v>48</v>
      </c>
      <c r="F655" s="6">
        <v>1654</v>
      </c>
      <c r="G655" s="6">
        <v>116902.96</v>
      </c>
      <c r="H655" s="7">
        <v>39565</v>
      </c>
      <c r="I655" s="6" t="s">
        <v>41</v>
      </c>
      <c r="J655" s="6" t="s">
        <v>1364</v>
      </c>
      <c r="K655" s="6" t="s">
        <v>43</v>
      </c>
      <c r="L655" s="6" t="s">
        <v>44</v>
      </c>
      <c r="M655" s="6" t="s">
        <v>45</v>
      </c>
      <c r="N655" s="6">
        <v>1.1599999999999999</v>
      </c>
      <c r="O655" s="6">
        <v>32</v>
      </c>
    </row>
    <row r="656" spans="1:15" ht="14.25" customHeight="1" x14ac:dyDescent="0.3">
      <c r="A656" s="6" t="s">
        <v>1365</v>
      </c>
      <c r="B656" s="6">
        <v>31</v>
      </c>
      <c r="C656" s="6" t="s">
        <v>62</v>
      </c>
      <c r="D656" s="6" t="s">
        <v>47</v>
      </c>
      <c r="E656" s="6" t="s">
        <v>80</v>
      </c>
      <c r="F656" s="6">
        <v>1655</v>
      </c>
      <c r="G656" s="6">
        <v>127929.26</v>
      </c>
      <c r="H656" s="7">
        <v>37151</v>
      </c>
      <c r="I656" s="6" t="s">
        <v>49</v>
      </c>
      <c r="J656" s="6" t="s">
        <v>1366</v>
      </c>
      <c r="K656" s="6" t="s">
        <v>51</v>
      </c>
      <c r="L656" s="6" t="s">
        <v>52</v>
      </c>
      <c r="M656" s="6" t="s">
        <v>53</v>
      </c>
      <c r="N656" s="6">
        <v>3.94</v>
      </c>
      <c r="O656" s="6">
        <v>18</v>
      </c>
    </row>
    <row r="657" spans="1:15" ht="14.25" customHeight="1" x14ac:dyDescent="0.3">
      <c r="A657" s="6" t="s">
        <v>1367</v>
      </c>
      <c r="B657" s="6">
        <v>24</v>
      </c>
      <c r="C657" s="6" t="s">
        <v>62</v>
      </c>
      <c r="D657" s="6" t="s">
        <v>55</v>
      </c>
      <c r="E657" s="6" t="s">
        <v>18</v>
      </c>
      <c r="F657" s="6">
        <v>1656</v>
      </c>
      <c r="G657" s="6">
        <v>198719.92</v>
      </c>
      <c r="H657" s="7">
        <v>36665</v>
      </c>
      <c r="I657" s="6" t="s">
        <v>56</v>
      </c>
      <c r="J657" s="6" t="s">
        <v>1368</v>
      </c>
      <c r="K657" s="6" t="s">
        <v>21</v>
      </c>
      <c r="L657" s="6" t="s">
        <v>22</v>
      </c>
      <c r="M657" s="6" t="s">
        <v>23</v>
      </c>
      <c r="N657" s="6">
        <v>3.71</v>
      </c>
      <c r="O657" s="6">
        <v>42</v>
      </c>
    </row>
    <row r="658" spans="1:15" ht="14.25" customHeight="1" x14ac:dyDescent="0.3">
      <c r="A658" s="6" t="s">
        <v>1369</v>
      </c>
      <c r="B658" s="6">
        <v>63</v>
      </c>
      <c r="C658" s="6" t="s">
        <v>62</v>
      </c>
      <c r="D658" s="6" t="s">
        <v>47</v>
      </c>
      <c r="E658" s="6" t="s">
        <v>80</v>
      </c>
      <c r="F658" s="6">
        <v>1657</v>
      </c>
      <c r="G658" s="6">
        <v>76363.62</v>
      </c>
      <c r="H658" s="7">
        <v>37496</v>
      </c>
      <c r="I658" s="6" t="s">
        <v>63</v>
      </c>
      <c r="J658" s="6" t="s">
        <v>1370</v>
      </c>
      <c r="K658" s="6" t="s">
        <v>30</v>
      </c>
      <c r="L658" s="6" t="s">
        <v>31</v>
      </c>
      <c r="M658" s="6" t="s">
        <v>32</v>
      </c>
      <c r="N658" s="6">
        <v>4.84</v>
      </c>
      <c r="O658" s="6">
        <v>179</v>
      </c>
    </row>
    <row r="659" spans="1:15" ht="14.25" customHeight="1" x14ac:dyDescent="0.3">
      <c r="A659" s="6" t="s">
        <v>1371</v>
      </c>
      <c r="B659" s="6">
        <v>47</v>
      </c>
      <c r="C659" s="6" t="s">
        <v>25</v>
      </c>
      <c r="D659" s="6" t="s">
        <v>69</v>
      </c>
      <c r="E659" s="6" t="s">
        <v>34</v>
      </c>
      <c r="F659" s="6">
        <v>1658</v>
      </c>
      <c r="G659" s="6">
        <v>160291.63</v>
      </c>
      <c r="H659" s="7">
        <v>41456</v>
      </c>
      <c r="I659" s="6" t="s">
        <v>66</v>
      </c>
      <c r="J659" s="6" t="s">
        <v>1372</v>
      </c>
      <c r="K659" s="6" t="s">
        <v>37</v>
      </c>
      <c r="L659" s="6" t="s">
        <v>38</v>
      </c>
      <c r="M659" s="6" t="s">
        <v>39</v>
      </c>
      <c r="N659" s="6">
        <v>2.11</v>
      </c>
      <c r="O659" s="6">
        <v>121</v>
      </c>
    </row>
    <row r="660" spans="1:15" ht="14.25" customHeight="1" x14ac:dyDescent="0.3">
      <c r="A660" s="6" t="s">
        <v>1373</v>
      </c>
      <c r="B660" s="6">
        <v>58</v>
      </c>
      <c r="C660" s="6" t="s">
        <v>16</v>
      </c>
      <c r="D660" s="6" t="s">
        <v>69</v>
      </c>
      <c r="E660" s="6" t="s">
        <v>18</v>
      </c>
      <c r="F660" s="6">
        <v>1659</v>
      </c>
      <c r="G660" s="6">
        <v>152458.94</v>
      </c>
      <c r="H660" s="7">
        <v>39347</v>
      </c>
      <c r="I660" s="6" t="s">
        <v>70</v>
      </c>
      <c r="J660" s="6" t="s">
        <v>1374</v>
      </c>
      <c r="K660" s="6" t="s">
        <v>43</v>
      </c>
      <c r="L660" s="6" t="s">
        <v>44</v>
      </c>
      <c r="M660" s="6" t="s">
        <v>45</v>
      </c>
      <c r="N660" s="6">
        <v>2.64</v>
      </c>
      <c r="O660" s="6">
        <v>116</v>
      </c>
    </row>
    <row r="661" spans="1:15" ht="14.25" customHeight="1" x14ac:dyDescent="0.3">
      <c r="A661" s="6" t="s">
        <v>1375</v>
      </c>
      <c r="B661" s="6">
        <v>48</v>
      </c>
      <c r="C661" s="6" t="s">
        <v>16</v>
      </c>
      <c r="D661" s="6" t="s">
        <v>47</v>
      </c>
      <c r="E661" s="6" t="s">
        <v>48</v>
      </c>
      <c r="F661" s="6">
        <v>1660</v>
      </c>
      <c r="G661" s="6">
        <v>83624.28</v>
      </c>
      <c r="H661" s="7">
        <v>38717</v>
      </c>
      <c r="I661" s="6" t="s">
        <v>73</v>
      </c>
      <c r="J661" s="6" t="s">
        <v>1376</v>
      </c>
      <c r="K661" s="6" t="s">
        <v>51</v>
      </c>
      <c r="L661" s="6" t="s">
        <v>52</v>
      </c>
      <c r="M661" s="6" t="s">
        <v>53</v>
      </c>
      <c r="N661" s="6">
        <v>2.4500000000000002</v>
      </c>
      <c r="O661" s="6">
        <v>49</v>
      </c>
    </row>
    <row r="662" spans="1:15" ht="14.25" customHeight="1" x14ac:dyDescent="0.3">
      <c r="A662" s="6" t="s">
        <v>1377</v>
      </c>
      <c r="B662" s="6">
        <v>26</v>
      </c>
      <c r="C662" s="6" t="s">
        <v>62</v>
      </c>
      <c r="D662" s="6" t="s">
        <v>17</v>
      </c>
      <c r="E662" s="6" t="s">
        <v>80</v>
      </c>
      <c r="F662" s="6">
        <v>1661</v>
      </c>
      <c r="G662" s="6">
        <v>194938.78</v>
      </c>
      <c r="H662" s="7">
        <v>39979</v>
      </c>
      <c r="I662" s="6" t="s">
        <v>19</v>
      </c>
      <c r="J662" s="6" t="s">
        <v>1378</v>
      </c>
      <c r="K662" s="6" t="s">
        <v>21</v>
      </c>
      <c r="L662" s="6" t="s">
        <v>22</v>
      </c>
      <c r="M662" s="6" t="s">
        <v>23</v>
      </c>
      <c r="N662" s="6">
        <v>1.67</v>
      </c>
      <c r="O662" s="6">
        <v>129</v>
      </c>
    </row>
    <row r="663" spans="1:15" ht="14.25" customHeight="1" x14ac:dyDescent="0.3">
      <c r="A663" s="6" t="s">
        <v>1379</v>
      </c>
      <c r="B663" s="6">
        <v>63</v>
      </c>
      <c r="C663" s="6" t="s">
        <v>62</v>
      </c>
      <c r="D663" s="6" t="s">
        <v>47</v>
      </c>
      <c r="E663" s="6" t="s">
        <v>27</v>
      </c>
      <c r="F663" s="6">
        <v>1662</v>
      </c>
      <c r="G663" s="6">
        <v>55487.42</v>
      </c>
      <c r="H663" s="7">
        <v>36796</v>
      </c>
      <c r="I663" s="6" t="s">
        <v>28</v>
      </c>
      <c r="J663" s="6" t="s">
        <v>1380</v>
      </c>
      <c r="K663" s="6" t="s">
        <v>30</v>
      </c>
      <c r="L663" s="6" t="s">
        <v>31</v>
      </c>
      <c r="M663" s="6" t="s">
        <v>32</v>
      </c>
      <c r="N663" s="6">
        <v>3.47</v>
      </c>
      <c r="O663" s="6">
        <v>199</v>
      </c>
    </row>
    <row r="664" spans="1:15" ht="14.25" customHeight="1" x14ac:dyDescent="0.3">
      <c r="A664" s="6" t="s">
        <v>1381</v>
      </c>
      <c r="B664" s="6">
        <v>32</v>
      </c>
      <c r="C664" s="6" t="s">
        <v>16</v>
      </c>
      <c r="D664" s="6" t="s">
        <v>26</v>
      </c>
      <c r="E664" s="6" t="s">
        <v>80</v>
      </c>
      <c r="F664" s="6">
        <v>1663</v>
      </c>
      <c r="G664" s="6">
        <v>149090.34</v>
      </c>
      <c r="H664" s="7">
        <v>41880</v>
      </c>
      <c r="I664" s="6" t="s">
        <v>35</v>
      </c>
      <c r="J664" s="6" t="s">
        <v>1382</v>
      </c>
      <c r="K664" s="6" t="s">
        <v>37</v>
      </c>
      <c r="L664" s="6" t="s">
        <v>38</v>
      </c>
      <c r="M664" s="6" t="s">
        <v>39</v>
      </c>
      <c r="N664" s="6">
        <v>4.45</v>
      </c>
      <c r="O664" s="6">
        <v>128</v>
      </c>
    </row>
    <row r="665" spans="1:15" ht="14.25" customHeight="1" x14ac:dyDescent="0.3">
      <c r="A665" s="6" t="s">
        <v>1383</v>
      </c>
      <c r="B665" s="6">
        <v>34</v>
      </c>
      <c r="C665" s="6" t="s">
        <v>16</v>
      </c>
      <c r="D665" s="6" t="s">
        <v>47</v>
      </c>
      <c r="E665" s="6" t="s">
        <v>80</v>
      </c>
      <c r="F665" s="6">
        <v>1664</v>
      </c>
      <c r="G665" s="6">
        <v>181032.33</v>
      </c>
      <c r="H665" s="7">
        <v>43107</v>
      </c>
      <c r="I665" s="6" t="s">
        <v>41</v>
      </c>
      <c r="J665" s="6" t="s">
        <v>1384</v>
      </c>
      <c r="K665" s="6" t="s">
        <v>43</v>
      </c>
      <c r="L665" s="6" t="s">
        <v>44</v>
      </c>
      <c r="M665" s="6" t="s">
        <v>45</v>
      </c>
      <c r="N665" s="6">
        <v>4.72</v>
      </c>
      <c r="O665" s="6">
        <v>106</v>
      </c>
    </row>
    <row r="666" spans="1:15" ht="14.25" customHeight="1" x14ac:dyDescent="0.3">
      <c r="A666" s="6" t="s">
        <v>1385</v>
      </c>
      <c r="B666" s="6">
        <v>62</v>
      </c>
      <c r="C666" s="6" t="s">
        <v>16</v>
      </c>
      <c r="D666" s="6" t="s">
        <v>47</v>
      </c>
      <c r="E666" s="6" t="s">
        <v>27</v>
      </c>
      <c r="F666" s="6">
        <v>1665</v>
      </c>
      <c r="G666" s="6">
        <v>110052.66</v>
      </c>
      <c r="H666" s="7">
        <v>38893</v>
      </c>
      <c r="I666" s="6" t="s">
        <v>49</v>
      </c>
      <c r="J666" s="6" t="s">
        <v>1386</v>
      </c>
      <c r="K666" s="6" t="s">
        <v>51</v>
      </c>
      <c r="L666" s="6" t="s">
        <v>52</v>
      </c>
      <c r="M666" s="6" t="s">
        <v>53</v>
      </c>
      <c r="N666" s="6">
        <v>3.85</v>
      </c>
      <c r="O666" s="6">
        <v>91</v>
      </c>
    </row>
    <row r="667" spans="1:15" ht="14.25" customHeight="1" x14ac:dyDescent="0.3">
      <c r="A667" s="6" t="s">
        <v>1387</v>
      </c>
      <c r="B667" s="6">
        <v>55</v>
      </c>
      <c r="C667" s="6" t="s">
        <v>16</v>
      </c>
      <c r="D667" s="6" t="s">
        <v>17</v>
      </c>
      <c r="E667" s="6" t="s">
        <v>80</v>
      </c>
      <c r="F667" s="6">
        <v>1666</v>
      </c>
      <c r="G667" s="6">
        <v>116486.61</v>
      </c>
      <c r="H667" s="7">
        <v>41282</v>
      </c>
      <c r="I667" s="6" t="s">
        <v>56</v>
      </c>
      <c r="J667" s="6" t="s">
        <v>1388</v>
      </c>
      <c r="K667" s="6" t="s">
        <v>21</v>
      </c>
      <c r="L667" s="6" t="s">
        <v>22</v>
      </c>
      <c r="M667" s="6" t="s">
        <v>23</v>
      </c>
      <c r="N667" s="6">
        <v>3.05</v>
      </c>
      <c r="O667" s="6">
        <v>123</v>
      </c>
    </row>
    <row r="668" spans="1:15" ht="14.25" customHeight="1" x14ac:dyDescent="0.3">
      <c r="A668" s="6" t="s">
        <v>1389</v>
      </c>
      <c r="B668" s="6">
        <v>59</v>
      </c>
      <c r="C668" s="6" t="s">
        <v>62</v>
      </c>
      <c r="D668" s="6" t="s">
        <v>26</v>
      </c>
      <c r="E668" s="6" t="s">
        <v>34</v>
      </c>
      <c r="F668" s="6">
        <v>1667</v>
      </c>
      <c r="G668" s="6">
        <v>59861.93</v>
      </c>
      <c r="H668" s="7">
        <v>43059</v>
      </c>
      <c r="I668" s="6" t="s">
        <v>63</v>
      </c>
      <c r="J668" s="6" t="s">
        <v>1390</v>
      </c>
      <c r="K668" s="6" t="s">
        <v>30</v>
      </c>
      <c r="L668" s="6" t="s">
        <v>31</v>
      </c>
      <c r="M668" s="6" t="s">
        <v>32</v>
      </c>
      <c r="N668" s="6">
        <v>3.96</v>
      </c>
      <c r="O668" s="6">
        <v>44</v>
      </c>
    </row>
    <row r="669" spans="1:15" ht="14.25" customHeight="1" x14ac:dyDescent="0.3">
      <c r="A669" s="6" t="s">
        <v>1391</v>
      </c>
      <c r="B669" s="6">
        <v>61</v>
      </c>
      <c r="C669" s="6" t="s">
        <v>16</v>
      </c>
      <c r="D669" s="6" t="s">
        <v>69</v>
      </c>
      <c r="E669" s="6" t="s">
        <v>18</v>
      </c>
      <c r="F669" s="6">
        <v>1668</v>
      </c>
      <c r="G669" s="6">
        <v>89493.53</v>
      </c>
      <c r="H669" s="7">
        <v>40673</v>
      </c>
      <c r="I669" s="6" t="s">
        <v>66</v>
      </c>
      <c r="J669" s="6" t="s">
        <v>1392</v>
      </c>
      <c r="K669" s="6" t="s">
        <v>37</v>
      </c>
      <c r="L669" s="6" t="s">
        <v>38</v>
      </c>
      <c r="M669" s="6" t="s">
        <v>39</v>
      </c>
      <c r="N669" s="6">
        <v>4.4800000000000004</v>
      </c>
      <c r="O669" s="6">
        <v>26</v>
      </c>
    </row>
    <row r="670" spans="1:15" ht="14.25" customHeight="1" x14ac:dyDescent="0.3">
      <c r="A670" s="6" t="s">
        <v>1393</v>
      </c>
      <c r="B670" s="6">
        <v>54</v>
      </c>
      <c r="C670" s="6" t="s">
        <v>62</v>
      </c>
      <c r="D670" s="6" t="s">
        <v>26</v>
      </c>
      <c r="E670" s="6" t="s">
        <v>18</v>
      </c>
      <c r="F670" s="6">
        <v>1669</v>
      </c>
      <c r="G670" s="6">
        <v>157490.16</v>
      </c>
      <c r="H670" s="7">
        <v>41154</v>
      </c>
      <c r="I670" s="6" t="s">
        <v>70</v>
      </c>
      <c r="J670" s="6" t="s">
        <v>1394</v>
      </c>
      <c r="K670" s="6" t="s">
        <v>43</v>
      </c>
      <c r="L670" s="6" t="s">
        <v>44</v>
      </c>
      <c r="M670" s="6" t="s">
        <v>45</v>
      </c>
      <c r="N670" s="6">
        <v>1.69</v>
      </c>
      <c r="O670" s="6">
        <v>87</v>
      </c>
    </row>
    <row r="671" spans="1:15" ht="14.25" customHeight="1" x14ac:dyDescent="0.3">
      <c r="A671" s="6" t="s">
        <v>1395</v>
      </c>
      <c r="B671" s="6">
        <v>55</v>
      </c>
      <c r="C671" s="6" t="s">
        <v>62</v>
      </c>
      <c r="D671" s="6" t="s">
        <v>47</v>
      </c>
      <c r="E671" s="6" t="s">
        <v>18</v>
      </c>
      <c r="F671" s="6">
        <v>1670</v>
      </c>
      <c r="G671" s="6">
        <v>197344.94</v>
      </c>
      <c r="H671" s="7">
        <v>43154</v>
      </c>
      <c r="I671" s="6" t="s">
        <v>73</v>
      </c>
      <c r="J671" s="6" t="s">
        <v>1396</v>
      </c>
      <c r="K671" s="6" t="s">
        <v>51</v>
      </c>
      <c r="L671" s="6" t="s">
        <v>52</v>
      </c>
      <c r="M671" s="6" t="s">
        <v>53</v>
      </c>
      <c r="N671" s="6">
        <v>3.96</v>
      </c>
      <c r="O671" s="6">
        <v>173</v>
      </c>
    </row>
    <row r="672" spans="1:15" ht="14.25" customHeight="1" x14ac:dyDescent="0.3">
      <c r="A672" s="6" t="s">
        <v>1397</v>
      </c>
      <c r="B672" s="6">
        <v>48</v>
      </c>
      <c r="C672" s="6" t="s">
        <v>16</v>
      </c>
      <c r="D672" s="6" t="s">
        <v>69</v>
      </c>
      <c r="E672" s="6" t="s">
        <v>80</v>
      </c>
      <c r="F672" s="6">
        <v>1671</v>
      </c>
      <c r="G672" s="6">
        <v>101753.24</v>
      </c>
      <c r="H672" s="7">
        <v>42721</v>
      </c>
      <c r="I672" s="6" t="s">
        <v>19</v>
      </c>
      <c r="J672" s="6" t="s">
        <v>1398</v>
      </c>
      <c r="K672" s="6" t="s">
        <v>21</v>
      </c>
      <c r="L672" s="6" t="s">
        <v>22</v>
      </c>
      <c r="M672" s="6" t="s">
        <v>23</v>
      </c>
      <c r="N672" s="6">
        <v>4.97</v>
      </c>
      <c r="O672" s="6">
        <v>99</v>
      </c>
    </row>
    <row r="673" spans="1:15" ht="14.25" customHeight="1" x14ac:dyDescent="0.3">
      <c r="A673" s="6" t="s">
        <v>1399</v>
      </c>
      <c r="B673" s="6">
        <v>57</v>
      </c>
      <c r="C673" s="6" t="s">
        <v>25</v>
      </c>
      <c r="D673" s="6" t="s">
        <v>17</v>
      </c>
      <c r="E673" s="6" t="s">
        <v>27</v>
      </c>
      <c r="F673" s="6">
        <v>1672</v>
      </c>
      <c r="G673" s="6">
        <v>72219.520000000004</v>
      </c>
      <c r="H673" s="7">
        <v>43503</v>
      </c>
      <c r="I673" s="6" t="s">
        <v>28</v>
      </c>
      <c r="J673" s="6" t="s">
        <v>1400</v>
      </c>
      <c r="K673" s="6" t="s">
        <v>30</v>
      </c>
      <c r="L673" s="6" t="s">
        <v>31</v>
      </c>
      <c r="M673" s="6" t="s">
        <v>32</v>
      </c>
      <c r="N673" s="6">
        <v>2.5299999999999998</v>
      </c>
      <c r="O673" s="6">
        <v>34</v>
      </c>
    </row>
    <row r="674" spans="1:15" ht="14.25" customHeight="1" x14ac:dyDescent="0.3">
      <c r="A674" s="6" t="s">
        <v>1401</v>
      </c>
      <c r="B674" s="6">
        <v>47</v>
      </c>
      <c r="C674" s="6" t="s">
        <v>62</v>
      </c>
      <c r="D674" s="6" t="s">
        <v>69</v>
      </c>
      <c r="E674" s="6" t="s">
        <v>80</v>
      </c>
      <c r="F674" s="6">
        <v>1673</v>
      </c>
      <c r="G674" s="6">
        <v>63934.27</v>
      </c>
      <c r="H674" s="7">
        <v>43588</v>
      </c>
      <c r="I674" s="6" t="s">
        <v>35</v>
      </c>
      <c r="J674" s="6" t="s">
        <v>1402</v>
      </c>
      <c r="K674" s="6" t="s">
        <v>37</v>
      </c>
      <c r="L674" s="6" t="s">
        <v>38</v>
      </c>
      <c r="M674" s="6" t="s">
        <v>39</v>
      </c>
      <c r="N674" s="6">
        <v>4.9400000000000004</v>
      </c>
      <c r="O674" s="6">
        <v>162</v>
      </c>
    </row>
    <row r="675" spans="1:15" ht="14.25" customHeight="1" x14ac:dyDescent="0.3">
      <c r="A675" s="6" t="s">
        <v>1403</v>
      </c>
      <c r="B675" s="6">
        <v>46</v>
      </c>
      <c r="C675" s="6" t="s">
        <v>16</v>
      </c>
      <c r="D675" s="6" t="s">
        <v>17</v>
      </c>
      <c r="E675" s="6" t="s">
        <v>18</v>
      </c>
      <c r="F675" s="6">
        <v>1674</v>
      </c>
      <c r="G675" s="6">
        <v>77055.44</v>
      </c>
      <c r="H675" s="7">
        <v>36819</v>
      </c>
      <c r="I675" s="6" t="s">
        <v>41</v>
      </c>
      <c r="J675" s="6" t="s">
        <v>1404</v>
      </c>
      <c r="K675" s="6" t="s">
        <v>43</v>
      </c>
      <c r="L675" s="6" t="s">
        <v>44</v>
      </c>
      <c r="M675" s="6" t="s">
        <v>45</v>
      </c>
      <c r="N675" s="6">
        <v>1.87</v>
      </c>
      <c r="O675" s="6">
        <v>77</v>
      </c>
    </row>
    <row r="676" spans="1:15" ht="14.25" customHeight="1" x14ac:dyDescent="0.3">
      <c r="A676" s="6" t="s">
        <v>1405</v>
      </c>
      <c r="B676" s="6">
        <v>40</v>
      </c>
      <c r="C676" s="6" t="s">
        <v>62</v>
      </c>
      <c r="D676" s="6" t="s">
        <v>47</v>
      </c>
      <c r="E676" s="6" t="s">
        <v>27</v>
      </c>
      <c r="F676" s="6">
        <v>1675</v>
      </c>
      <c r="G676" s="6">
        <v>66656.039999999994</v>
      </c>
      <c r="H676" s="7">
        <v>42621</v>
      </c>
      <c r="I676" s="6" t="s">
        <v>49</v>
      </c>
      <c r="J676" s="6" t="s">
        <v>1406</v>
      </c>
      <c r="K676" s="6" t="s">
        <v>51</v>
      </c>
      <c r="L676" s="6" t="s">
        <v>52</v>
      </c>
      <c r="M676" s="6" t="s">
        <v>53</v>
      </c>
      <c r="N676" s="6">
        <v>2.09</v>
      </c>
      <c r="O676" s="6">
        <v>87</v>
      </c>
    </row>
    <row r="677" spans="1:15" ht="14.25" customHeight="1" x14ac:dyDescent="0.3">
      <c r="A677" s="6" t="s">
        <v>1407</v>
      </c>
      <c r="B677" s="6">
        <v>42</v>
      </c>
      <c r="C677" s="6" t="s">
        <v>25</v>
      </c>
      <c r="D677" s="6" t="s">
        <v>26</v>
      </c>
      <c r="E677" s="6" t="s">
        <v>18</v>
      </c>
      <c r="F677" s="6">
        <v>1676</v>
      </c>
      <c r="G677" s="6">
        <v>174476.17</v>
      </c>
      <c r="H677" s="7">
        <v>38850</v>
      </c>
      <c r="I677" s="6" t="s">
        <v>56</v>
      </c>
      <c r="J677" s="6" t="s">
        <v>1408</v>
      </c>
      <c r="K677" s="6" t="s">
        <v>21</v>
      </c>
      <c r="L677" s="6" t="s">
        <v>22</v>
      </c>
      <c r="M677" s="6" t="s">
        <v>23</v>
      </c>
      <c r="N677" s="6">
        <v>2.11</v>
      </c>
      <c r="O677" s="6">
        <v>35</v>
      </c>
    </row>
    <row r="678" spans="1:15" ht="14.25" customHeight="1" x14ac:dyDescent="0.3">
      <c r="A678" s="6" t="s">
        <v>1409</v>
      </c>
      <c r="B678" s="6">
        <v>52</v>
      </c>
      <c r="C678" s="6" t="s">
        <v>16</v>
      </c>
      <c r="D678" s="6" t="s">
        <v>26</v>
      </c>
      <c r="E678" s="6" t="s">
        <v>18</v>
      </c>
      <c r="F678" s="6">
        <v>1677</v>
      </c>
      <c r="G678" s="6">
        <v>107513.21</v>
      </c>
      <c r="H678" s="7">
        <v>38312</v>
      </c>
      <c r="I678" s="6" t="s">
        <v>63</v>
      </c>
      <c r="J678" s="6" t="s">
        <v>1410</v>
      </c>
      <c r="K678" s="6" t="s">
        <v>30</v>
      </c>
      <c r="L678" s="6" t="s">
        <v>31</v>
      </c>
      <c r="M678" s="6" t="s">
        <v>32</v>
      </c>
      <c r="N678" s="6">
        <v>3.41</v>
      </c>
      <c r="O678" s="6">
        <v>125</v>
      </c>
    </row>
    <row r="679" spans="1:15" ht="14.25" customHeight="1" x14ac:dyDescent="0.3">
      <c r="A679" s="6" t="s">
        <v>1411</v>
      </c>
      <c r="B679" s="6">
        <v>50</v>
      </c>
      <c r="C679" s="6" t="s">
        <v>62</v>
      </c>
      <c r="D679" s="6" t="s">
        <v>26</v>
      </c>
      <c r="E679" s="6" t="s">
        <v>34</v>
      </c>
      <c r="F679" s="6">
        <v>1678</v>
      </c>
      <c r="G679" s="6">
        <v>109690.63</v>
      </c>
      <c r="H679" s="7">
        <v>38298</v>
      </c>
      <c r="I679" s="6" t="s">
        <v>66</v>
      </c>
      <c r="J679" s="6" t="s">
        <v>1412</v>
      </c>
      <c r="K679" s="6" t="s">
        <v>37</v>
      </c>
      <c r="L679" s="6" t="s">
        <v>38</v>
      </c>
      <c r="M679" s="6" t="s">
        <v>39</v>
      </c>
      <c r="N679" s="6">
        <v>4.33</v>
      </c>
      <c r="O679" s="6">
        <v>86</v>
      </c>
    </row>
    <row r="680" spans="1:15" ht="14.25" customHeight="1" x14ac:dyDescent="0.3">
      <c r="A680" s="6" t="s">
        <v>1413</v>
      </c>
      <c r="B680" s="6">
        <v>30</v>
      </c>
      <c r="C680" s="6" t="s">
        <v>25</v>
      </c>
      <c r="D680" s="6" t="s">
        <v>26</v>
      </c>
      <c r="E680" s="6" t="s">
        <v>34</v>
      </c>
      <c r="F680" s="6">
        <v>1679</v>
      </c>
      <c r="G680" s="6">
        <v>176548.6</v>
      </c>
      <c r="H680" s="7">
        <v>36754</v>
      </c>
      <c r="I680" s="6" t="s">
        <v>70</v>
      </c>
      <c r="J680" s="6" t="s">
        <v>1414</v>
      </c>
      <c r="K680" s="6" t="s">
        <v>43</v>
      </c>
      <c r="L680" s="6" t="s">
        <v>44</v>
      </c>
      <c r="M680" s="6" t="s">
        <v>45</v>
      </c>
      <c r="N680" s="6">
        <v>4.9800000000000004</v>
      </c>
      <c r="O680" s="6">
        <v>11</v>
      </c>
    </row>
    <row r="681" spans="1:15" ht="14.25" customHeight="1" x14ac:dyDescent="0.3">
      <c r="A681" s="6" t="s">
        <v>1415</v>
      </c>
      <c r="B681" s="6">
        <v>40</v>
      </c>
      <c r="C681" s="6" t="s">
        <v>25</v>
      </c>
      <c r="D681" s="6" t="s">
        <v>26</v>
      </c>
      <c r="E681" s="6" t="s">
        <v>80</v>
      </c>
      <c r="F681" s="6">
        <v>1680</v>
      </c>
      <c r="G681" s="6">
        <v>161305.68</v>
      </c>
      <c r="H681" s="7">
        <v>36696</v>
      </c>
      <c r="I681" s="6" t="s">
        <v>73</v>
      </c>
      <c r="J681" s="6" t="s">
        <v>1416</v>
      </c>
      <c r="K681" s="6" t="s">
        <v>51</v>
      </c>
      <c r="L681" s="6" t="s">
        <v>52</v>
      </c>
      <c r="M681" s="6" t="s">
        <v>53</v>
      </c>
      <c r="N681" s="6">
        <v>4.22</v>
      </c>
      <c r="O681" s="6">
        <v>67</v>
      </c>
    </row>
    <row r="682" spans="1:15" ht="14.25" customHeight="1" x14ac:dyDescent="0.3">
      <c r="A682" s="6" t="s">
        <v>1417</v>
      </c>
      <c r="B682" s="6">
        <v>47</v>
      </c>
      <c r="C682" s="6" t="s">
        <v>62</v>
      </c>
      <c r="D682" s="6" t="s">
        <v>55</v>
      </c>
      <c r="E682" s="6" t="s">
        <v>34</v>
      </c>
      <c r="F682" s="6">
        <v>1681</v>
      </c>
      <c r="G682" s="6">
        <v>129041.36</v>
      </c>
      <c r="H682" s="7">
        <v>36540</v>
      </c>
      <c r="I682" s="6" t="s">
        <v>19</v>
      </c>
      <c r="J682" s="6" t="s">
        <v>1418</v>
      </c>
      <c r="K682" s="6" t="s">
        <v>21</v>
      </c>
      <c r="L682" s="6" t="s">
        <v>22</v>
      </c>
      <c r="M682" s="6" t="s">
        <v>23</v>
      </c>
      <c r="N682" s="6">
        <v>2.4900000000000002</v>
      </c>
      <c r="O682" s="6">
        <v>189</v>
      </c>
    </row>
    <row r="683" spans="1:15" ht="14.25" customHeight="1" x14ac:dyDescent="0.3">
      <c r="A683" s="6" t="s">
        <v>1419</v>
      </c>
      <c r="B683" s="6">
        <v>46</v>
      </c>
      <c r="C683" s="6" t="s">
        <v>16</v>
      </c>
      <c r="D683" s="6" t="s">
        <v>47</v>
      </c>
      <c r="E683" s="6" t="s">
        <v>27</v>
      </c>
      <c r="F683" s="6">
        <v>1682</v>
      </c>
      <c r="G683" s="6">
        <v>124998.43</v>
      </c>
      <c r="H683" s="7">
        <v>38860</v>
      </c>
      <c r="I683" s="6" t="s">
        <v>28</v>
      </c>
      <c r="J683" s="6" t="s">
        <v>1420</v>
      </c>
      <c r="K683" s="6" t="s">
        <v>30</v>
      </c>
      <c r="L683" s="6" t="s">
        <v>31</v>
      </c>
      <c r="M683" s="6" t="s">
        <v>32</v>
      </c>
      <c r="N683" s="6">
        <v>1.64</v>
      </c>
      <c r="O683" s="6">
        <v>75</v>
      </c>
    </row>
    <row r="684" spans="1:15" ht="14.25" customHeight="1" x14ac:dyDescent="0.3">
      <c r="A684" s="6" t="s">
        <v>1421</v>
      </c>
      <c r="B684" s="6">
        <v>61</v>
      </c>
      <c r="C684" s="6" t="s">
        <v>16</v>
      </c>
      <c r="D684" s="6" t="s">
        <v>26</v>
      </c>
      <c r="E684" s="6" t="s">
        <v>48</v>
      </c>
      <c r="F684" s="6">
        <v>1683</v>
      </c>
      <c r="G684" s="6">
        <v>154489.60000000001</v>
      </c>
      <c r="H684" s="7">
        <v>42862</v>
      </c>
      <c r="I684" s="6" t="s">
        <v>35</v>
      </c>
      <c r="J684" s="6" t="s">
        <v>1422</v>
      </c>
      <c r="K684" s="6" t="s">
        <v>37</v>
      </c>
      <c r="L684" s="6" t="s">
        <v>38</v>
      </c>
      <c r="M684" s="6" t="s">
        <v>39</v>
      </c>
      <c r="N684" s="6">
        <v>4.5599999999999996</v>
      </c>
      <c r="O684" s="6">
        <v>34</v>
      </c>
    </row>
    <row r="685" spans="1:15" ht="14.25" customHeight="1" x14ac:dyDescent="0.3">
      <c r="A685" s="6" t="s">
        <v>1423</v>
      </c>
      <c r="B685" s="6">
        <v>64</v>
      </c>
      <c r="C685" s="6" t="s">
        <v>62</v>
      </c>
      <c r="D685" s="6" t="s">
        <v>26</v>
      </c>
      <c r="E685" s="6" t="s">
        <v>27</v>
      </c>
      <c r="F685" s="6">
        <v>1684</v>
      </c>
      <c r="G685" s="6">
        <v>138104.04</v>
      </c>
      <c r="H685" s="7">
        <v>41313</v>
      </c>
      <c r="I685" s="6" t="s">
        <v>41</v>
      </c>
      <c r="J685" s="6" t="s">
        <v>1424</v>
      </c>
      <c r="K685" s="6" t="s">
        <v>43</v>
      </c>
      <c r="L685" s="6" t="s">
        <v>44</v>
      </c>
      <c r="M685" s="6" t="s">
        <v>45</v>
      </c>
      <c r="N685" s="6">
        <v>3.71</v>
      </c>
      <c r="O685" s="6">
        <v>31</v>
      </c>
    </row>
    <row r="686" spans="1:15" ht="14.25" customHeight="1" x14ac:dyDescent="0.3">
      <c r="A686" s="6" t="s">
        <v>1425</v>
      </c>
      <c r="B686" s="6">
        <v>50</v>
      </c>
      <c r="C686" s="6" t="s">
        <v>25</v>
      </c>
      <c r="D686" s="6" t="s">
        <v>17</v>
      </c>
      <c r="E686" s="6" t="s">
        <v>18</v>
      </c>
      <c r="F686" s="6">
        <v>1685</v>
      </c>
      <c r="G686" s="6">
        <v>78273.56</v>
      </c>
      <c r="H686" s="7">
        <v>38286</v>
      </c>
      <c r="I686" s="6" t="s">
        <v>49</v>
      </c>
      <c r="J686" s="6" t="s">
        <v>1426</v>
      </c>
      <c r="K686" s="6" t="s">
        <v>51</v>
      </c>
      <c r="L686" s="6" t="s">
        <v>52</v>
      </c>
      <c r="M686" s="6" t="s">
        <v>53</v>
      </c>
      <c r="N686" s="6">
        <v>1.57</v>
      </c>
      <c r="O686" s="6">
        <v>72</v>
      </c>
    </row>
    <row r="687" spans="1:15" ht="14.25" customHeight="1" x14ac:dyDescent="0.3">
      <c r="A687" s="6" t="s">
        <v>1427</v>
      </c>
      <c r="B687" s="6">
        <v>46</v>
      </c>
      <c r="C687" s="6" t="s">
        <v>25</v>
      </c>
      <c r="D687" s="6" t="s">
        <v>47</v>
      </c>
      <c r="E687" s="6" t="s">
        <v>18</v>
      </c>
      <c r="F687" s="6">
        <v>1686</v>
      </c>
      <c r="G687" s="6">
        <v>68865.39</v>
      </c>
      <c r="H687" s="7">
        <v>40689</v>
      </c>
      <c r="I687" s="6" t="s">
        <v>56</v>
      </c>
      <c r="J687" s="6" t="s">
        <v>1428</v>
      </c>
      <c r="K687" s="6" t="s">
        <v>21</v>
      </c>
      <c r="L687" s="6" t="s">
        <v>22</v>
      </c>
      <c r="M687" s="6" t="s">
        <v>23</v>
      </c>
      <c r="N687" s="6">
        <v>2.33</v>
      </c>
      <c r="O687" s="6">
        <v>112</v>
      </c>
    </row>
    <row r="688" spans="1:15" ht="14.25" customHeight="1" x14ac:dyDescent="0.3">
      <c r="A688" s="6" t="s">
        <v>1429</v>
      </c>
      <c r="B688" s="6">
        <v>40</v>
      </c>
      <c r="C688" s="6" t="s">
        <v>25</v>
      </c>
      <c r="D688" s="6" t="s">
        <v>17</v>
      </c>
      <c r="E688" s="6" t="s">
        <v>34</v>
      </c>
      <c r="F688" s="6">
        <v>1687</v>
      </c>
      <c r="G688" s="6">
        <v>110876</v>
      </c>
      <c r="H688" s="7">
        <v>42829</v>
      </c>
      <c r="I688" s="6" t="s">
        <v>63</v>
      </c>
      <c r="J688" s="6" t="s">
        <v>1430</v>
      </c>
      <c r="K688" s="6" t="s">
        <v>30</v>
      </c>
      <c r="L688" s="6" t="s">
        <v>31</v>
      </c>
      <c r="M688" s="6" t="s">
        <v>32</v>
      </c>
      <c r="N688" s="6">
        <v>3.47</v>
      </c>
      <c r="O688" s="6">
        <v>157</v>
      </c>
    </row>
    <row r="689" spans="1:15" ht="14.25" customHeight="1" x14ac:dyDescent="0.3">
      <c r="A689" s="6" t="s">
        <v>1431</v>
      </c>
      <c r="B689" s="6">
        <v>25</v>
      </c>
      <c r="C689" s="6" t="s">
        <v>25</v>
      </c>
      <c r="D689" s="6" t="s">
        <v>26</v>
      </c>
      <c r="E689" s="6" t="s">
        <v>18</v>
      </c>
      <c r="F689" s="6">
        <v>1688</v>
      </c>
      <c r="G689" s="6">
        <v>124112.18</v>
      </c>
      <c r="H689" s="7">
        <v>39010</v>
      </c>
      <c r="I689" s="6" t="s">
        <v>66</v>
      </c>
      <c r="J689" s="6" t="s">
        <v>1432</v>
      </c>
      <c r="K689" s="6" t="s">
        <v>37</v>
      </c>
      <c r="L689" s="6" t="s">
        <v>38</v>
      </c>
      <c r="M689" s="6" t="s">
        <v>39</v>
      </c>
      <c r="N689" s="6">
        <v>2.83</v>
      </c>
      <c r="O689" s="6">
        <v>125</v>
      </c>
    </row>
    <row r="690" spans="1:15" ht="14.25" customHeight="1" x14ac:dyDescent="0.3">
      <c r="A690" s="6" t="s">
        <v>1433</v>
      </c>
      <c r="B690" s="6">
        <v>41</v>
      </c>
      <c r="C690" s="6" t="s">
        <v>62</v>
      </c>
      <c r="D690" s="6" t="s">
        <v>47</v>
      </c>
      <c r="E690" s="6" t="s">
        <v>48</v>
      </c>
      <c r="F690" s="6">
        <v>1689</v>
      </c>
      <c r="G690" s="6">
        <v>62330.74</v>
      </c>
      <c r="H690" s="7">
        <v>38715</v>
      </c>
      <c r="I690" s="6" t="s">
        <v>70</v>
      </c>
      <c r="J690" s="6" t="s">
        <v>1434</v>
      </c>
      <c r="K690" s="6" t="s">
        <v>43</v>
      </c>
      <c r="L690" s="6" t="s">
        <v>44</v>
      </c>
      <c r="M690" s="6" t="s">
        <v>45</v>
      </c>
      <c r="N690" s="6">
        <v>2.36</v>
      </c>
      <c r="O690" s="6">
        <v>11</v>
      </c>
    </row>
    <row r="691" spans="1:15" ht="14.25" customHeight="1" x14ac:dyDescent="0.3">
      <c r="A691" s="6" t="s">
        <v>1435</v>
      </c>
      <c r="B691" s="6">
        <v>22</v>
      </c>
      <c r="C691" s="6" t="s">
        <v>25</v>
      </c>
      <c r="D691" s="6" t="s">
        <v>47</v>
      </c>
      <c r="E691" s="6" t="s">
        <v>80</v>
      </c>
      <c r="F691" s="6">
        <v>1690</v>
      </c>
      <c r="G691" s="6">
        <v>130349.48</v>
      </c>
      <c r="H691" s="7">
        <v>39261</v>
      </c>
      <c r="I691" s="6" t="s">
        <v>73</v>
      </c>
      <c r="J691" s="6" t="s">
        <v>1436</v>
      </c>
      <c r="K691" s="6" t="s">
        <v>51</v>
      </c>
      <c r="L691" s="6" t="s">
        <v>52</v>
      </c>
      <c r="M691" s="6" t="s">
        <v>53</v>
      </c>
      <c r="N691" s="6">
        <v>2.94</v>
      </c>
      <c r="O691" s="6">
        <v>135</v>
      </c>
    </row>
    <row r="692" spans="1:15" ht="14.25" customHeight="1" x14ac:dyDescent="0.3">
      <c r="A692" s="6" t="s">
        <v>1437</v>
      </c>
      <c r="B692" s="6">
        <v>32</v>
      </c>
      <c r="C692" s="6" t="s">
        <v>62</v>
      </c>
      <c r="D692" s="6" t="s">
        <v>47</v>
      </c>
      <c r="E692" s="6" t="s">
        <v>80</v>
      </c>
      <c r="F692" s="6">
        <v>1691</v>
      </c>
      <c r="G692" s="6">
        <v>195156.9</v>
      </c>
      <c r="H692" s="7">
        <v>43836</v>
      </c>
      <c r="I692" s="6" t="s">
        <v>19</v>
      </c>
      <c r="J692" s="6" t="s">
        <v>1438</v>
      </c>
      <c r="K692" s="6" t="s">
        <v>21</v>
      </c>
      <c r="L692" s="6" t="s">
        <v>22</v>
      </c>
      <c r="M692" s="6" t="s">
        <v>23</v>
      </c>
      <c r="N692" s="6">
        <v>4.0599999999999996</v>
      </c>
      <c r="O692" s="6">
        <v>57</v>
      </c>
    </row>
    <row r="693" spans="1:15" ht="14.25" customHeight="1" x14ac:dyDescent="0.3">
      <c r="A693" s="6" t="s">
        <v>1439</v>
      </c>
      <c r="B693" s="6">
        <v>25</v>
      </c>
      <c r="C693" s="6" t="s">
        <v>16</v>
      </c>
      <c r="D693" s="6" t="s">
        <v>69</v>
      </c>
      <c r="E693" s="6" t="s">
        <v>27</v>
      </c>
      <c r="F693" s="6">
        <v>1692</v>
      </c>
      <c r="G693" s="6">
        <v>154730.23999999999</v>
      </c>
      <c r="H693" s="7">
        <v>37462</v>
      </c>
      <c r="I693" s="6" t="s">
        <v>28</v>
      </c>
      <c r="J693" s="6" t="s">
        <v>1440</v>
      </c>
      <c r="K693" s="6" t="s">
        <v>30</v>
      </c>
      <c r="L693" s="6" t="s">
        <v>31</v>
      </c>
      <c r="M693" s="6" t="s">
        <v>32</v>
      </c>
      <c r="N693" s="6">
        <v>4.33</v>
      </c>
      <c r="O693" s="6">
        <v>88</v>
      </c>
    </row>
    <row r="694" spans="1:15" ht="14.25" customHeight="1" x14ac:dyDescent="0.3">
      <c r="A694" s="6" t="s">
        <v>1441</v>
      </c>
      <c r="B694" s="6">
        <v>28</v>
      </c>
      <c r="C694" s="6" t="s">
        <v>16</v>
      </c>
      <c r="D694" s="6" t="s">
        <v>55</v>
      </c>
      <c r="E694" s="6" t="s">
        <v>80</v>
      </c>
      <c r="F694" s="6">
        <v>1693</v>
      </c>
      <c r="G694" s="6">
        <v>71385.53</v>
      </c>
      <c r="H694" s="7">
        <v>40772</v>
      </c>
      <c r="I694" s="6" t="s">
        <v>35</v>
      </c>
      <c r="J694" s="6" t="s">
        <v>1442</v>
      </c>
      <c r="K694" s="6" t="s">
        <v>37</v>
      </c>
      <c r="L694" s="6" t="s">
        <v>38</v>
      </c>
      <c r="M694" s="6" t="s">
        <v>39</v>
      </c>
      <c r="N694" s="6">
        <v>3.11</v>
      </c>
      <c r="O694" s="6">
        <v>132</v>
      </c>
    </row>
    <row r="695" spans="1:15" ht="14.25" customHeight="1" x14ac:dyDescent="0.3">
      <c r="A695" s="6" t="s">
        <v>1443</v>
      </c>
      <c r="B695" s="6">
        <v>49</v>
      </c>
      <c r="C695" s="6" t="s">
        <v>25</v>
      </c>
      <c r="D695" s="6" t="s">
        <v>55</v>
      </c>
      <c r="E695" s="6" t="s">
        <v>34</v>
      </c>
      <c r="F695" s="6">
        <v>1694</v>
      </c>
      <c r="G695" s="6">
        <v>135436.76</v>
      </c>
      <c r="H695" s="7">
        <v>42140</v>
      </c>
      <c r="I695" s="6" t="s">
        <v>41</v>
      </c>
      <c r="J695" s="6" t="s">
        <v>1444</v>
      </c>
      <c r="K695" s="6" t="s">
        <v>43</v>
      </c>
      <c r="L695" s="6" t="s">
        <v>44</v>
      </c>
      <c r="M695" s="6" t="s">
        <v>45</v>
      </c>
      <c r="N695" s="6">
        <v>1.56</v>
      </c>
      <c r="O695" s="6">
        <v>114</v>
      </c>
    </row>
    <row r="696" spans="1:15" ht="14.25" customHeight="1" x14ac:dyDescent="0.3">
      <c r="A696" s="6" t="s">
        <v>1445</v>
      </c>
      <c r="B696" s="6">
        <v>57</v>
      </c>
      <c r="C696" s="6" t="s">
        <v>25</v>
      </c>
      <c r="D696" s="6" t="s">
        <v>26</v>
      </c>
      <c r="E696" s="6" t="s">
        <v>34</v>
      </c>
      <c r="F696" s="6">
        <v>1695</v>
      </c>
      <c r="G696" s="6">
        <v>170663.21</v>
      </c>
      <c r="H696" s="7">
        <v>37486</v>
      </c>
      <c r="I696" s="6" t="s">
        <v>49</v>
      </c>
      <c r="J696" s="6" t="s">
        <v>1446</v>
      </c>
      <c r="K696" s="6" t="s">
        <v>51</v>
      </c>
      <c r="L696" s="6" t="s">
        <v>52</v>
      </c>
      <c r="M696" s="6" t="s">
        <v>53</v>
      </c>
      <c r="N696" s="6">
        <v>4.33</v>
      </c>
      <c r="O696" s="6">
        <v>13</v>
      </c>
    </row>
    <row r="697" spans="1:15" ht="14.25" customHeight="1" x14ac:dyDescent="0.3">
      <c r="A697" s="6" t="s">
        <v>1447</v>
      </c>
      <c r="B697" s="6">
        <v>28</v>
      </c>
      <c r="C697" s="6" t="s">
        <v>25</v>
      </c>
      <c r="D697" s="6" t="s">
        <v>55</v>
      </c>
      <c r="E697" s="6" t="s">
        <v>18</v>
      </c>
      <c r="F697" s="6">
        <v>1696</v>
      </c>
      <c r="G697" s="6">
        <v>101549.09</v>
      </c>
      <c r="H697" s="7">
        <v>42825</v>
      </c>
      <c r="I697" s="6" t="s">
        <v>56</v>
      </c>
      <c r="J697" s="6" t="s">
        <v>1448</v>
      </c>
      <c r="K697" s="6" t="s">
        <v>21</v>
      </c>
      <c r="L697" s="6" t="s">
        <v>22</v>
      </c>
      <c r="M697" s="6" t="s">
        <v>23</v>
      </c>
      <c r="N697" s="6">
        <v>2.84</v>
      </c>
      <c r="O697" s="6">
        <v>93</v>
      </c>
    </row>
    <row r="698" spans="1:15" ht="14.25" customHeight="1" x14ac:dyDescent="0.3">
      <c r="A698" s="6" t="s">
        <v>1449</v>
      </c>
      <c r="B698" s="6">
        <v>41</v>
      </c>
      <c r="C698" s="6" t="s">
        <v>16</v>
      </c>
      <c r="D698" s="6" t="s">
        <v>47</v>
      </c>
      <c r="E698" s="6" t="s">
        <v>34</v>
      </c>
      <c r="F698" s="6">
        <v>1697</v>
      </c>
      <c r="G698" s="6">
        <v>114340.01</v>
      </c>
      <c r="H698" s="7">
        <v>41521</v>
      </c>
      <c r="I698" s="6" t="s">
        <v>63</v>
      </c>
      <c r="J698" s="6" t="s">
        <v>1450</v>
      </c>
      <c r="K698" s="6" t="s">
        <v>30</v>
      </c>
      <c r="L698" s="6" t="s">
        <v>31</v>
      </c>
      <c r="M698" s="6" t="s">
        <v>32</v>
      </c>
      <c r="N698" s="6">
        <v>4.5999999999999996</v>
      </c>
      <c r="O698" s="6">
        <v>132</v>
      </c>
    </row>
    <row r="699" spans="1:15" ht="14.25" customHeight="1" x14ac:dyDescent="0.3">
      <c r="A699" s="6" t="s">
        <v>1451</v>
      </c>
      <c r="B699" s="6">
        <v>56</v>
      </c>
      <c r="C699" s="6" t="s">
        <v>62</v>
      </c>
      <c r="D699" s="6" t="s">
        <v>69</v>
      </c>
      <c r="E699" s="6" t="s">
        <v>34</v>
      </c>
      <c r="F699" s="6">
        <v>1698</v>
      </c>
      <c r="G699" s="6">
        <v>50338.54</v>
      </c>
      <c r="H699" s="7">
        <v>44525</v>
      </c>
      <c r="I699" s="6" t="s">
        <v>66</v>
      </c>
      <c r="J699" s="6" t="s">
        <v>1452</v>
      </c>
      <c r="K699" s="6" t="s">
        <v>37</v>
      </c>
      <c r="L699" s="6" t="s">
        <v>38</v>
      </c>
      <c r="M699" s="6" t="s">
        <v>39</v>
      </c>
      <c r="N699" s="6">
        <v>4.49</v>
      </c>
      <c r="O699" s="6">
        <v>41</v>
      </c>
    </row>
    <row r="700" spans="1:15" ht="14.25" customHeight="1" x14ac:dyDescent="0.3">
      <c r="A700" s="6" t="s">
        <v>1453</v>
      </c>
      <c r="B700" s="6">
        <v>60</v>
      </c>
      <c r="C700" s="6" t="s">
        <v>62</v>
      </c>
      <c r="D700" s="6" t="s">
        <v>55</v>
      </c>
      <c r="E700" s="6" t="s">
        <v>80</v>
      </c>
      <c r="F700" s="6">
        <v>1699</v>
      </c>
      <c r="G700" s="6">
        <v>180432.47</v>
      </c>
      <c r="H700" s="7">
        <v>39114</v>
      </c>
      <c r="I700" s="6" t="s">
        <v>70</v>
      </c>
      <c r="J700" s="6" t="s">
        <v>1454</v>
      </c>
      <c r="K700" s="6" t="s">
        <v>43</v>
      </c>
      <c r="L700" s="6" t="s">
        <v>44</v>
      </c>
      <c r="M700" s="6" t="s">
        <v>45</v>
      </c>
      <c r="N700" s="6">
        <v>1.6</v>
      </c>
      <c r="O700" s="6">
        <v>125</v>
      </c>
    </row>
    <row r="701" spans="1:15" ht="14.25" customHeight="1" x14ac:dyDescent="0.3">
      <c r="A701" s="6" t="s">
        <v>1455</v>
      </c>
      <c r="B701" s="6">
        <v>42</v>
      </c>
      <c r="C701" s="6" t="s">
        <v>62</v>
      </c>
      <c r="D701" s="6" t="s">
        <v>55</v>
      </c>
      <c r="E701" s="6" t="s">
        <v>48</v>
      </c>
      <c r="F701" s="6">
        <v>1700</v>
      </c>
      <c r="G701" s="6">
        <v>120527.47</v>
      </c>
      <c r="H701" s="7">
        <v>37962</v>
      </c>
      <c r="I701" s="6" t="s">
        <v>73</v>
      </c>
      <c r="J701" s="6" t="s">
        <v>1456</v>
      </c>
      <c r="K701" s="6" t="s">
        <v>51</v>
      </c>
      <c r="L701" s="6" t="s">
        <v>52</v>
      </c>
      <c r="M701" s="6" t="s">
        <v>53</v>
      </c>
      <c r="N701" s="6">
        <v>2.42</v>
      </c>
      <c r="O701" s="6">
        <v>132</v>
      </c>
    </row>
    <row r="702" spans="1:15" ht="14.25" customHeight="1" x14ac:dyDescent="0.3">
      <c r="A702" s="6" t="s">
        <v>1457</v>
      </c>
      <c r="B702" s="6">
        <v>22</v>
      </c>
      <c r="C702" s="6" t="s">
        <v>25</v>
      </c>
      <c r="D702" s="6" t="s">
        <v>69</v>
      </c>
      <c r="E702" s="6" t="s">
        <v>18</v>
      </c>
      <c r="F702" s="6">
        <v>1701</v>
      </c>
      <c r="G702" s="6">
        <v>88031.99</v>
      </c>
      <c r="H702" s="7">
        <v>44321</v>
      </c>
      <c r="I702" s="6" t="s">
        <v>19</v>
      </c>
      <c r="J702" s="6" t="s">
        <v>1458</v>
      </c>
      <c r="K702" s="6" t="s">
        <v>21</v>
      </c>
      <c r="L702" s="6" t="s">
        <v>22</v>
      </c>
      <c r="M702" s="6" t="s">
        <v>23</v>
      </c>
      <c r="N702" s="6">
        <v>2.23</v>
      </c>
      <c r="O702" s="6">
        <v>87</v>
      </c>
    </row>
    <row r="703" spans="1:15" ht="14.25" customHeight="1" x14ac:dyDescent="0.3">
      <c r="A703" s="6" t="s">
        <v>1459</v>
      </c>
      <c r="B703" s="6">
        <v>58</v>
      </c>
      <c r="C703" s="6" t="s">
        <v>62</v>
      </c>
      <c r="D703" s="6" t="s">
        <v>17</v>
      </c>
      <c r="E703" s="6" t="s">
        <v>27</v>
      </c>
      <c r="F703" s="6">
        <v>1702</v>
      </c>
      <c r="G703" s="6">
        <v>79641.08</v>
      </c>
      <c r="H703" s="7">
        <v>42307</v>
      </c>
      <c r="I703" s="6" t="s">
        <v>28</v>
      </c>
      <c r="J703" s="6" t="s">
        <v>1460</v>
      </c>
      <c r="K703" s="6" t="s">
        <v>30</v>
      </c>
      <c r="L703" s="6" t="s">
        <v>31</v>
      </c>
      <c r="M703" s="6" t="s">
        <v>32</v>
      </c>
      <c r="N703" s="6">
        <v>4.8099999999999996</v>
      </c>
      <c r="O703" s="6">
        <v>161</v>
      </c>
    </row>
    <row r="704" spans="1:15" ht="14.25" customHeight="1" x14ac:dyDescent="0.3">
      <c r="A704" s="6" t="s">
        <v>1461</v>
      </c>
      <c r="B704" s="6">
        <v>63</v>
      </c>
      <c r="C704" s="6" t="s">
        <v>25</v>
      </c>
      <c r="D704" s="6" t="s">
        <v>26</v>
      </c>
      <c r="E704" s="6" t="s">
        <v>80</v>
      </c>
      <c r="F704" s="6">
        <v>1703</v>
      </c>
      <c r="G704" s="6">
        <v>114077.64</v>
      </c>
      <c r="H704" s="7">
        <v>39703</v>
      </c>
      <c r="I704" s="6" t="s">
        <v>35</v>
      </c>
      <c r="J704" s="6" t="s">
        <v>1462</v>
      </c>
      <c r="K704" s="6" t="s">
        <v>37</v>
      </c>
      <c r="L704" s="6" t="s">
        <v>38</v>
      </c>
      <c r="M704" s="6" t="s">
        <v>39</v>
      </c>
      <c r="N704" s="6">
        <v>3.26</v>
      </c>
      <c r="O704" s="6">
        <v>152</v>
      </c>
    </row>
    <row r="705" spans="1:15" ht="14.25" customHeight="1" x14ac:dyDescent="0.3">
      <c r="A705" s="6" t="s">
        <v>1463</v>
      </c>
      <c r="B705" s="6">
        <v>24</v>
      </c>
      <c r="C705" s="6" t="s">
        <v>16</v>
      </c>
      <c r="D705" s="6" t="s">
        <v>47</v>
      </c>
      <c r="E705" s="6" t="s">
        <v>18</v>
      </c>
      <c r="F705" s="6">
        <v>1704</v>
      </c>
      <c r="G705" s="6">
        <v>83517.2</v>
      </c>
      <c r="H705" s="7">
        <v>44146</v>
      </c>
      <c r="I705" s="6" t="s">
        <v>41</v>
      </c>
      <c r="J705" s="6" t="s">
        <v>1464</v>
      </c>
      <c r="K705" s="6" t="s">
        <v>43</v>
      </c>
      <c r="L705" s="6" t="s">
        <v>44</v>
      </c>
      <c r="M705" s="6" t="s">
        <v>45</v>
      </c>
      <c r="N705" s="6">
        <v>4.93</v>
      </c>
      <c r="O705" s="6">
        <v>35</v>
      </c>
    </row>
    <row r="706" spans="1:15" ht="14.25" customHeight="1" x14ac:dyDescent="0.3">
      <c r="A706" s="6" t="s">
        <v>1465</v>
      </c>
      <c r="B706" s="6">
        <v>55</v>
      </c>
      <c r="C706" s="6" t="s">
        <v>62</v>
      </c>
      <c r="D706" s="6" t="s">
        <v>69</v>
      </c>
      <c r="E706" s="6" t="s">
        <v>80</v>
      </c>
      <c r="F706" s="6">
        <v>1705</v>
      </c>
      <c r="G706" s="6">
        <v>184516.81</v>
      </c>
      <c r="H706" s="7">
        <v>43865</v>
      </c>
      <c r="I706" s="6" t="s">
        <v>49</v>
      </c>
      <c r="J706" s="6" t="s">
        <v>1466</v>
      </c>
      <c r="K706" s="6" t="s">
        <v>51</v>
      </c>
      <c r="L706" s="6" t="s">
        <v>52</v>
      </c>
      <c r="M706" s="6" t="s">
        <v>53</v>
      </c>
      <c r="N706" s="6">
        <v>2.46</v>
      </c>
      <c r="O706" s="6">
        <v>122</v>
      </c>
    </row>
    <row r="707" spans="1:15" ht="14.25" customHeight="1" x14ac:dyDescent="0.3">
      <c r="A707" s="6" t="s">
        <v>1467</v>
      </c>
      <c r="B707" s="6">
        <v>34</v>
      </c>
      <c r="C707" s="6" t="s">
        <v>25</v>
      </c>
      <c r="D707" s="6" t="s">
        <v>17</v>
      </c>
      <c r="E707" s="6" t="s">
        <v>34</v>
      </c>
      <c r="F707" s="6">
        <v>1706</v>
      </c>
      <c r="G707" s="6">
        <v>84011.05</v>
      </c>
      <c r="H707" s="7">
        <v>37509</v>
      </c>
      <c r="I707" s="6" t="s">
        <v>56</v>
      </c>
      <c r="J707" s="6" t="s">
        <v>1468</v>
      </c>
      <c r="K707" s="6" t="s">
        <v>21</v>
      </c>
      <c r="L707" s="6" t="s">
        <v>22</v>
      </c>
      <c r="M707" s="6" t="s">
        <v>23</v>
      </c>
      <c r="N707" s="6">
        <v>4.54</v>
      </c>
      <c r="O707" s="6">
        <v>149</v>
      </c>
    </row>
    <row r="708" spans="1:15" ht="14.25" customHeight="1" x14ac:dyDescent="0.3">
      <c r="A708" s="6" t="s">
        <v>1469</v>
      </c>
      <c r="B708" s="6">
        <v>37</v>
      </c>
      <c r="C708" s="6" t="s">
        <v>62</v>
      </c>
      <c r="D708" s="6" t="s">
        <v>26</v>
      </c>
      <c r="E708" s="6" t="s">
        <v>27</v>
      </c>
      <c r="F708" s="6">
        <v>1707</v>
      </c>
      <c r="G708" s="6">
        <v>110365.18</v>
      </c>
      <c r="H708" s="7">
        <v>36611</v>
      </c>
      <c r="I708" s="6" t="s">
        <v>63</v>
      </c>
      <c r="J708" s="6" t="s">
        <v>1470</v>
      </c>
      <c r="K708" s="6" t="s">
        <v>30</v>
      </c>
      <c r="L708" s="6" t="s">
        <v>31</v>
      </c>
      <c r="M708" s="6" t="s">
        <v>32</v>
      </c>
      <c r="N708" s="6">
        <v>4.6500000000000004</v>
      </c>
      <c r="O708" s="6">
        <v>193</v>
      </c>
    </row>
    <row r="709" spans="1:15" ht="14.25" customHeight="1" x14ac:dyDescent="0.3">
      <c r="A709" s="6" t="s">
        <v>1471</v>
      </c>
      <c r="B709" s="6">
        <v>55</v>
      </c>
      <c r="C709" s="6" t="s">
        <v>16</v>
      </c>
      <c r="D709" s="6" t="s">
        <v>17</v>
      </c>
      <c r="E709" s="6" t="s">
        <v>27</v>
      </c>
      <c r="F709" s="6">
        <v>1708</v>
      </c>
      <c r="G709" s="6">
        <v>71117.55</v>
      </c>
      <c r="H709" s="7">
        <v>40784</v>
      </c>
      <c r="I709" s="6" t="s">
        <v>66</v>
      </c>
      <c r="J709" s="6" t="s">
        <v>1472</v>
      </c>
      <c r="K709" s="6" t="s">
        <v>37</v>
      </c>
      <c r="L709" s="6" t="s">
        <v>38</v>
      </c>
      <c r="M709" s="6" t="s">
        <v>39</v>
      </c>
      <c r="N709" s="6">
        <v>4.7300000000000004</v>
      </c>
      <c r="O709" s="6">
        <v>116</v>
      </c>
    </row>
    <row r="710" spans="1:15" ht="14.25" customHeight="1" x14ac:dyDescent="0.3">
      <c r="A710" s="6" t="s">
        <v>1473</v>
      </c>
      <c r="B710" s="6">
        <v>45</v>
      </c>
      <c r="C710" s="6" t="s">
        <v>62</v>
      </c>
      <c r="D710" s="6" t="s">
        <v>26</v>
      </c>
      <c r="E710" s="6" t="s">
        <v>48</v>
      </c>
      <c r="F710" s="6">
        <v>1709</v>
      </c>
      <c r="G710" s="6">
        <v>67829.279999999999</v>
      </c>
      <c r="H710" s="7">
        <v>39220</v>
      </c>
      <c r="I710" s="6" t="s">
        <v>70</v>
      </c>
      <c r="J710" s="6" t="s">
        <v>1474</v>
      </c>
      <c r="K710" s="6" t="s">
        <v>43</v>
      </c>
      <c r="L710" s="6" t="s">
        <v>44</v>
      </c>
      <c r="M710" s="6" t="s">
        <v>45</v>
      </c>
      <c r="N710" s="6">
        <v>2.4500000000000002</v>
      </c>
      <c r="O710" s="6">
        <v>32</v>
      </c>
    </row>
    <row r="711" spans="1:15" ht="14.25" customHeight="1" x14ac:dyDescent="0.3">
      <c r="A711" s="6" t="s">
        <v>1475</v>
      </c>
      <c r="B711" s="6">
        <v>34</v>
      </c>
      <c r="C711" s="6" t="s">
        <v>62</v>
      </c>
      <c r="D711" s="6" t="s">
        <v>55</v>
      </c>
      <c r="E711" s="6" t="s">
        <v>18</v>
      </c>
      <c r="F711" s="6">
        <v>1710</v>
      </c>
      <c r="G711" s="6">
        <v>85659.69</v>
      </c>
      <c r="H711" s="7">
        <v>39531</v>
      </c>
      <c r="I711" s="6" t="s">
        <v>73</v>
      </c>
      <c r="J711" s="6" t="s">
        <v>1476</v>
      </c>
      <c r="K711" s="6" t="s">
        <v>51</v>
      </c>
      <c r="L711" s="6" t="s">
        <v>52</v>
      </c>
      <c r="M711" s="6" t="s">
        <v>53</v>
      </c>
      <c r="N711" s="6">
        <v>2.23</v>
      </c>
      <c r="O711" s="6">
        <v>104</v>
      </c>
    </row>
    <row r="712" spans="1:15" ht="14.25" customHeight="1" x14ac:dyDescent="0.3">
      <c r="A712" s="6" t="s">
        <v>1477</v>
      </c>
      <c r="B712" s="6">
        <v>27</v>
      </c>
      <c r="C712" s="6" t="s">
        <v>16</v>
      </c>
      <c r="D712" s="6" t="s">
        <v>69</v>
      </c>
      <c r="E712" s="6" t="s">
        <v>27</v>
      </c>
      <c r="F712" s="6">
        <v>1711</v>
      </c>
      <c r="G712" s="6">
        <v>50445.84</v>
      </c>
      <c r="H712" s="7">
        <v>38855</v>
      </c>
      <c r="I712" s="6" t="s">
        <v>19</v>
      </c>
      <c r="J712" s="6" t="s">
        <v>1478</v>
      </c>
      <c r="K712" s="6" t="s">
        <v>21</v>
      </c>
      <c r="L712" s="6" t="s">
        <v>22</v>
      </c>
      <c r="M712" s="6" t="s">
        <v>23</v>
      </c>
      <c r="N712" s="6">
        <v>1.29</v>
      </c>
      <c r="O712" s="6">
        <v>17</v>
      </c>
    </row>
    <row r="713" spans="1:15" ht="14.25" customHeight="1" x14ac:dyDescent="0.3">
      <c r="A713" s="6" t="s">
        <v>1479</v>
      </c>
      <c r="B713" s="6">
        <v>60</v>
      </c>
      <c r="C713" s="6" t="s">
        <v>25</v>
      </c>
      <c r="D713" s="6" t="s">
        <v>26</v>
      </c>
      <c r="E713" s="6" t="s">
        <v>80</v>
      </c>
      <c r="F713" s="6">
        <v>1712</v>
      </c>
      <c r="G713" s="6">
        <v>139795.07999999999</v>
      </c>
      <c r="H713" s="7">
        <v>41530</v>
      </c>
      <c r="I713" s="6" t="s">
        <v>28</v>
      </c>
      <c r="J713" s="6" t="s">
        <v>1480</v>
      </c>
      <c r="K713" s="6" t="s">
        <v>30</v>
      </c>
      <c r="L713" s="6" t="s">
        <v>31</v>
      </c>
      <c r="M713" s="6" t="s">
        <v>32</v>
      </c>
      <c r="N713" s="6">
        <v>3.49</v>
      </c>
      <c r="O713" s="6">
        <v>61</v>
      </c>
    </row>
    <row r="714" spans="1:15" ht="14.25" customHeight="1" x14ac:dyDescent="0.3">
      <c r="A714" s="6" t="s">
        <v>1481</v>
      </c>
      <c r="B714" s="6">
        <v>23</v>
      </c>
      <c r="C714" s="6" t="s">
        <v>25</v>
      </c>
      <c r="D714" s="6" t="s">
        <v>69</v>
      </c>
      <c r="E714" s="6" t="s">
        <v>18</v>
      </c>
      <c r="F714" s="6">
        <v>1713</v>
      </c>
      <c r="G714" s="6">
        <v>83342.28</v>
      </c>
      <c r="H714" s="7">
        <v>42088</v>
      </c>
      <c r="I714" s="6" t="s">
        <v>35</v>
      </c>
      <c r="J714" s="6" t="s">
        <v>1482</v>
      </c>
      <c r="K714" s="6" t="s">
        <v>37</v>
      </c>
      <c r="L714" s="6" t="s">
        <v>38</v>
      </c>
      <c r="M714" s="6" t="s">
        <v>39</v>
      </c>
      <c r="N714" s="6">
        <v>1.28</v>
      </c>
      <c r="O714" s="6">
        <v>108</v>
      </c>
    </row>
    <row r="715" spans="1:15" ht="14.25" customHeight="1" x14ac:dyDescent="0.3">
      <c r="A715" s="6" t="s">
        <v>1483</v>
      </c>
      <c r="B715" s="6">
        <v>32</v>
      </c>
      <c r="C715" s="6" t="s">
        <v>25</v>
      </c>
      <c r="D715" s="6" t="s">
        <v>69</v>
      </c>
      <c r="E715" s="6" t="s">
        <v>34</v>
      </c>
      <c r="F715" s="6">
        <v>1714</v>
      </c>
      <c r="G715" s="6">
        <v>114722.11</v>
      </c>
      <c r="H715" s="7">
        <v>43323</v>
      </c>
      <c r="I715" s="6" t="s">
        <v>41</v>
      </c>
      <c r="J715" s="6" t="s">
        <v>1484</v>
      </c>
      <c r="K715" s="6" t="s">
        <v>43</v>
      </c>
      <c r="L715" s="6" t="s">
        <v>44</v>
      </c>
      <c r="M715" s="6" t="s">
        <v>45</v>
      </c>
      <c r="N715" s="6">
        <v>3.25</v>
      </c>
      <c r="O715" s="6">
        <v>47</v>
      </c>
    </row>
    <row r="716" spans="1:15" ht="14.25" customHeight="1" x14ac:dyDescent="0.3">
      <c r="A716" s="6" t="s">
        <v>1485</v>
      </c>
      <c r="B716" s="6">
        <v>28</v>
      </c>
      <c r="C716" s="6" t="s">
        <v>62</v>
      </c>
      <c r="D716" s="6" t="s">
        <v>17</v>
      </c>
      <c r="E716" s="6" t="s">
        <v>48</v>
      </c>
      <c r="F716" s="6">
        <v>1715</v>
      </c>
      <c r="G716" s="6">
        <v>171294.34</v>
      </c>
      <c r="H716" s="7">
        <v>36608</v>
      </c>
      <c r="I716" s="6" t="s">
        <v>49</v>
      </c>
      <c r="J716" s="6" t="s">
        <v>1486</v>
      </c>
      <c r="K716" s="6" t="s">
        <v>51</v>
      </c>
      <c r="L716" s="6" t="s">
        <v>52</v>
      </c>
      <c r="M716" s="6" t="s">
        <v>53</v>
      </c>
      <c r="N716" s="6">
        <v>2.2999999999999998</v>
      </c>
      <c r="O716" s="6">
        <v>127</v>
      </c>
    </row>
    <row r="717" spans="1:15" ht="14.25" customHeight="1" x14ac:dyDescent="0.3">
      <c r="A717" s="6" t="s">
        <v>1487</v>
      </c>
      <c r="B717" s="6">
        <v>28</v>
      </c>
      <c r="C717" s="6" t="s">
        <v>62</v>
      </c>
      <c r="D717" s="6" t="s">
        <v>47</v>
      </c>
      <c r="E717" s="6" t="s">
        <v>34</v>
      </c>
      <c r="F717" s="6">
        <v>1716</v>
      </c>
      <c r="G717" s="6">
        <v>112367.3</v>
      </c>
      <c r="H717" s="7">
        <v>37419</v>
      </c>
      <c r="I717" s="6" t="s">
        <v>56</v>
      </c>
      <c r="J717" s="6" t="s">
        <v>1488</v>
      </c>
      <c r="K717" s="6" t="s">
        <v>21</v>
      </c>
      <c r="L717" s="6" t="s">
        <v>22</v>
      </c>
      <c r="M717" s="6" t="s">
        <v>23</v>
      </c>
      <c r="N717" s="6">
        <v>1.22</v>
      </c>
      <c r="O717" s="6">
        <v>74</v>
      </c>
    </row>
    <row r="718" spans="1:15" ht="14.25" customHeight="1" x14ac:dyDescent="0.3">
      <c r="A718" s="6" t="s">
        <v>1489</v>
      </c>
      <c r="B718" s="6">
        <v>60</v>
      </c>
      <c r="C718" s="6" t="s">
        <v>25</v>
      </c>
      <c r="D718" s="6" t="s">
        <v>17</v>
      </c>
      <c r="E718" s="6" t="s">
        <v>27</v>
      </c>
      <c r="F718" s="6">
        <v>1717</v>
      </c>
      <c r="G718" s="6">
        <v>164765.1</v>
      </c>
      <c r="H718" s="7">
        <v>39058</v>
      </c>
      <c r="I718" s="6" t="s">
        <v>63</v>
      </c>
      <c r="J718" s="6" t="s">
        <v>1490</v>
      </c>
      <c r="K718" s="6" t="s">
        <v>30</v>
      </c>
      <c r="L718" s="6" t="s">
        <v>31</v>
      </c>
      <c r="M718" s="6" t="s">
        <v>32</v>
      </c>
      <c r="N718" s="6">
        <v>4.78</v>
      </c>
      <c r="O718" s="6">
        <v>173</v>
      </c>
    </row>
    <row r="719" spans="1:15" ht="14.25" customHeight="1" x14ac:dyDescent="0.3">
      <c r="A719" s="6" t="s">
        <v>1491</v>
      </c>
      <c r="B719" s="6">
        <v>60</v>
      </c>
      <c r="C719" s="6" t="s">
        <v>25</v>
      </c>
      <c r="D719" s="6" t="s">
        <v>17</v>
      </c>
      <c r="E719" s="6" t="s">
        <v>34</v>
      </c>
      <c r="F719" s="6">
        <v>1718</v>
      </c>
      <c r="G719" s="6">
        <v>156816.26</v>
      </c>
      <c r="H719" s="7">
        <v>43656</v>
      </c>
      <c r="I719" s="6" t="s">
        <v>66</v>
      </c>
      <c r="J719" s="6" t="s">
        <v>1492</v>
      </c>
      <c r="K719" s="6" t="s">
        <v>37</v>
      </c>
      <c r="L719" s="6" t="s">
        <v>38</v>
      </c>
      <c r="M719" s="6" t="s">
        <v>39</v>
      </c>
      <c r="N719" s="6">
        <v>4.37</v>
      </c>
      <c r="O719" s="6">
        <v>54</v>
      </c>
    </row>
    <row r="720" spans="1:15" ht="14.25" customHeight="1" x14ac:dyDescent="0.3">
      <c r="A720" s="6" t="s">
        <v>1493</v>
      </c>
      <c r="B720" s="6">
        <v>33</v>
      </c>
      <c r="C720" s="6" t="s">
        <v>62</v>
      </c>
      <c r="D720" s="6" t="s">
        <v>47</v>
      </c>
      <c r="E720" s="6" t="s">
        <v>80</v>
      </c>
      <c r="F720" s="6">
        <v>1719</v>
      </c>
      <c r="G720" s="6">
        <v>179244.66</v>
      </c>
      <c r="H720" s="7">
        <v>37481</v>
      </c>
      <c r="I720" s="6" t="s">
        <v>70</v>
      </c>
      <c r="J720" s="6" t="s">
        <v>1494</v>
      </c>
      <c r="K720" s="6" t="s">
        <v>43</v>
      </c>
      <c r="L720" s="6" t="s">
        <v>44</v>
      </c>
      <c r="M720" s="6" t="s">
        <v>45</v>
      </c>
      <c r="N720" s="6">
        <v>4.07</v>
      </c>
      <c r="O720" s="6">
        <v>16</v>
      </c>
    </row>
    <row r="721" spans="1:15" ht="14.25" customHeight="1" x14ac:dyDescent="0.3">
      <c r="A721" s="6" t="s">
        <v>1495</v>
      </c>
      <c r="B721" s="6">
        <v>43</v>
      </c>
      <c r="C721" s="6" t="s">
        <v>25</v>
      </c>
      <c r="D721" s="6" t="s">
        <v>47</v>
      </c>
      <c r="E721" s="6" t="s">
        <v>80</v>
      </c>
      <c r="F721" s="6">
        <v>1720</v>
      </c>
      <c r="G721" s="6">
        <v>109485.27</v>
      </c>
      <c r="H721" s="7">
        <v>44898</v>
      </c>
      <c r="I721" s="6" t="s">
        <v>73</v>
      </c>
      <c r="J721" s="6" t="s">
        <v>1496</v>
      </c>
      <c r="K721" s="6" t="s">
        <v>51</v>
      </c>
      <c r="L721" s="6" t="s">
        <v>52</v>
      </c>
      <c r="M721" s="6" t="s">
        <v>53</v>
      </c>
      <c r="N721" s="6">
        <v>4.33</v>
      </c>
      <c r="O721" s="6">
        <v>38</v>
      </c>
    </row>
    <row r="722" spans="1:15" ht="14.25" customHeight="1" x14ac:dyDescent="0.3">
      <c r="A722" s="6" t="s">
        <v>1497</v>
      </c>
      <c r="B722" s="6">
        <v>24</v>
      </c>
      <c r="C722" s="6" t="s">
        <v>25</v>
      </c>
      <c r="D722" s="6" t="s">
        <v>17</v>
      </c>
      <c r="E722" s="6" t="s">
        <v>18</v>
      </c>
      <c r="F722" s="6">
        <v>1721</v>
      </c>
      <c r="G722" s="6">
        <v>161410.70000000001</v>
      </c>
      <c r="H722" s="7">
        <v>44414</v>
      </c>
      <c r="I722" s="6" t="s">
        <v>19</v>
      </c>
      <c r="J722" s="6" t="s">
        <v>1498</v>
      </c>
      <c r="K722" s="6" t="s">
        <v>21</v>
      </c>
      <c r="L722" s="6" t="s">
        <v>22</v>
      </c>
      <c r="M722" s="6" t="s">
        <v>23</v>
      </c>
      <c r="N722" s="6">
        <v>2.65</v>
      </c>
      <c r="O722" s="6">
        <v>66</v>
      </c>
    </row>
    <row r="723" spans="1:15" ht="14.25" customHeight="1" x14ac:dyDescent="0.3">
      <c r="A723" s="6" t="s">
        <v>1499</v>
      </c>
      <c r="B723" s="6">
        <v>34</v>
      </c>
      <c r="C723" s="6" t="s">
        <v>62</v>
      </c>
      <c r="D723" s="6" t="s">
        <v>69</v>
      </c>
      <c r="E723" s="6" t="s">
        <v>48</v>
      </c>
      <c r="F723" s="6">
        <v>1722</v>
      </c>
      <c r="G723" s="6">
        <v>134470.70000000001</v>
      </c>
      <c r="H723" s="7">
        <v>42766</v>
      </c>
      <c r="I723" s="6" t="s">
        <v>28</v>
      </c>
      <c r="J723" s="6" t="s">
        <v>1500</v>
      </c>
      <c r="K723" s="6" t="s">
        <v>30</v>
      </c>
      <c r="L723" s="6" t="s">
        <v>31</v>
      </c>
      <c r="M723" s="6" t="s">
        <v>32</v>
      </c>
      <c r="N723" s="6">
        <v>1.96</v>
      </c>
      <c r="O723" s="6">
        <v>144</v>
      </c>
    </row>
    <row r="724" spans="1:15" ht="14.25" customHeight="1" x14ac:dyDescent="0.3">
      <c r="A724" s="6" t="s">
        <v>1501</v>
      </c>
      <c r="B724" s="6">
        <v>51</v>
      </c>
      <c r="C724" s="6" t="s">
        <v>16</v>
      </c>
      <c r="D724" s="6" t="s">
        <v>55</v>
      </c>
      <c r="E724" s="6" t="s">
        <v>48</v>
      </c>
      <c r="F724" s="6">
        <v>1723</v>
      </c>
      <c r="G724" s="6">
        <v>128127.83</v>
      </c>
      <c r="H724" s="7">
        <v>40303</v>
      </c>
      <c r="I724" s="6" t="s">
        <v>35</v>
      </c>
      <c r="J724" s="6" t="s">
        <v>1502</v>
      </c>
      <c r="K724" s="6" t="s">
        <v>37</v>
      </c>
      <c r="L724" s="6" t="s">
        <v>38</v>
      </c>
      <c r="M724" s="6" t="s">
        <v>39</v>
      </c>
      <c r="N724" s="6">
        <v>1.68</v>
      </c>
      <c r="O724" s="6">
        <v>117</v>
      </c>
    </row>
    <row r="725" spans="1:15" ht="14.25" customHeight="1" x14ac:dyDescent="0.3">
      <c r="A725" s="6" t="s">
        <v>1503</v>
      </c>
      <c r="B725" s="6">
        <v>31</v>
      </c>
      <c r="C725" s="6" t="s">
        <v>62</v>
      </c>
      <c r="D725" s="6" t="s">
        <v>47</v>
      </c>
      <c r="E725" s="6" t="s">
        <v>80</v>
      </c>
      <c r="F725" s="6">
        <v>1724</v>
      </c>
      <c r="G725" s="6">
        <v>90363.78</v>
      </c>
      <c r="H725" s="7">
        <v>38846</v>
      </c>
      <c r="I725" s="6" t="s">
        <v>41</v>
      </c>
      <c r="J725" s="6" t="s">
        <v>1504</v>
      </c>
      <c r="K725" s="6" t="s">
        <v>43</v>
      </c>
      <c r="L725" s="6" t="s">
        <v>44</v>
      </c>
      <c r="M725" s="6" t="s">
        <v>45</v>
      </c>
      <c r="N725" s="6">
        <v>3.8</v>
      </c>
      <c r="O725" s="6">
        <v>152</v>
      </c>
    </row>
    <row r="726" spans="1:15" ht="14.25" customHeight="1" x14ac:dyDescent="0.3">
      <c r="A726" s="6" t="s">
        <v>1505</v>
      </c>
      <c r="B726" s="6">
        <v>30</v>
      </c>
      <c r="C726" s="6" t="s">
        <v>25</v>
      </c>
      <c r="D726" s="6" t="s">
        <v>55</v>
      </c>
      <c r="E726" s="6" t="s">
        <v>34</v>
      </c>
      <c r="F726" s="6">
        <v>1725</v>
      </c>
      <c r="G726" s="6">
        <v>126276.9</v>
      </c>
      <c r="H726" s="7">
        <v>40459</v>
      </c>
      <c r="I726" s="6" t="s">
        <v>49</v>
      </c>
      <c r="J726" s="6" t="s">
        <v>1506</v>
      </c>
      <c r="K726" s="6" t="s">
        <v>51</v>
      </c>
      <c r="L726" s="6" t="s">
        <v>52</v>
      </c>
      <c r="M726" s="6" t="s">
        <v>53</v>
      </c>
      <c r="N726" s="6">
        <v>4.1399999999999997</v>
      </c>
      <c r="O726" s="6">
        <v>198</v>
      </c>
    </row>
    <row r="727" spans="1:15" ht="14.25" customHeight="1" x14ac:dyDescent="0.3">
      <c r="A727" s="6" t="s">
        <v>1507</v>
      </c>
      <c r="B727" s="6">
        <v>27</v>
      </c>
      <c r="C727" s="6" t="s">
        <v>25</v>
      </c>
      <c r="D727" s="6" t="s">
        <v>69</v>
      </c>
      <c r="E727" s="6" t="s">
        <v>34</v>
      </c>
      <c r="F727" s="6">
        <v>1726</v>
      </c>
      <c r="G727" s="6">
        <v>58197.04</v>
      </c>
      <c r="H727" s="7">
        <v>39179</v>
      </c>
      <c r="I727" s="6" t="s">
        <v>56</v>
      </c>
      <c r="J727" s="6" t="s">
        <v>1508</v>
      </c>
      <c r="K727" s="6" t="s">
        <v>21</v>
      </c>
      <c r="L727" s="6" t="s">
        <v>22</v>
      </c>
      <c r="M727" s="6" t="s">
        <v>23</v>
      </c>
      <c r="N727" s="6">
        <v>1.5</v>
      </c>
      <c r="O727" s="6">
        <v>20</v>
      </c>
    </row>
    <row r="728" spans="1:15" ht="14.25" customHeight="1" x14ac:dyDescent="0.3">
      <c r="A728" s="6" t="s">
        <v>1509</v>
      </c>
      <c r="B728" s="6">
        <v>23</v>
      </c>
      <c r="C728" s="6" t="s">
        <v>16</v>
      </c>
      <c r="D728" s="6" t="s">
        <v>47</v>
      </c>
      <c r="E728" s="6" t="s">
        <v>18</v>
      </c>
      <c r="F728" s="6">
        <v>1727</v>
      </c>
      <c r="G728" s="6">
        <v>67318.33</v>
      </c>
      <c r="H728" s="7">
        <v>43859</v>
      </c>
      <c r="I728" s="6" t="s">
        <v>63</v>
      </c>
      <c r="J728" s="6" t="s">
        <v>1510</v>
      </c>
      <c r="K728" s="6" t="s">
        <v>30</v>
      </c>
      <c r="L728" s="6" t="s">
        <v>31</v>
      </c>
      <c r="M728" s="6" t="s">
        <v>32</v>
      </c>
      <c r="N728" s="6">
        <v>4.83</v>
      </c>
      <c r="O728" s="6">
        <v>130</v>
      </c>
    </row>
    <row r="729" spans="1:15" ht="14.25" customHeight="1" x14ac:dyDescent="0.3">
      <c r="A729" s="6" t="s">
        <v>1511</v>
      </c>
      <c r="B729" s="6">
        <v>37</v>
      </c>
      <c r="C729" s="6" t="s">
        <v>16</v>
      </c>
      <c r="D729" s="6" t="s">
        <v>26</v>
      </c>
      <c r="E729" s="6" t="s">
        <v>27</v>
      </c>
      <c r="F729" s="6">
        <v>1728</v>
      </c>
      <c r="G729" s="6">
        <v>121627.77</v>
      </c>
      <c r="H729" s="7">
        <v>42287</v>
      </c>
      <c r="I729" s="6" t="s">
        <v>66</v>
      </c>
      <c r="J729" s="6" t="s">
        <v>1512</v>
      </c>
      <c r="K729" s="6" t="s">
        <v>37</v>
      </c>
      <c r="L729" s="6" t="s">
        <v>38</v>
      </c>
      <c r="M729" s="6" t="s">
        <v>39</v>
      </c>
      <c r="N729" s="6">
        <v>3.4</v>
      </c>
      <c r="O729" s="6">
        <v>188</v>
      </c>
    </row>
    <row r="730" spans="1:15" ht="14.25" customHeight="1" x14ac:dyDescent="0.3">
      <c r="A730" s="6" t="s">
        <v>1513</v>
      </c>
      <c r="B730" s="6">
        <v>34</v>
      </c>
      <c r="C730" s="6" t="s">
        <v>62</v>
      </c>
      <c r="D730" s="6" t="s">
        <v>26</v>
      </c>
      <c r="E730" s="6" t="s">
        <v>27</v>
      </c>
      <c r="F730" s="6">
        <v>1729</v>
      </c>
      <c r="G730" s="6">
        <v>94799.09</v>
      </c>
      <c r="H730" s="7">
        <v>37214</v>
      </c>
      <c r="I730" s="6" t="s">
        <v>70</v>
      </c>
      <c r="J730" s="6" t="s">
        <v>1514</v>
      </c>
      <c r="K730" s="6" t="s">
        <v>43</v>
      </c>
      <c r="L730" s="6" t="s">
        <v>44</v>
      </c>
      <c r="M730" s="6" t="s">
        <v>45</v>
      </c>
      <c r="N730" s="6">
        <v>3.97</v>
      </c>
      <c r="O730" s="6">
        <v>21</v>
      </c>
    </row>
    <row r="731" spans="1:15" ht="14.25" customHeight="1" x14ac:dyDescent="0.3">
      <c r="A731" s="6" t="s">
        <v>1515</v>
      </c>
      <c r="B731" s="6">
        <v>34</v>
      </c>
      <c r="C731" s="6" t="s">
        <v>16</v>
      </c>
      <c r="D731" s="6" t="s">
        <v>17</v>
      </c>
      <c r="E731" s="6" t="s">
        <v>18</v>
      </c>
      <c r="F731" s="6">
        <v>1730</v>
      </c>
      <c r="G731" s="6">
        <v>185500.2</v>
      </c>
      <c r="H731" s="7">
        <v>39910</v>
      </c>
      <c r="I731" s="6" t="s">
        <v>73</v>
      </c>
      <c r="J731" s="6" t="s">
        <v>1516</v>
      </c>
      <c r="K731" s="6" t="s">
        <v>51</v>
      </c>
      <c r="L731" s="6" t="s">
        <v>52</v>
      </c>
      <c r="M731" s="6" t="s">
        <v>53</v>
      </c>
      <c r="N731" s="6">
        <v>1.81</v>
      </c>
      <c r="O731" s="6">
        <v>135</v>
      </c>
    </row>
    <row r="732" spans="1:15" ht="14.25" customHeight="1" x14ac:dyDescent="0.3">
      <c r="A732" s="6" t="s">
        <v>1517</v>
      </c>
      <c r="B732" s="6">
        <v>43</v>
      </c>
      <c r="C732" s="6" t="s">
        <v>25</v>
      </c>
      <c r="D732" s="6" t="s">
        <v>55</v>
      </c>
      <c r="E732" s="6" t="s">
        <v>27</v>
      </c>
      <c r="F732" s="6">
        <v>1731</v>
      </c>
      <c r="G732" s="6">
        <v>193072.67</v>
      </c>
      <c r="H732" s="7">
        <v>40220</v>
      </c>
      <c r="I732" s="6" t="s">
        <v>19</v>
      </c>
      <c r="J732" s="6" t="s">
        <v>1518</v>
      </c>
      <c r="K732" s="6" t="s">
        <v>21</v>
      </c>
      <c r="L732" s="6" t="s">
        <v>22</v>
      </c>
      <c r="M732" s="6" t="s">
        <v>23</v>
      </c>
      <c r="N732" s="6">
        <v>3.89</v>
      </c>
      <c r="O732" s="6">
        <v>56</v>
      </c>
    </row>
    <row r="733" spans="1:15" ht="14.25" customHeight="1" x14ac:dyDescent="0.3">
      <c r="A733" s="6" t="s">
        <v>1519</v>
      </c>
      <c r="B733" s="6">
        <v>40</v>
      </c>
      <c r="C733" s="6" t="s">
        <v>25</v>
      </c>
      <c r="D733" s="6" t="s">
        <v>26</v>
      </c>
      <c r="E733" s="6" t="s">
        <v>80</v>
      </c>
      <c r="F733" s="6">
        <v>1732</v>
      </c>
      <c r="G733" s="6">
        <v>181811.28</v>
      </c>
      <c r="H733" s="7">
        <v>39614</v>
      </c>
      <c r="I733" s="6" t="s">
        <v>28</v>
      </c>
      <c r="J733" s="6" t="s">
        <v>1520</v>
      </c>
      <c r="K733" s="6" t="s">
        <v>30</v>
      </c>
      <c r="L733" s="6" t="s">
        <v>31</v>
      </c>
      <c r="M733" s="6" t="s">
        <v>32</v>
      </c>
      <c r="N733" s="6">
        <v>1.03</v>
      </c>
      <c r="O733" s="6">
        <v>137</v>
      </c>
    </row>
    <row r="734" spans="1:15" ht="14.25" customHeight="1" x14ac:dyDescent="0.3">
      <c r="A734" s="6" t="s">
        <v>1521</v>
      </c>
      <c r="B734" s="6">
        <v>47</v>
      </c>
      <c r="C734" s="6" t="s">
        <v>25</v>
      </c>
      <c r="D734" s="6" t="s">
        <v>17</v>
      </c>
      <c r="E734" s="6" t="s">
        <v>48</v>
      </c>
      <c r="F734" s="6">
        <v>1733</v>
      </c>
      <c r="G734" s="6">
        <v>56193.36</v>
      </c>
      <c r="H734" s="7">
        <v>41259</v>
      </c>
      <c r="I734" s="6" t="s">
        <v>35</v>
      </c>
      <c r="J734" s="6" t="s">
        <v>1522</v>
      </c>
      <c r="K734" s="6" t="s">
        <v>37</v>
      </c>
      <c r="L734" s="6" t="s">
        <v>38</v>
      </c>
      <c r="M734" s="6" t="s">
        <v>39</v>
      </c>
      <c r="N734" s="6">
        <v>3.38</v>
      </c>
      <c r="O734" s="6">
        <v>3</v>
      </c>
    </row>
    <row r="735" spans="1:15" ht="14.25" customHeight="1" x14ac:dyDescent="0.3">
      <c r="A735" s="6" t="s">
        <v>1523</v>
      </c>
      <c r="B735" s="6">
        <v>35</v>
      </c>
      <c r="C735" s="6" t="s">
        <v>25</v>
      </c>
      <c r="D735" s="6" t="s">
        <v>17</v>
      </c>
      <c r="E735" s="6" t="s">
        <v>48</v>
      </c>
      <c r="F735" s="6">
        <v>1734</v>
      </c>
      <c r="G735" s="6">
        <v>172901.1</v>
      </c>
      <c r="H735" s="7">
        <v>44370</v>
      </c>
      <c r="I735" s="6" t="s">
        <v>41</v>
      </c>
      <c r="J735" s="6" t="s">
        <v>1524</v>
      </c>
      <c r="K735" s="6" t="s">
        <v>43</v>
      </c>
      <c r="L735" s="6" t="s">
        <v>44</v>
      </c>
      <c r="M735" s="6" t="s">
        <v>45</v>
      </c>
      <c r="N735" s="6">
        <v>4.2300000000000004</v>
      </c>
      <c r="O735" s="6">
        <v>187</v>
      </c>
    </row>
    <row r="736" spans="1:15" ht="14.25" customHeight="1" x14ac:dyDescent="0.3">
      <c r="A736" s="6" t="s">
        <v>1525</v>
      </c>
      <c r="B736" s="6">
        <v>52</v>
      </c>
      <c r="C736" s="6" t="s">
        <v>16</v>
      </c>
      <c r="D736" s="6" t="s">
        <v>17</v>
      </c>
      <c r="E736" s="6" t="s">
        <v>27</v>
      </c>
      <c r="F736" s="6">
        <v>1735</v>
      </c>
      <c r="G736" s="6">
        <v>119029.05</v>
      </c>
      <c r="H736" s="7">
        <v>36814</v>
      </c>
      <c r="I736" s="6" t="s">
        <v>49</v>
      </c>
      <c r="J736" s="6" t="s">
        <v>1526</v>
      </c>
      <c r="K736" s="6" t="s">
        <v>51</v>
      </c>
      <c r="L736" s="6" t="s">
        <v>52</v>
      </c>
      <c r="M736" s="6" t="s">
        <v>53</v>
      </c>
      <c r="N736" s="6">
        <v>1.2</v>
      </c>
      <c r="O736" s="6">
        <v>163</v>
      </c>
    </row>
    <row r="737" spans="1:15" ht="14.25" customHeight="1" x14ac:dyDescent="0.3">
      <c r="A737" s="6" t="s">
        <v>1527</v>
      </c>
      <c r="B737" s="6">
        <v>50</v>
      </c>
      <c r="C737" s="6" t="s">
        <v>25</v>
      </c>
      <c r="D737" s="6" t="s">
        <v>69</v>
      </c>
      <c r="E737" s="6" t="s">
        <v>27</v>
      </c>
      <c r="F737" s="6">
        <v>1736</v>
      </c>
      <c r="G737" s="6">
        <v>57038.63</v>
      </c>
      <c r="H737" s="7">
        <v>44376</v>
      </c>
      <c r="I737" s="6" t="s">
        <v>56</v>
      </c>
      <c r="J737" s="6" t="s">
        <v>1528</v>
      </c>
      <c r="K737" s="6" t="s">
        <v>21</v>
      </c>
      <c r="L737" s="6" t="s">
        <v>22</v>
      </c>
      <c r="M737" s="6" t="s">
        <v>23</v>
      </c>
      <c r="N737" s="6">
        <v>2.48</v>
      </c>
      <c r="O737" s="6">
        <v>111</v>
      </c>
    </row>
    <row r="738" spans="1:15" ht="14.25" customHeight="1" x14ac:dyDescent="0.3">
      <c r="A738" s="6" t="s">
        <v>1529</v>
      </c>
      <c r="B738" s="6">
        <v>63</v>
      </c>
      <c r="C738" s="6" t="s">
        <v>25</v>
      </c>
      <c r="D738" s="6" t="s">
        <v>55</v>
      </c>
      <c r="E738" s="6" t="s">
        <v>27</v>
      </c>
      <c r="F738" s="6">
        <v>1737</v>
      </c>
      <c r="G738" s="6">
        <v>67698.48</v>
      </c>
      <c r="H738" s="7">
        <v>41323</v>
      </c>
      <c r="I738" s="6" t="s">
        <v>63</v>
      </c>
      <c r="J738" s="6" t="s">
        <v>1530</v>
      </c>
      <c r="K738" s="6" t="s">
        <v>30</v>
      </c>
      <c r="L738" s="6" t="s">
        <v>31</v>
      </c>
      <c r="M738" s="6" t="s">
        <v>32</v>
      </c>
      <c r="N738" s="6">
        <v>1.59</v>
      </c>
      <c r="O738" s="6">
        <v>112</v>
      </c>
    </row>
    <row r="739" spans="1:15" ht="14.25" customHeight="1" x14ac:dyDescent="0.3">
      <c r="A739" s="6" t="s">
        <v>1531</v>
      </c>
      <c r="B739" s="6">
        <v>43</v>
      </c>
      <c r="C739" s="6" t="s">
        <v>25</v>
      </c>
      <c r="D739" s="6" t="s">
        <v>47</v>
      </c>
      <c r="E739" s="6" t="s">
        <v>48</v>
      </c>
      <c r="F739" s="6">
        <v>1738</v>
      </c>
      <c r="G739" s="6">
        <v>169170.6</v>
      </c>
      <c r="H739" s="7">
        <v>42807</v>
      </c>
      <c r="I739" s="6" t="s">
        <v>66</v>
      </c>
      <c r="J739" s="6" t="s">
        <v>1532</v>
      </c>
      <c r="K739" s="6" t="s">
        <v>37</v>
      </c>
      <c r="L739" s="6" t="s">
        <v>38</v>
      </c>
      <c r="M739" s="6" t="s">
        <v>39</v>
      </c>
      <c r="N739" s="6">
        <v>3.77</v>
      </c>
      <c r="O739" s="6">
        <v>144</v>
      </c>
    </row>
    <row r="740" spans="1:15" ht="14.25" customHeight="1" x14ac:dyDescent="0.3">
      <c r="A740" s="6" t="s">
        <v>1533</v>
      </c>
      <c r="B740" s="6">
        <v>28</v>
      </c>
      <c r="C740" s="6" t="s">
        <v>62</v>
      </c>
      <c r="D740" s="6" t="s">
        <v>17</v>
      </c>
      <c r="E740" s="6" t="s">
        <v>27</v>
      </c>
      <c r="F740" s="6">
        <v>1739</v>
      </c>
      <c r="G740" s="6">
        <v>122593.74</v>
      </c>
      <c r="H740" s="7">
        <v>42432</v>
      </c>
      <c r="I740" s="6" t="s">
        <v>70</v>
      </c>
      <c r="J740" s="6" t="s">
        <v>1534</v>
      </c>
      <c r="K740" s="6" t="s">
        <v>43</v>
      </c>
      <c r="L740" s="6" t="s">
        <v>44</v>
      </c>
      <c r="M740" s="6" t="s">
        <v>45</v>
      </c>
      <c r="N740" s="6">
        <v>3.71</v>
      </c>
      <c r="O740" s="6">
        <v>75</v>
      </c>
    </row>
    <row r="741" spans="1:15" ht="14.25" customHeight="1" x14ac:dyDescent="0.3">
      <c r="A741" s="6" t="s">
        <v>1535</v>
      </c>
      <c r="B741" s="6">
        <v>58</v>
      </c>
      <c r="C741" s="6" t="s">
        <v>62</v>
      </c>
      <c r="D741" s="6" t="s">
        <v>47</v>
      </c>
      <c r="E741" s="6" t="s">
        <v>34</v>
      </c>
      <c r="F741" s="6">
        <v>1740</v>
      </c>
      <c r="G741" s="6">
        <v>138495.35999999999</v>
      </c>
      <c r="H741" s="7">
        <v>40530</v>
      </c>
      <c r="I741" s="6" t="s">
        <v>73</v>
      </c>
      <c r="J741" s="6" t="s">
        <v>1536</v>
      </c>
      <c r="K741" s="6" t="s">
        <v>51</v>
      </c>
      <c r="L741" s="6" t="s">
        <v>52</v>
      </c>
      <c r="M741" s="6" t="s">
        <v>53</v>
      </c>
      <c r="N741" s="6">
        <v>2.5499999999999998</v>
      </c>
      <c r="O741" s="6">
        <v>177</v>
      </c>
    </row>
    <row r="742" spans="1:15" ht="14.25" customHeight="1" x14ac:dyDescent="0.3">
      <c r="A742" s="6" t="s">
        <v>1537</v>
      </c>
      <c r="B742" s="6">
        <v>62</v>
      </c>
      <c r="C742" s="6" t="s">
        <v>25</v>
      </c>
      <c r="D742" s="6" t="s">
        <v>26</v>
      </c>
      <c r="E742" s="6" t="s">
        <v>34</v>
      </c>
      <c r="F742" s="6">
        <v>1741</v>
      </c>
      <c r="G742" s="6">
        <v>53051.51</v>
      </c>
      <c r="H742" s="7">
        <v>43519</v>
      </c>
      <c r="I742" s="6" t="s">
        <v>19</v>
      </c>
      <c r="J742" s="6" t="s">
        <v>1538</v>
      </c>
      <c r="K742" s="6" t="s">
        <v>21</v>
      </c>
      <c r="L742" s="6" t="s">
        <v>22</v>
      </c>
      <c r="M742" s="6" t="s">
        <v>23</v>
      </c>
      <c r="N742" s="6">
        <v>2.58</v>
      </c>
      <c r="O742" s="6">
        <v>111</v>
      </c>
    </row>
    <row r="743" spans="1:15" ht="14.25" customHeight="1" x14ac:dyDescent="0.3">
      <c r="A743" s="6" t="s">
        <v>1539</v>
      </c>
      <c r="B743" s="6">
        <v>48</v>
      </c>
      <c r="C743" s="6" t="s">
        <v>16</v>
      </c>
      <c r="D743" s="6" t="s">
        <v>69</v>
      </c>
      <c r="E743" s="6" t="s">
        <v>80</v>
      </c>
      <c r="F743" s="6">
        <v>1742</v>
      </c>
      <c r="G743" s="6">
        <v>55561.86</v>
      </c>
      <c r="H743" s="7">
        <v>39716</v>
      </c>
      <c r="I743" s="6" t="s">
        <v>28</v>
      </c>
      <c r="J743" s="6" t="s">
        <v>1540</v>
      </c>
      <c r="K743" s="6" t="s">
        <v>30</v>
      </c>
      <c r="L743" s="6" t="s">
        <v>31</v>
      </c>
      <c r="M743" s="6" t="s">
        <v>32</v>
      </c>
      <c r="N743" s="6">
        <v>2.73</v>
      </c>
      <c r="O743" s="6">
        <v>107</v>
      </c>
    </row>
    <row r="744" spans="1:15" ht="14.25" customHeight="1" x14ac:dyDescent="0.3">
      <c r="A744" s="6" t="s">
        <v>1541</v>
      </c>
      <c r="B744" s="6">
        <v>52</v>
      </c>
      <c r="C744" s="6" t="s">
        <v>16</v>
      </c>
      <c r="D744" s="6" t="s">
        <v>47</v>
      </c>
      <c r="E744" s="6" t="s">
        <v>18</v>
      </c>
      <c r="F744" s="6">
        <v>1743</v>
      </c>
      <c r="G744" s="6">
        <v>114242.76</v>
      </c>
      <c r="H744" s="7">
        <v>36807</v>
      </c>
      <c r="I744" s="6" t="s">
        <v>35</v>
      </c>
      <c r="J744" s="6" t="s">
        <v>1542</v>
      </c>
      <c r="K744" s="6" t="s">
        <v>37</v>
      </c>
      <c r="L744" s="6" t="s">
        <v>38</v>
      </c>
      <c r="M744" s="6" t="s">
        <v>39</v>
      </c>
      <c r="N744" s="6">
        <v>4.83</v>
      </c>
      <c r="O744" s="6">
        <v>121</v>
      </c>
    </row>
    <row r="745" spans="1:15" ht="14.25" customHeight="1" x14ac:dyDescent="0.3">
      <c r="A745" s="6" t="s">
        <v>1543</v>
      </c>
      <c r="B745" s="6">
        <v>27</v>
      </c>
      <c r="C745" s="6" t="s">
        <v>62</v>
      </c>
      <c r="D745" s="6" t="s">
        <v>17</v>
      </c>
      <c r="E745" s="6" t="s">
        <v>80</v>
      </c>
      <c r="F745" s="6">
        <v>1744</v>
      </c>
      <c r="G745" s="6">
        <v>125727.01</v>
      </c>
      <c r="H745" s="7">
        <v>43079</v>
      </c>
      <c r="I745" s="6" t="s">
        <v>41</v>
      </c>
      <c r="J745" s="6" t="s">
        <v>1544</v>
      </c>
      <c r="K745" s="6" t="s">
        <v>43</v>
      </c>
      <c r="L745" s="6" t="s">
        <v>44</v>
      </c>
      <c r="M745" s="6" t="s">
        <v>45</v>
      </c>
      <c r="N745" s="6">
        <v>2.15</v>
      </c>
      <c r="O745" s="6">
        <v>80</v>
      </c>
    </row>
    <row r="746" spans="1:15" ht="14.25" customHeight="1" x14ac:dyDescent="0.3">
      <c r="A746" s="6" t="s">
        <v>1545</v>
      </c>
      <c r="B746" s="6">
        <v>37</v>
      </c>
      <c r="C746" s="6" t="s">
        <v>62</v>
      </c>
      <c r="D746" s="6" t="s">
        <v>69</v>
      </c>
      <c r="E746" s="6" t="s">
        <v>48</v>
      </c>
      <c r="F746" s="6">
        <v>1745</v>
      </c>
      <c r="G746" s="6">
        <v>73836.81</v>
      </c>
      <c r="H746" s="7">
        <v>42297</v>
      </c>
      <c r="I746" s="6" t="s">
        <v>49</v>
      </c>
      <c r="J746" s="6" t="s">
        <v>1546</v>
      </c>
      <c r="K746" s="6" t="s">
        <v>51</v>
      </c>
      <c r="L746" s="6" t="s">
        <v>52</v>
      </c>
      <c r="M746" s="6" t="s">
        <v>53</v>
      </c>
      <c r="N746" s="6">
        <v>4.04</v>
      </c>
      <c r="O746" s="6">
        <v>170</v>
      </c>
    </row>
    <row r="747" spans="1:15" ht="14.25" customHeight="1" x14ac:dyDescent="0.3">
      <c r="A747" s="6" t="s">
        <v>1547</v>
      </c>
      <c r="B747" s="6">
        <v>59</v>
      </c>
      <c r="C747" s="6" t="s">
        <v>16</v>
      </c>
      <c r="D747" s="6" t="s">
        <v>17</v>
      </c>
      <c r="E747" s="6" t="s">
        <v>34</v>
      </c>
      <c r="F747" s="6">
        <v>1746</v>
      </c>
      <c r="G747" s="6">
        <v>105737.07</v>
      </c>
      <c r="H747" s="7">
        <v>41567</v>
      </c>
      <c r="I747" s="6" t="s">
        <v>56</v>
      </c>
      <c r="J747" s="6" t="s">
        <v>1548</v>
      </c>
      <c r="K747" s="6" t="s">
        <v>21</v>
      </c>
      <c r="L747" s="6" t="s">
        <v>22</v>
      </c>
      <c r="M747" s="6" t="s">
        <v>23</v>
      </c>
      <c r="N747" s="6">
        <v>4.2300000000000004</v>
      </c>
      <c r="O747" s="6">
        <v>117</v>
      </c>
    </row>
    <row r="748" spans="1:15" ht="14.25" customHeight="1" x14ac:dyDescent="0.3">
      <c r="A748" s="6" t="s">
        <v>1549</v>
      </c>
      <c r="B748" s="6">
        <v>59</v>
      </c>
      <c r="C748" s="6" t="s">
        <v>62</v>
      </c>
      <c r="D748" s="6" t="s">
        <v>69</v>
      </c>
      <c r="E748" s="6" t="s">
        <v>18</v>
      </c>
      <c r="F748" s="6">
        <v>1747</v>
      </c>
      <c r="G748" s="6">
        <v>50541.82</v>
      </c>
      <c r="H748" s="7">
        <v>37949</v>
      </c>
      <c r="I748" s="6" t="s">
        <v>63</v>
      </c>
      <c r="J748" s="6" t="s">
        <v>1550</v>
      </c>
      <c r="K748" s="6" t="s">
        <v>30</v>
      </c>
      <c r="L748" s="6" t="s">
        <v>31</v>
      </c>
      <c r="M748" s="6" t="s">
        <v>32</v>
      </c>
      <c r="N748" s="6">
        <v>2.84</v>
      </c>
      <c r="O748" s="6">
        <v>59</v>
      </c>
    </row>
    <row r="749" spans="1:15" ht="14.25" customHeight="1" x14ac:dyDescent="0.3">
      <c r="A749" s="6" t="s">
        <v>1551</v>
      </c>
      <c r="B749" s="6">
        <v>53</v>
      </c>
      <c r="C749" s="6" t="s">
        <v>62</v>
      </c>
      <c r="D749" s="6" t="s">
        <v>47</v>
      </c>
      <c r="E749" s="6" t="s">
        <v>34</v>
      </c>
      <c r="F749" s="6">
        <v>1748</v>
      </c>
      <c r="G749" s="6">
        <v>70002.009999999995</v>
      </c>
      <c r="H749" s="7">
        <v>38536</v>
      </c>
      <c r="I749" s="6" t="s">
        <v>66</v>
      </c>
      <c r="J749" s="6" t="s">
        <v>1552</v>
      </c>
      <c r="K749" s="6" t="s">
        <v>37</v>
      </c>
      <c r="L749" s="6" t="s">
        <v>38</v>
      </c>
      <c r="M749" s="6" t="s">
        <v>39</v>
      </c>
      <c r="N749" s="6">
        <v>3.67</v>
      </c>
      <c r="O749" s="6">
        <v>167</v>
      </c>
    </row>
    <row r="750" spans="1:15" ht="14.25" customHeight="1" x14ac:dyDescent="0.3">
      <c r="A750" s="6" t="s">
        <v>1553</v>
      </c>
      <c r="B750" s="6">
        <v>54</v>
      </c>
      <c r="C750" s="6" t="s">
        <v>25</v>
      </c>
      <c r="D750" s="6" t="s">
        <v>47</v>
      </c>
      <c r="E750" s="6" t="s">
        <v>27</v>
      </c>
      <c r="F750" s="6">
        <v>1749</v>
      </c>
      <c r="G750" s="6">
        <v>53749.14</v>
      </c>
      <c r="H750" s="7">
        <v>40906</v>
      </c>
      <c r="I750" s="6" t="s">
        <v>70</v>
      </c>
      <c r="J750" s="6" t="s">
        <v>1554</v>
      </c>
      <c r="K750" s="6" t="s">
        <v>43</v>
      </c>
      <c r="L750" s="6" t="s">
        <v>44</v>
      </c>
      <c r="M750" s="6" t="s">
        <v>45</v>
      </c>
      <c r="N750" s="6">
        <v>3.85</v>
      </c>
      <c r="O750" s="6">
        <v>83</v>
      </c>
    </row>
    <row r="751" spans="1:15" ht="14.25" customHeight="1" x14ac:dyDescent="0.3">
      <c r="A751" s="6" t="s">
        <v>1555</v>
      </c>
      <c r="B751" s="6">
        <v>38</v>
      </c>
      <c r="C751" s="6" t="s">
        <v>16</v>
      </c>
      <c r="D751" s="6" t="s">
        <v>26</v>
      </c>
      <c r="E751" s="6" t="s">
        <v>48</v>
      </c>
      <c r="F751" s="6">
        <v>1750</v>
      </c>
      <c r="G751" s="6">
        <v>182042.48</v>
      </c>
      <c r="H751" s="7">
        <v>37642</v>
      </c>
      <c r="I751" s="6" t="s">
        <v>73</v>
      </c>
      <c r="J751" s="6" t="s">
        <v>1556</v>
      </c>
      <c r="K751" s="6" t="s">
        <v>51</v>
      </c>
      <c r="L751" s="6" t="s">
        <v>52</v>
      </c>
      <c r="M751" s="6" t="s">
        <v>53</v>
      </c>
      <c r="N751" s="6">
        <v>3.27</v>
      </c>
      <c r="O751" s="6">
        <v>199</v>
      </c>
    </row>
    <row r="752" spans="1:15" ht="14.25" customHeight="1" x14ac:dyDescent="0.3">
      <c r="A752" s="6" t="s">
        <v>1557</v>
      </c>
      <c r="B752" s="6">
        <v>54</v>
      </c>
      <c r="C752" s="6" t="s">
        <v>25</v>
      </c>
      <c r="D752" s="6" t="s">
        <v>55</v>
      </c>
      <c r="E752" s="6" t="s">
        <v>18</v>
      </c>
      <c r="F752" s="6">
        <v>1751</v>
      </c>
      <c r="G752" s="6">
        <v>59206.9</v>
      </c>
      <c r="H752" s="7">
        <v>43637</v>
      </c>
      <c r="I752" s="6" t="s">
        <v>19</v>
      </c>
      <c r="J752" s="6" t="s">
        <v>1558</v>
      </c>
      <c r="K752" s="6" t="s">
        <v>21</v>
      </c>
      <c r="L752" s="6" t="s">
        <v>22</v>
      </c>
      <c r="M752" s="6" t="s">
        <v>23</v>
      </c>
      <c r="N752" s="6">
        <v>2.2200000000000002</v>
      </c>
      <c r="O752" s="6">
        <v>34</v>
      </c>
    </row>
    <row r="753" spans="1:15" ht="14.25" customHeight="1" x14ac:dyDescent="0.3">
      <c r="A753" s="6" t="s">
        <v>1559</v>
      </c>
      <c r="B753" s="6">
        <v>32</v>
      </c>
      <c r="C753" s="6" t="s">
        <v>62</v>
      </c>
      <c r="D753" s="6" t="s">
        <v>17</v>
      </c>
      <c r="E753" s="6" t="s">
        <v>80</v>
      </c>
      <c r="F753" s="6">
        <v>1752</v>
      </c>
      <c r="G753" s="6">
        <v>134085.07</v>
      </c>
      <c r="H753" s="7">
        <v>36873</v>
      </c>
      <c r="I753" s="6" t="s">
        <v>28</v>
      </c>
      <c r="J753" s="6" t="s">
        <v>1560</v>
      </c>
      <c r="K753" s="6" t="s">
        <v>30</v>
      </c>
      <c r="L753" s="6" t="s">
        <v>31</v>
      </c>
      <c r="M753" s="6" t="s">
        <v>32</v>
      </c>
      <c r="N753" s="6">
        <v>3.13</v>
      </c>
      <c r="O753" s="6">
        <v>96</v>
      </c>
    </row>
    <row r="754" spans="1:15" ht="14.25" customHeight="1" x14ac:dyDescent="0.3">
      <c r="A754" s="6" t="s">
        <v>1561</v>
      </c>
      <c r="B754" s="6">
        <v>34</v>
      </c>
      <c r="C754" s="6" t="s">
        <v>62</v>
      </c>
      <c r="D754" s="6" t="s">
        <v>17</v>
      </c>
      <c r="E754" s="6" t="s">
        <v>48</v>
      </c>
      <c r="F754" s="6">
        <v>1753</v>
      </c>
      <c r="G754" s="6">
        <v>137779.9</v>
      </c>
      <c r="H754" s="7">
        <v>41035</v>
      </c>
      <c r="I754" s="6" t="s">
        <v>35</v>
      </c>
      <c r="J754" s="6" t="s">
        <v>1562</v>
      </c>
      <c r="K754" s="6" t="s">
        <v>37</v>
      </c>
      <c r="L754" s="6" t="s">
        <v>38</v>
      </c>
      <c r="M754" s="6" t="s">
        <v>39</v>
      </c>
      <c r="N754" s="6">
        <v>1.73</v>
      </c>
      <c r="O754" s="6">
        <v>185</v>
      </c>
    </row>
    <row r="755" spans="1:15" ht="14.25" customHeight="1" x14ac:dyDescent="0.3">
      <c r="A755" s="6" t="s">
        <v>1563</v>
      </c>
      <c r="B755" s="6">
        <v>51</v>
      </c>
      <c r="C755" s="6" t="s">
        <v>62</v>
      </c>
      <c r="D755" s="6" t="s">
        <v>26</v>
      </c>
      <c r="E755" s="6" t="s">
        <v>80</v>
      </c>
      <c r="F755" s="6">
        <v>1754</v>
      </c>
      <c r="G755" s="6">
        <v>50661.46</v>
      </c>
      <c r="H755" s="7">
        <v>43320</v>
      </c>
      <c r="I755" s="6" t="s">
        <v>41</v>
      </c>
      <c r="J755" s="6" t="s">
        <v>1564</v>
      </c>
      <c r="K755" s="6" t="s">
        <v>43</v>
      </c>
      <c r="L755" s="6" t="s">
        <v>44</v>
      </c>
      <c r="M755" s="6" t="s">
        <v>45</v>
      </c>
      <c r="N755" s="6">
        <v>3.3</v>
      </c>
      <c r="O755" s="6">
        <v>76</v>
      </c>
    </row>
    <row r="756" spans="1:15" ht="14.25" customHeight="1" x14ac:dyDescent="0.3">
      <c r="A756" s="6" t="s">
        <v>1565</v>
      </c>
      <c r="B756" s="6">
        <v>22</v>
      </c>
      <c r="C756" s="6" t="s">
        <v>62</v>
      </c>
      <c r="D756" s="6" t="s">
        <v>69</v>
      </c>
      <c r="E756" s="6" t="s">
        <v>80</v>
      </c>
      <c r="F756" s="6">
        <v>1755</v>
      </c>
      <c r="G756" s="6">
        <v>141839.85</v>
      </c>
      <c r="H756" s="7">
        <v>41168</v>
      </c>
      <c r="I756" s="6" t="s">
        <v>49</v>
      </c>
      <c r="J756" s="6" t="s">
        <v>1566</v>
      </c>
      <c r="K756" s="6" t="s">
        <v>51</v>
      </c>
      <c r="L756" s="6" t="s">
        <v>52</v>
      </c>
      <c r="M756" s="6" t="s">
        <v>53</v>
      </c>
      <c r="N756" s="6">
        <v>4.38</v>
      </c>
      <c r="O756" s="6">
        <v>114</v>
      </c>
    </row>
    <row r="757" spans="1:15" ht="14.25" customHeight="1" x14ac:dyDescent="0.3">
      <c r="A757" s="6" t="s">
        <v>1567</v>
      </c>
      <c r="B757" s="6">
        <v>51</v>
      </c>
      <c r="C757" s="6" t="s">
        <v>16</v>
      </c>
      <c r="D757" s="6" t="s">
        <v>69</v>
      </c>
      <c r="E757" s="6" t="s">
        <v>80</v>
      </c>
      <c r="F757" s="6">
        <v>1756</v>
      </c>
      <c r="G757" s="6">
        <v>177191.45</v>
      </c>
      <c r="H757" s="7">
        <v>40140</v>
      </c>
      <c r="I757" s="6" t="s">
        <v>56</v>
      </c>
      <c r="J757" s="6" t="s">
        <v>1568</v>
      </c>
      <c r="K757" s="6" t="s">
        <v>21</v>
      </c>
      <c r="L757" s="6" t="s">
        <v>22</v>
      </c>
      <c r="M757" s="6" t="s">
        <v>23</v>
      </c>
      <c r="N757" s="6">
        <v>1.58</v>
      </c>
      <c r="O757" s="6">
        <v>28</v>
      </c>
    </row>
    <row r="758" spans="1:15" ht="14.25" customHeight="1" x14ac:dyDescent="0.3">
      <c r="A758" s="6" t="s">
        <v>1569</v>
      </c>
      <c r="B758" s="6">
        <v>48</v>
      </c>
      <c r="C758" s="6" t="s">
        <v>16</v>
      </c>
      <c r="D758" s="6" t="s">
        <v>47</v>
      </c>
      <c r="E758" s="6" t="s">
        <v>27</v>
      </c>
      <c r="F758" s="6">
        <v>1757</v>
      </c>
      <c r="G758" s="6">
        <v>136567.35999999999</v>
      </c>
      <c r="H758" s="7">
        <v>38628</v>
      </c>
      <c r="I758" s="6" t="s">
        <v>63</v>
      </c>
      <c r="J758" s="6" t="s">
        <v>1570</v>
      </c>
      <c r="K758" s="6" t="s">
        <v>30</v>
      </c>
      <c r="L758" s="6" t="s">
        <v>31</v>
      </c>
      <c r="M758" s="6" t="s">
        <v>32</v>
      </c>
      <c r="N758" s="6">
        <v>2.66</v>
      </c>
      <c r="O758" s="6">
        <v>24</v>
      </c>
    </row>
    <row r="759" spans="1:15" ht="14.25" customHeight="1" x14ac:dyDescent="0.3">
      <c r="A759" s="6" t="s">
        <v>1571</v>
      </c>
      <c r="B759" s="6">
        <v>61</v>
      </c>
      <c r="C759" s="6" t="s">
        <v>16</v>
      </c>
      <c r="D759" s="6" t="s">
        <v>47</v>
      </c>
      <c r="E759" s="6" t="s">
        <v>80</v>
      </c>
      <c r="F759" s="6">
        <v>1758</v>
      </c>
      <c r="G759" s="6">
        <v>77844.929999999993</v>
      </c>
      <c r="H759" s="7">
        <v>41223</v>
      </c>
      <c r="I759" s="6" t="s">
        <v>66</v>
      </c>
      <c r="J759" s="6" t="s">
        <v>1572</v>
      </c>
      <c r="K759" s="6" t="s">
        <v>37</v>
      </c>
      <c r="L759" s="6" t="s">
        <v>38</v>
      </c>
      <c r="M759" s="6" t="s">
        <v>39</v>
      </c>
      <c r="N759" s="6">
        <v>2.14</v>
      </c>
      <c r="O759" s="6">
        <v>44</v>
      </c>
    </row>
    <row r="760" spans="1:15" ht="14.25" customHeight="1" x14ac:dyDescent="0.3">
      <c r="A760" s="6" t="s">
        <v>1573</v>
      </c>
      <c r="B760" s="6">
        <v>44</v>
      </c>
      <c r="C760" s="6" t="s">
        <v>16</v>
      </c>
      <c r="D760" s="6" t="s">
        <v>17</v>
      </c>
      <c r="E760" s="6" t="s">
        <v>34</v>
      </c>
      <c r="F760" s="6">
        <v>1759</v>
      </c>
      <c r="G760" s="6">
        <v>132596.01999999999</v>
      </c>
      <c r="H760" s="7">
        <v>44430</v>
      </c>
      <c r="I760" s="6" t="s">
        <v>70</v>
      </c>
      <c r="J760" s="6" t="s">
        <v>1574</v>
      </c>
      <c r="K760" s="6" t="s">
        <v>43</v>
      </c>
      <c r="L760" s="6" t="s">
        <v>44</v>
      </c>
      <c r="M760" s="6" t="s">
        <v>45</v>
      </c>
      <c r="N760" s="6">
        <v>2.0699999999999998</v>
      </c>
      <c r="O760" s="6">
        <v>117</v>
      </c>
    </row>
    <row r="761" spans="1:15" ht="14.25" customHeight="1" x14ac:dyDescent="0.3">
      <c r="A761" s="6" t="s">
        <v>1575</v>
      </c>
      <c r="B761" s="6">
        <v>41</v>
      </c>
      <c r="C761" s="6" t="s">
        <v>25</v>
      </c>
      <c r="D761" s="6" t="s">
        <v>55</v>
      </c>
      <c r="E761" s="6" t="s">
        <v>18</v>
      </c>
      <c r="F761" s="6">
        <v>1760</v>
      </c>
      <c r="G761" s="6">
        <v>154667.48000000001</v>
      </c>
      <c r="H761" s="7">
        <v>40897</v>
      </c>
      <c r="I761" s="6" t="s">
        <v>73</v>
      </c>
      <c r="J761" s="6" t="s">
        <v>1576</v>
      </c>
      <c r="K761" s="6" t="s">
        <v>51</v>
      </c>
      <c r="L761" s="6" t="s">
        <v>52</v>
      </c>
      <c r="M761" s="6" t="s">
        <v>53</v>
      </c>
      <c r="N761" s="6">
        <v>2.35</v>
      </c>
      <c r="O761" s="6">
        <v>117</v>
      </c>
    </row>
    <row r="762" spans="1:15" ht="14.25" customHeight="1" x14ac:dyDescent="0.3">
      <c r="A762" s="6" t="s">
        <v>1577</v>
      </c>
      <c r="B762" s="6">
        <v>27</v>
      </c>
      <c r="C762" s="6" t="s">
        <v>25</v>
      </c>
      <c r="D762" s="6" t="s">
        <v>17</v>
      </c>
      <c r="E762" s="6" t="s">
        <v>18</v>
      </c>
      <c r="F762" s="6">
        <v>1761</v>
      </c>
      <c r="G762" s="6">
        <v>152616.01999999999</v>
      </c>
      <c r="H762" s="7">
        <v>39827</v>
      </c>
      <c r="I762" s="6" t="s">
        <v>19</v>
      </c>
      <c r="J762" s="6" t="s">
        <v>1578</v>
      </c>
      <c r="K762" s="6" t="s">
        <v>21</v>
      </c>
      <c r="L762" s="6" t="s">
        <v>22</v>
      </c>
      <c r="M762" s="6" t="s">
        <v>23</v>
      </c>
      <c r="N762" s="6">
        <v>1.82</v>
      </c>
      <c r="O762" s="6">
        <v>55</v>
      </c>
    </row>
    <row r="763" spans="1:15" ht="14.25" customHeight="1" x14ac:dyDescent="0.3">
      <c r="A763" s="6" t="s">
        <v>1579</v>
      </c>
      <c r="B763" s="6">
        <v>58</v>
      </c>
      <c r="C763" s="6" t="s">
        <v>25</v>
      </c>
      <c r="D763" s="6" t="s">
        <v>69</v>
      </c>
      <c r="E763" s="6" t="s">
        <v>48</v>
      </c>
      <c r="F763" s="6">
        <v>1762</v>
      </c>
      <c r="G763" s="6">
        <v>141817.72</v>
      </c>
      <c r="H763" s="7">
        <v>37804</v>
      </c>
      <c r="I763" s="6" t="s">
        <v>28</v>
      </c>
      <c r="J763" s="6" t="s">
        <v>1580</v>
      </c>
      <c r="K763" s="6" t="s">
        <v>30</v>
      </c>
      <c r="L763" s="6" t="s">
        <v>31</v>
      </c>
      <c r="M763" s="6" t="s">
        <v>32</v>
      </c>
      <c r="N763" s="6">
        <v>2.95</v>
      </c>
      <c r="O763" s="6">
        <v>41</v>
      </c>
    </row>
    <row r="764" spans="1:15" ht="14.25" customHeight="1" x14ac:dyDescent="0.3">
      <c r="A764" s="6" t="s">
        <v>1581</v>
      </c>
      <c r="B764" s="6">
        <v>41</v>
      </c>
      <c r="C764" s="6" t="s">
        <v>62</v>
      </c>
      <c r="D764" s="6" t="s">
        <v>55</v>
      </c>
      <c r="E764" s="6" t="s">
        <v>34</v>
      </c>
      <c r="F764" s="6">
        <v>1763</v>
      </c>
      <c r="G764" s="6">
        <v>107386.44</v>
      </c>
      <c r="H764" s="7">
        <v>40163</v>
      </c>
      <c r="I764" s="6" t="s">
        <v>35</v>
      </c>
      <c r="J764" s="6" t="s">
        <v>1582</v>
      </c>
      <c r="K764" s="6" t="s">
        <v>37</v>
      </c>
      <c r="L764" s="6" t="s">
        <v>38</v>
      </c>
      <c r="M764" s="6" t="s">
        <v>39</v>
      </c>
      <c r="N764" s="6">
        <v>1.35</v>
      </c>
      <c r="O764" s="6">
        <v>182</v>
      </c>
    </row>
    <row r="765" spans="1:15" ht="14.25" customHeight="1" x14ac:dyDescent="0.3">
      <c r="A765" s="6" t="s">
        <v>1583</v>
      </c>
      <c r="B765" s="6">
        <v>58</v>
      </c>
      <c r="C765" s="6" t="s">
        <v>16</v>
      </c>
      <c r="D765" s="6" t="s">
        <v>55</v>
      </c>
      <c r="E765" s="6" t="s">
        <v>80</v>
      </c>
      <c r="F765" s="6">
        <v>1764</v>
      </c>
      <c r="G765" s="6">
        <v>68212.17</v>
      </c>
      <c r="H765" s="7">
        <v>41846</v>
      </c>
      <c r="I765" s="6" t="s">
        <v>41</v>
      </c>
      <c r="J765" s="6" t="s">
        <v>1584</v>
      </c>
      <c r="K765" s="6" t="s">
        <v>43</v>
      </c>
      <c r="L765" s="6" t="s">
        <v>44</v>
      </c>
      <c r="M765" s="6" t="s">
        <v>45</v>
      </c>
      <c r="N765" s="6">
        <v>4.5199999999999996</v>
      </c>
      <c r="O765" s="6">
        <v>198</v>
      </c>
    </row>
    <row r="766" spans="1:15" ht="14.25" customHeight="1" x14ac:dyDescent="0.3">
      <c r="A766" s="6" t="s">
        <v>1585</v>
      </c>
      <c r="B766" s="6">
        <v>27</v>
      </c>
      <c r="C766" s="6" t="s">
        <v>16</v>
      </c>
      <c r="D766" s="6" t="s">
        <v>26</v>
      </c>
      <c r="E766" s="6" t="s">
        <v>34</v>
      </c>
      <c r="F766" s="6">
        <v>1765</v>
      </c>
      <c r="G766" s="6">
        <v>60709.21</v>
      </c>
      <c r="H766" s="7">
        <v>43859</v>
      </c>
      <c r="I766" s="6" t="s">
        <v>49</v>
      </c>
      <c r="J766" s="6" t="s">
        <v>1586</v>
      </c>
      <c r="K766" s="6" t="s">
        <v>51</v>
      </c>
      <c r="L766" s="6" t="s">
        <v>52</v>
      </c>
      <c r="M766" s="6" t="s">
        <v>53</v>
      </c>
      <c r="N766" s="6">
        <v>3.42</v>
      </c>
      <c r="O766" s="6">
        <v>47</v>
      </c>
    </row>
    <row r="767" spans="1:15" ht="14.25" customHeight="1" x14ac:dyDescent="0.3">
      <c r="A767" s="6" t="s">
        <v>1587</v>
      </c>
      <c r="B767" s="6">
        <v>50</v>
      </c>
      <c r="C767" s="6" t="s">
        <v>16</v>
      </c>
      <c r="D767" s="6" t="s">
        <v>47</v>
      </c>
      <c r="E767" s="6" t="s">
        <v>80</v>
      </c>
      <c r="F767" s="6">
        <v>1766</v>
      </c>
      <c r="G767" s="6">
        <v>141725.93</v>
      </c>
      <c r="H767" s="7">
        <v>43105</v>
      </c>
      <c r="I767" s="6" t="s">
        <v>56</v>
      </c>
      <c r="J767" s="6" t="s">
        <v>1588</v>
      </c>
      <c r="K767" s="6" t="s">
        <v>21</v>
      </c>
      <c r="L767" s="6" t="s">
        <v>22</v>
      </c>
      <c r="M767" s="6" t="s">
        <v>23</v>
      </c>
      <c r="N767" s="6">
        <v>4.62</v>
      </c>
      <c r="O767" s="6">
        <v>125</v>
      </c>
    </row>
    <row r="768" spans="1:15" ht="14.25" customHeight="1" x14ac:dyDescent="0.3">
      <c r="A768" s="6" t="s">
        <v>1589</v>
      </c>
      <c r="B768" s="6">
        <v>34</v>
      </c>
      <c r="C768" s="6" t="s">
        <v>25</v>
      </c>
      <c r="D768" s="6" t="s">
        <v>55</v>
      </c>
      <c r="E768" s="6" t="s">
        <v>80</v>
      </c>
      <c r="F768" s="6">
        <v>1767</v>
      </c>
      <c r="G768" s="6">
        <v>104378.84</v>
      </c>
      <c r="H768" s="7">
        <v>41095</v>
      </c>
      <c r="I768" s="6" t="s">
        <v>63</v>
      </c>
      <c r="J768" s="6" t="s">
        <v>1590</v>
      </c>
      <c r="K768" s="6" t="s">
        <v>30</v>
      </c>
      <c r="L768" s="6" t="s">
        <v>31</v>
      </c>
      <c r="M768" s="6" t="s">
        <v>32</v>
      </c>
      <c r="N768" s="6">
        <v>1.61</v>
      </c>
      <c r="O768" s="6">
        <v>131</v>
      </c>
    </row>
    <row r="769" spans="1:15" ht="14.25" customHeight="1" x14ac:dyDescent="0.3">
      <c r="A769" s="6" t="s">
        <v>1591</v>
      </c>
      <c r="B769" s="6">
        <v>48</v>
      </c>
      <c r="C769" s="6" t="s">
        <v>62</v>
      </c>
      <c r="D769" s="6" t="s">
        <v>17</v>
      </c>
      <c r="E769" s="6" t="s">
        <v>18</v>
      </c>
      <c r="F769" s="6">
        <v>1768</v>
      </c>
      <c r="G769" s="6">
        <v>50308.51</v>
      </c>
      <c r="H769" s="7">
        <v>44010</v>
      </c>
      <c r="I769" s="6" t="s">
        <v>66</v>
      </c>
      <c r="J769" s="6" t="s">
        <v>1592</v>
      </c>
      <c r="K769" s="6" t="s">
        <v>37</v>
      </c>
      <c r="L769" s="6" t="s">
        <v>38</v>
      </c>
      <c r="M769" s="6" t="s">
        <v>39</v>
      </c>
      <c r="N769" s="6">
        <v>4.0999999999999996</v>
      </c>
      <c r="O769" s="6">
        <v>33</v>
      </c>
    </row>
    <row r="770" spans="1:15" ht="14.25" customHeight="1" x14ac:dyDescent="0.3">
      <c r="A770" s="6" t="s">
        <v>1593</v>
      </c>
      <c r="B770" s="6">
        <v>41</v>
      </c>
      <c r="C770" s="6" t="s">
        <v>62</v>
      </c>
      <c r="D770" s="6" t="s">
        <v>69</v>
      </c>
      <c r="E770" s="6" t="s">
        <v>27</v>
      </c>
      <c r="F770" s="6">
        <v>1769</v>
      </c>
      <c r="G770" s="6">
        <v>72412.759999999995</v>
      </c>
      <c r="H770" s="7">
        <v>39207</v>
      </c>
      <c r="I770" s="6" t="s">
        <v>70</v>
      </c>
      <c r="J770" s="6" t="s">
        <v>1594</v>
      </c>
      <c r="K770" s="6" t="s">
        <v>43</v>
      </c>
      <c r="L770" s="6" t="s">
        <v>44</v>
      </c>
      <c r="M770" s="6" t="s">
        <v>45</v>
      </c>
      <c r="N770" s="6">
        <v>4.55</v>
      </c>
      <c r="O770" s="6">
        <v>110</v>
      </c>
    </row>
    <row r="771" spans="1:15" ht="14.25" customHeight="1" x14ac:dyDescent="0.3">
      <c r="A771" s="6" t="s">
        <v>1595</v>
      </c>
      <c r="B771" s="6">
        <v>34</v>
      </c>
      <c r="C771" s="6" t="s">
        <v>62</v>
      </c>
      <c r="D771" s="6" t="s">
        <v>47</v>
      </c>
      <c r="E771" s="6" t="s">
        <v>48</v>
      </c>
      <c r="F771" s="6">
        <v>1770</v>
      </c>
      <c r="G771" s="6">
        <v>154695.92000000001</v>
      </c>
      <c r="H771" s="7">
        <v>38734</v>
      </c>
      <c r="I771" s="6" t="s">
        <v>73</v>
      </c>
      <c r="J771" s="6" t="s">
        <v>1596</v>
      </c>
      <c r="K771" s="6" t="s">
        <v>51</v>
      </c>
      <c r="L771" s="6" t="s">
        <v>52</v>
      </c>
      <c r="M771" s="6" t="s">
        <v>53</v>
      </c>
      <c r="N771" s="6">
        <v>2.2799999999999998</v>
      </c>
      <c r="O771" s="6">
        <v>81</v>
      </c>
    </row>
    <row r="772" spans="1:15" ht="14.25" customHeight="1" x14ac:dyDescent="0.3">
      <c r="A772" s="6" t="s">
        <v>1597</v>
      </c>
      <c r="B772" s="6">
        <v>60</v>
      </c>
      <c r="C772" s="6" t="s">
        <v>25</v>
      </c>
      <c r="D772" s="6" t="s">
        <v>17</v>
      </c>
      <c r="E772" s="6" t="s">
        <v>18</v>
      </c>
      <c r="F772" s="6">
        <v>1771</v>
      </c>
      <c r="G772" s="6">
        <v>163717.85999999999</v>
      </c>
      <c r="H772" s="7">
        <v>43425</v>
      </c>
      <c r="I772" s="6" t="s">
        <v>19</v>
      </c>
      <c r="J772" s="6" t="s">
        <v>1598</v>
      </c>
      <c r="K772" s="6" t="s">
        <v>21</v>
      </c>
      <c r="L772" s="6" t="s">
        <v>22</v>
      </c>
      <c r="M772" s="6" t="s">
        <v>23</v>
      </c>
      <c r="N772" s="6">
        <v>4.3099999999999996</v>
      </c>
      <c r="O772" s="6">
        <v>188</v>
      </c>
    </row>
    <row r="773" spans="1:15" ht="14.25" customHeight="1" x14ac:dyDescent="0.3">
      <c r="A773" s="6" t="s">
        <v>1599</v>
      </c>
      <c r="B773" s="6">
        <v>29</v>
      </c>
      <c r="C773" s="6" t="s">
        <v>16</v>
      </c>
      <c r="D773" s="6" t="s">
        <v>69</v>
      </c>
      <c r="E773" s="6" t="s">
        <v>80</v>
      </c>
      <c r="F773" s="6">
        <v>1772</v>
      </c>
      <c r="G773" s="6">
        <v>137422.34</v>
      </c>
      <c r="H773" s="7">
        <v>37102</v>
      </c>
      <c r="I773" s="6" t="s">
        <v>28</v>
      </c>
      <c r="J773" s="6" t="s">
        <v>1600</v>
      </c>
      <c r="K773" s="6" t="s">
        <v>30</v>
      </c>
      <c r="L773" s="6" t="s">
        <v>31</v>
      </c>
      <c r="M773" s="6" t="s">
        <v>32</v>
      </c>
      <c r="N773" s="6">
        <v>4.67</v>
      </c>
      <c r="O773" s="6">
        <v>63</v>
      </c>
    </row>
    <row r="774" spans="1:15" ht="14.25" customHeight="1" x14ac:dyDescent="0.3">
      <c r="A774" s="6" t="s">
        <v>1601</v>
      </c>
      <c r="B774" s="6">
        <v>38</v>
      </c>
      <c r="C774" s="6" t="s">
        <v>25</v>
      </c>
      <c r="D774" s="6" t="s">
        <v>17</v>
      </c>
      <c r="E774" s="6" t="s">
        <v>48</v>
      </c>
      <c r="F774" s="6">
        <v>1773</v>
      </c>
      <c r="G774" s="6">
        <v>140755.16</v>
      </c>
      <c r="H774" s="7">
        <v>44543</v>
      </c>
      <c r="I774" s="6" t="s">
        <v>35</v>
      </c>
      <c r="J774" s="6" t="s">
        <v>1602</v>
      </c>
      <c r="K774" s="6" t="s">
        <v>37</v>
      </c>
      <c r="L774" s="6" t="s">
        <v>38</v>
      </c>
      <c r="M774" s="6" t="s">
        <v>39</v>
      </c>
      <c r="N774" s="6">
        <v>3.8</v>
      </c>
      <c r="O774" s="6">
        <v>141</v>
      </c>
    </row>
    <row r="775" spans="1:15" ht="14.25" customHeight="1" x14ac:dyDescent="0.3">
      <c r="A775" s="6" t="s">
        <v>1603</v>
      </c>
      <c r="B775" s="6">
        <v>51</v>
      </c>
      <c r="C775" s="6" t="s">
        <v>16</v>
      </c>
      <c r="D775" s="6" t="s">
        <v>17</v>
      </c>
      <c r="E775" s="6" t="s">
        <v>80</v>
      </c>
      <c r="F775" s="6">
        <v>1774</v>
      </c>
      <c r="G775" s="6">
        <v>91063.4</v>
      </c>
      <c r="H775" s="7">
        <v>39084</v>
      </c>
      <c r="I775" s="6" t="s">
        <v>41</v>
      </c>
      <c r="J775" s="6" t="s">
        <v>1604</v>
      </c>
      <c r="K775" s="6" t="s">
        <v>43</v>
      </c>
      <c r="L775" s="6" t="s">
        <v>44</v>
      </c>
      <c r="M775" s="6" t="s">
        <v>45</v>
      </c>
      <c r="N775" s="6">
        <v>2.3199999999999998</v>
      </c>
      <c r="O775" s="6">
        <v>83</v>
      </c>
    </row>
    <row r="776" spans="1:15" ht="14.25" customHeight="1" x14ac:dyDescent="0.3">
      <c r="A776" s="6" t="s">
        <v>1605</v>
      </c>
      <c r="B776" s="6">
        <v>22</v>
      </c>
      <c r="C776" s="6" t="s">
        <v>62</v>
      </c>
      <c r="D776" s="6" t="s">
        <v>47</v>
      </c>
      <c r="E776" s="6" t="s">
        <v>18</v>
      </c>
      <c r="F776" s="6">
        <v>1775</v>
      </c>
      <c r="G776" s="6">
        <v>123283.18</v>
      </c>
      <c r="H776" s="7">
        <v>44419</v>
      </c>
      <c r="I776" s="6" t="s">
        <v>49</v>
      </c>
      <c r="J776" s="6" t="s">
        <v>1606</v>
      </c>
      <c r="K776" s="6" t="s">
        <v>51</v>
      </c>
      <c r="L776" s="6" t="s">
        <v>52</v>
      </c>
      <c r="M776" s="6" t="s">
        <v>53</v>
      </c>
      <c r="N776" s="6">
        <v>3.38</v>
      </c>
      <c r="O776" s="6">
        <v>23</v>
      </c>
    </row>
    <row r="777" spans="1:15" ht="14.25" customHeight="1" x14ac:dyDescent="0.3">
      <c r="A777" s="6" t="s">
        <v>1607</v>
      </c>
      <c r="B777" s="6">
        <v>45</v>
      </c>
      <c r="C777" s="6" t="s">
        <v>16</v>
      </c>
      <c r="D777" s="6" t="s">
        <v>69</v>
      </c>
      <c r="E777" s="6" t="s">
        <v>80</v>
      </c>
      <c r="F777" s="6">
        <v>1776</v>
      </c>
      <c r="G777" s="6">
        <v>190698.06</v>
      </c>
      <c r="H777" s="7">
        <v>37872</v>
      </c>
      <c r="I777" s="6" t="s">
        <v>56</v>
      </c>
      <c r="J777" s="6" t="s">
        <v>1608</v>
      </c>
      <c r="K777" s="6" t="s">
        <v>21</v>
      </c>
      <c r="L777" s="6" t="s">
        <v>22</v>
      </c>
      <c r="M777" s="6" t="s">
        <v>23</v>
      </c>
      <c r="N777" s="6">
        <v>3.27</v>
      </c>
      <c r="O777" s="6">
        <v>176</v>
      </c>
    </row>
    <row r="778" spans="1:15" ht="14.25" customHeight="1" x14ac:dyDescent="0.3">
      <c r="A778" s="6" t="s">
        <v>1609</v>
      </c>
      <c r="B778" s="6">
        <v>37</v>
      </c>
      <c r="C778" s="6" t="s">
        <v>62</v>
      </c>
      <c r="D778" s="6" t="s">
        <v>17</v>
      </c>
      <c r="E778" s="6" t="s">
        <v>48</v>
      </c>
      <c r="F778" s="6">
        <v>1777</v>
      </c>
      <c r="G778" s="6">
        <v>107718.1</v>
      </c>
      <c r="H778" s="7">
        <v>39215</v>
      </c>
      <c r="I778" s="6" t="s">
        <v>63</v>
      </c>
      <c r="J778" s="6" t="s">
        <v>1610</v>
      </c>
      <c r="K778" s="6" t="s">
        <v>30</v>
      </c>
      <c r="L778" s="6" t="s">
        <v>31</v>
      </c>
      <c r="M778" s="6" t="s">
        <v>32</v>
      </c>
      <c r="N778" s="6">
        <v>3.35</v>
      </c>
      <c r="O778" s="6">
        <v>139</v>
      </c>
    </row>
    <row r="779" spans="1:15" ht="14.25" customHeight="1" x14ac:dyDescent="0.3">
      <c r="A779" s="6" t="s">
        <v>1611</v>
      </c>
      <c r="B779" s="6">
        <v>32</v>
      </c>
      <c r="C779" s="6" t="s">
        <v>62</v>
      </c>
      <c r="D779" s="6" t="s">
        <v>55</v>
      </c>
      <c r="E779" s="6" t="s">
        <v>80</v>
      </c>
      <c r="F779" s="6">
        <v>1778</v>
      </c>
      <c r="G779" s="6">
        <v>141496.26</v>
      </c>
      <c r="H779" s="7">
        <v>41348</v>
      </c>
      <c r="I779" s="6" t="s">
        <v>66</v>
      </c>
      <c r="J779" s="6" t="s">
        <v>1612</v>
      </c>
      <c r="K779" s="6" t="s">
        <v>37</v>
      </c>
      <c r="L779" s="6" t="s">
        <v>38</v>
      </c>
      <c r="M779" s="6" t="s">
        <v>39</v>
      </c>
      <c r="N779" s="6">
        <v>3.04</v>
      </c>
      <c r="O779" s="6">
        <v>49</v>
      </c>
    </row>
    <row r="780" spans="1:15" ht="14.25" customHeight="1" x14ac:dyDescent="0.3">
      <c r="A780" s="6" t="s">
        <v>1613</v>
      </c>
      <c r="B780" s="6">
        <v>25</v>
      </c>
      <c r="C780" s="6" t="s">
        <v>62</v>
      </c>
      <c r="D780" s="6" t="s">
        <v>47</v>
      </c>
      <c r="E780" s="6" t="s">
        <v>18</v>
      </c>
      <c r="F780" s="6">
        <v>1779</v>
      </c>
      <c r="G780" s="6">
        <v>104793.29</v>
      </c>
      <c r="H780" s="7">
        <v>43074</v>
      </c>
      <c r="I780" s="6" t="s">
        <v>70</v>
      </c>
      <c r="J780" s="6" t="s">
        <v>1614</v>
      </c>
      <c r="K780" s="6" t="s">
        <v>43</v>
      </c>
      <c r="L780" s="6" t="s">
        <v>44</v>
      </c>
      <c r="M780" s="6" t="s">
        <v>45</v>
      </c>
      <c r="N780" s="6">
        <v>3.08</v>
      </c>
      <c r="O780" s="6">
        <v>31</v>
      </c>
    </row>
    <row r="781" spans="1:15" ht="14.25" customHeight="1" x14ac:dyDescent="0.3">
      <c r="A781" s="6" t="s">
        <v>1615</v>
      </c>
      <c r="B781" s="6">
        <v>25</v>
      </c>
      <c r="C781" s="6" t="s">
        <v>16</v>
      </c>
      <c r="D781" s="6" t="s">
        <v>26</v>
      </c>
      <c r="E781" s="6" t="s">
        <v>80</v>
      </c>
      <c r="F781" s="6">
        <v>1780</v>
      </c>
      <c r="G781" s="6">
        <v>117477.05</v>
      </c>
      <c r="H781" s="7">
        <v>43820</v>
      </c>
      <c r="I781" s="6" t="s">
        <v>73</v>
      </c>
      <c r="J781" s="6" t="s">
        <v>1616</v>
      </c>
      <c r="K781" s="6" t="s">
        <v>51</v>
      </c>
      <c r="L781" s="6" t="s">
        <v>52</v>
      </c>
      <c r="M781" s="6" t="s">
        <v>53</v>
      </c>
      <c r="N781" s="6">
        <v>1.68</v>
      </c>
      <c r="O781" s="6">
        <v>68</v>
      </c>
    </row>
    <row r="782" spans="1:15" ht="14.25" customHeight="1" x14ac:dyDescent="0.3">
      <c r="A782" s="6" t="s">
        <v>1617</v>
      </c>
      <c r="B782" s="6">
        <v>38</v>
      </c>
      <c r="C782" s="6" t="s">
        <v>25</v>
      </c>
      <c r="D782" s="6" t="s">
        <v>55</v>
      </c>
      <c r="E782" s="6" t="s">
        <v>48</v>
      </c>
      <c r="F782" s="6">
        <v>1781</v>
      </c>
      <c r="G782" s="6">
        <v>167427.6</v>
      </c>
      <c r="H782" s="7">
        <v>42551</v>
      </c>
      <c r="I782" s="6" t="s">
        <v>19</v>
      </c>
      <c r="J782" s="6" t="s">
        <v>1618</v>
      </c>
      <c r="K782" s="6" t="s">
        <v>21</v>
      </c>
      <c r="L782" s="6" t="s">
        <v>22</v>
      </c>
      <c r="M782" s="6" t="s">
        <v>23</v>
      </c>
      <c r="N782" s="6">
        <v>3.71</v>
      </c>
      <c r="O782" s="6">
        <v>137</v>
      </c>
    </row>
    <row r="783" spans="1:15" ht="14.25" customHeight="1" x14ac:dyDescent="0.3">
      <c r="A783" s="6" t="s">
        <v>1619</v>
      </c>
      <c r="B783" s="6">
        <v>31</v>
      </c>
      <c r="C783" s="6" t="s">
        <v>62</v>
      </c>
      <c r="D783" s="6" t="s">
        <v>69</v>
      </c>
      <c r="E783" s="6" t="s">
        <v>34</v>
      </c>
      <c r="F783" s="6">
        <v>1782</v>
      </c>
      <c r="G783" s="6">
        <v>108804.63</v>
      </c>
      <c r="H783" s="7">
        <v>39131</v>
      </c>
      <c r="I783" s="6" t="s">
        <v>28</v>
      </c>
      <c r="J783" s="6" t="s">
        <v>1620</v>
      </c>
      <c r="K783" s="6" t="s">
        <v>30</v>
      </c>
      <c r="L783" s="6" t="s">
        <v>31</v>
      </c>
      <c r="M783" s="6" t="s">
        <v>32</v>
      </c>
      <c r="N783" s="6">
        <v>2.41</v>
      </c>
      <c r="O783" s="6">
        <v>176</v>
      </c>
    </row>
    <row r="784" spans="1:15" ht="14.25" customHeight="1" x14ac:dyDescent="0.3">
      <c r="A784" s="6" t="s">
        <v>1621</v>
      </c>
      <c r="B784" s="6">
        <v>42</v>
      </c>
      <c r="C784" s="6" t="s">
        <v>16</v>
      </c>
      <c r="D784" s="6" t="s">
        <v>55</v>
      </c>
      <c r="E784" s="6" t="s">
        <v>34</v>
      </c>
      <c r="F784" s="6">
        <v>1783</v>
      </c>
      <c r="G784" s="6">
        <v>115623.33</v>
      </c>
      <c r="H784" s="7">
        <v>40685</v>
      </c>
      <c r="I784" s="6" t="s">
        <v>35</v>
      </c>
      <c r="J784" s="6" t="s">
        <v>1622</v>
      </c>
      <c r="K784" s="6" t="s">
        <v>37</v>
      </c>
      <c r="L784" s="6" t="s">
        <v>38</v>
      </c>
      <c r="M784" s="6" t="s">
        <v>39</v>
      </c>
      <c r="N784" s="6">
        <v>3.41</v>
      </c>
      <c r="O784" s="6">
        <v>158</v>
      </c>
    </row>
    <row r="785" spans="1:15" ht="14.25" customHeight="1" x14ac:dyDescent="0.3">
      <c r="A785" s="6" t="s">
        <v>1623</v>
      </c>
      <c r="B785" s="6">
        <v>59</v>
      </c>
      <c r="C785" s="6" t="s">
        <v>62</v>
      </c>
      <c r="D785" s="6" t="s">
        <v>17</v>
      </c>
      <c r="E785" s="6" t="s">
        <v>27</v>
      </c>
      <c r="F785" s="6">
        <v>1784</v>
      </c>
      <c r="G785" s="6">
        <v>93067.7</v>
      </c>
      <c r="H785" s="7">
        <v>41246</v>
      </c>
      <c r="I785" s="6" t="s">
        <v>41</v>
      </c>
      <c r="J785" s="6" t="s">
        <v>1624</v>
      </c>
      <c r="K785" s="6" t="s">
        <v>43</v>
      </c>
      <c r="L785" s="6" t="s">
        <v>44</v>
      </c>
      <c r="M785" s="6" t="s">
        <v>45</v>
      </c>
      <c r="N785" s="6">
        <v>2.19</v>
      </c>
      <c r="O785" s="6">
        <v>179</v>
      </c>
    </row>
    <row r="786" spans="1:15" ht="14.25" customHeight="1" x14ac:dyDescent="0.3">
      <c r="A786" s="6" t="s">
        <v>1625</v>
      </c>
      <c r="B786" s="6">
        <v>39</v>
      </c>
      <c r="C786" s="6" t="s">
        <v>16</v>
      </c>
      <c r="D786" s="6" t="s">
        <v>26</v>
      </c>
      <c r="E786" s="6" t="s">
        <v>27</v>
      </c>
      <c r="F786" s="6">
        <v>1785</v>
      </c>
      <c r="G786" s="6">
        <v>173338.15</v>
      </c>
      <c r="H786" s="7">
        <v>40950</v>
      </c>
      <c r="I786" s="6" t="s">
        <v>49</v>
      </c>
      <c r="J786" s="6" t="s">
        <v>1626</v>
      </c>
      <c r="K786" s="6" t="s">
        <v>51</v>
      </c>
      <c r="L786" s="6" t="s">
        <v>52</v>
      </c>
      <c r="M786" s="6" t="s">
        <v>53</v>
      </c>
      <c r="N786" s="6">
        <v>3.82</v>
      </c>
      <c r="O786" s="6">
        <v>154</v>
      </c>
    </row>
    <row r="787" spans="1:15" ht="14.25" customHeight="1" x14ac:dyDescent="0.3">
      <c r="A787" s="6" t="s">
        <v>1627</v>
      </c>
      <c r="B787" s="6">
        <v>31</v>
      </c>
      <c r="C787" s="6" t="s">
        <v>25</v>
      </c>
      <c r="D787" s="6" t="s">
        <v>47</v>
      </c>
      <c r="E787" s="6" t="s">
        <v>18</v>
      </c>
      <c r="F787" s="6">
        <v>1786</v>
      </c>
      <c r="G787" s="6">
        <v>95463.15</v>
      </c>
      <c r="H787" s="7">
        <v>37413</v>
      </c>
      <c r="I787" s="6" t="s">
        <v>56</v>
      </c>
      <c r="J787" s="6" t="s">
        <v>1628</v>
      </c>
      <c r="K787" s="6" t="s">
        <v>21</v>
      </c>
      <c r="L787" s="6" t="s">
        <v>22</v>
      </c>
      <c r="M787" s="6" t="s">
        <v>23</v>
      </c>
      <c r="N787" s="6">
        <v>3.39</v>
      </c>
      <c r="O787" s="6">
        <v>27</v>
      </c>
    </row>
    <row r="788" spans="1:15" ht="14.25" customHeight="1" x14ac:dyDescent="0.3">
      <c r="A788" s="6" t="s">
        <v>1629</v>
      </c>
      <c r="B788" s="6">
        <v>37</v>
      </c>
      <c r="C788" s="6" t="s">
        <v>62</v>
      </c>
      <c r="D788" s="6" t="s">
        <v>26</v>
      </c>
      <c r="E788" s="6" t="s">
        <v>80</v>
      </c>
      <c r="F788" s="6">
        <v>1787</v>
      </c>
      <c r="G788" s="6">
        <v>159641.56</v>
      </c>
      <c r="H788" s="7">
        <v>39486</v>
      </c>
      <c r="I788" s="6" t="s">
        <v>63</v>
      </c>
      <c r="J788" s="6" t="s">
        <v>1630</v>
      </c>
      <c r="K788" s="6" t="s">
        <v>30</v>
      </c>
      <c r="L788" s="6" t="s">
        <v>31</v>
      </c>
      <c r="M788" s="6" t="s">
        <v>32</v>
      </c>
      <c r="N788" s="6">
        <v>3.9</v>
      </c>
      <c r="O788" s="6">
        <v>46</v>
      </c>
    </row>
    <row r="789" spans="1:15" ht="14.25" customHeight="1" x14ac:dyDescent="0.3">
      <c r="A789" s="6" t="s">
        <v>1631</v>
      </c>
      <c r="B789" s="6">
        <v>60</v>
      </c>
      <c r="C789" s="6" t="s">
        <v>62</v>
      </c>
      <c r="D789" s="6" t="s">
        <v>55</v>
      </c>
      <c r="E789" s="6" t="s">
        <v>80</v>
      </c>
      <c r="F789" s="6">
        <v>1788</v>
      </c>
      <c r="G789" s="6">
        <v>189137.4</v>
      </c>
      <c r="H789" s="7">
        <v>42960</v>
      </c>
      <c r="I789" s="6" t="s">
        <v>66</v>
      </c>
      <c r="J789" s="6" t="s">
        <v>1632</v>
      </c>
      <c r="K789" s="6" t="s">
        <v>37</v>
      </c>
      <c r="L789" s="6" t="s">
        <v>38</v>
      </c>
      <c r="M789" s="6" t="s">
        <v>39</v>
      </c>
      <c r="N789" s="6">
        <v>3.99</v>
      </c>
      <c r="O789" s="6">
        <v>89</v>
      </c>
    </row>
    <row r="790" spans="1:15" ht="14.25" customHeight="1" x14ac:dyDescent="0.3">
      <c r="A790" s="6" t="s">
        <v>1633</v>
      </c>
      <c r="B790" s="6">
        <v>36</v>
      </c>
      <c r="C790" s="6" t="s">
        <v>62</v>
      </c>
      <c r="D790" s="6" t="s">
        <v>26</v>
      </c>
      <c r="E790" s="6" t="s">
        <v>80</v>
      </c>
      <c r="F790" s="6">
        <v>1789</v>
      </c>
      <c r="G790" s="6">
        <v>165298.79999999999</v>
      </c>
      <c r="H790" s="7">
        <v>41435</v>
      </c>
      <c r="I790" s="6" t="s">
        <v>70</v>
      </c>
      <c r="J790" s="6" t="s">
        <v>1634</v>
      </c>
      <c r="K790" s="6" t="s">
        <v>43</v>
      </c>
      <c r="L790" s="6" t="s">
        <v>44</v>
      </c>
      <c r="M790" s="6" t="s">
        <v>45</v>
      </c>
      <c r="N790" s="6">
        <v>3.91</v>
      </c>
      <c r="O790" s="6">
        <v>77</v>
      </c>
    </row>
    <row r="791" spans="1:15" ht="14.25" customHeight="1" x14ac:dyDescent="0.3">
      <c r="A791" s="6" t="s">
        <v>1635</v>
      </c>
      <c r="B791" s="6">
        <v>55</v>
      </c>
      <c r="C791" s="6" t="s">
        <v>25</v>
      </c>
      <c r="D791" s="6" t="s">
        <v>69</v>
      </c>
      <c r="E791" s="6" t="s">
        <v>18</v>
      </c>
      <c r="F791" s="6">
        <v>1790</v>
      </c>
      <c r="G791" s="6">
        <v>180449.3</v>
      </c>
      <c r="H791" s="7">
        <v>39500</v>
      </c>
      <c r="I791" s="6" t="s">
        <v>73</v>
      </c>
      <c r="J791" s="6" t="s">
        <v>1636</v>
      </c>
      <c r="K791" s="6" t="s">
        <v>51</v>
      </c>
      <c r="L791" s="6" t="s">
        <v>52</v>
      </c>
      <c r="M791" s="6" t="s">
        <v>53</v>
      </c>
      <c r="N791" s="6">
        <v>4.49</v>
      </c>
      <c r="O791" s="6">
        <v>57</v>
      </c>
    </row>
    <row r="792" spans="1:15" ht="14.25" customHeight="1" x14ac:dyDescent="0.3">
      <c r="A792" s="6" t="s">
        <v>1637</v>
      </c>
      <c r="B792" s="6">
        <v>26</v>
      </c>
      <c r="C792" s="6" t="s">
        <v>16</v>
      </c>
      <c r="D792" s="6" t="s">
        <v>17</v>
      </c>
      <c r="E792" s="6" t="s">
        <v>18</v>
      </c>
      <c r="F792" s="6">
        <v>1791</v>
      </c>
      <c r="G792" s="6">
        <v>71260.58</v>
      </c>
      <c r="H792" s="7">
        <v>36689</v>
      </c>
      <c r="I792" s="6" t="s">
        <v>19</v>
      </c>
      <c r="J792" s="6" t="s">
        <v>1638</v>
      </c>
      <c r="K792" s="6" t="s">
        <v>21</v>
      </c>
      <c r="L792" s="6" t="s">
        <v>22</v>
      </c>
      <c r="M792" s="6" t="s">
        <v>23</v>
      </c>
      <c r="N792" s="6">
        <v>4.8499999999999996</v>
      </c>
      <c r="O792" s="6">
        <v>36</v>
      </c>
    </row>
    <row r="793" spans="1:15" ht="14.25" customHeight="1" x14ac:dyDescent="0.3">
      <c r="A793" s="6" t="s">
        <v>1639</v>
      </c>
      <c r="B793" s="6">
        <v>38</v>
      </c>
      <c r="C793" s="6" t="s">
        <v>62</v>
      </c>
      <c r="D793" s="6" t="s">
        <v>17</v>
      </c>
      <c r="E793" s="6" t="s">
        <v>80</v>
      </c>
      <c r="F793" s="6">
        <v>1792</v>
      </c>
      <c r="G793" s="6">
        <v>110385.22</v>
      </c>
      <c r="H793" s="7">
        <v>36708</v>
      </c>
      <c r="I793" s="6" t="s">
        <v>28</v>
      </c>
      <c r="J793" s="6" t="s">
        <v>1640</v>
      </c>
      <c r="K793" s="6" t="s">
        <v>30</v>
      </c>
      <c r="L793" s="6" t="s">
        <v>31</v>
      </c>
      <c r="M793" s="6" t="s">
        <v>32</v>
      </c>
      <c r="N793" s="6">
        <v>2.87</v>
      </c>
      <c r="O793" s="6">
        <v>167</v>
      </c>
    </row>
    <row r="794" spans="1:15" ht="14.25" customHeight="1" x14ac:dyDescent="0.3">
      <c r="A794" s="6" t="s">
        <v>1641</v>
      </c>
      <c r="B794" s="6">
        <v>58</v>
      </c>
      <c r="C794" s="6" t="s">
        <v>62</v>
      </c>
      <c r="D794" s="6" t="s">
        <v>69</v>
      </c>
      <c r="E794" s="6" t="s">
        <v>48</v>
      </c>
      <c r="F794" s="6">
        <v>1793</v>
      </c>
      <c r="G794" s="6">
        <v>53845.26</v>
      </c>
      <c r="H794" s="7">
        <v>41523</v>
      </c>
      <c r="I794" s="6" t="s">
        <v>35</v>
      </c>
      <c r="J794" s="6" t="s">
        <v>1642</v>
      </c>
      <c r="K794" s="6" t="s">
        <v>37</v>
      </c>
      <c r="L794" s="6" t="s">
        <v>38</v>
      </c>
      <c r="M794" s="6" t="s">
        <v>39</v>
      </c>
      <c r="N794" s="6">
        <v>2.09</v>
      </c>
      <c r="O794" s="6">
        <v>67</v>
      </c>
    </row>
    <row r="795" spans="1:15" ht="14.25" customHeight="1" x14ac:dyDescent="0.3">
      <c r="A795" s="6" t="s">
        <v>37</v>
      </c>
      <c r="B795" s="6">
        <v>29</v>
      </c>
      <c r="C795" s="6" t="s">
        <v>25</v>
      </c>
      <c r="D795" s="6" t="s">
        <v>17</v>
      </c>
      <c r="E795" s="6" t="s">
        <v>18</v>
      </c>
      <c r="F795" s="6">
        <v>1794</v>
      </c>
      <c r="G795" s="6">
        <v>128392.58</v>
      </c>
      <c r="H795" s="7">
        <v>41254</v>
      </c>
      <c r="I795" s="6" t="s">
        <v>41</v>
      </c>
      <c r="J795" s="6" t="s">
        <v>1643</v>
      </c>
      <c r="K795" s="6" t="s">
        <v>43</v>
      </c>
      <c r="L795" s="6" t="s">
        <v>44</v>
      </c>
      <c r="M795" s="6" t="s">
        <v>45</v>
      </c>
      <c r="N795" s="6">
        <v>3.01</v>
      </c>
      <c r="O795" s="6">
        <v>169</v>
      </c>
    </row>
    <row r="796" spans="1:15" ht="14.25" customHeight="1" x14ac:dyDescent="0.3">
      <c r="A796" s="6" t="s">
        <v>1644</v>
      </c>
      <c r="B796" s="6">
        <v>45</v>
      </c>
      <c r="C796" s="6" t="s">
        <v>16</v>
      </c>
      <c r="D796" s="6" t="s">
        <v>47</v>
      </c>
      <c r="E796" s="6" t="s">
        <v>27</v>
      </c>
      <c r="F796" s="6">
        <v>1795</v>
      </c>
      <c r="G796" s="6">
        <v>199808.81</v>
      </c>
      <c r="H796" s="7">
        <v>37498</v>
      </c>
      <c r="I796" s="6" t="s">
        <v>49</v>
      </c>
      <c r="J796" s="6" t="s">
        <v>1645</v>
      </c>
      <c r="K796" s="6" t="s">
        <v>51</v>
      </c>
      <c r="L796" s="6" t="s">
        <v>52</v>
      </c>
      <c r="M796" s="6" t="s">
        <v>53</v>
      </c>
      <c r="N796" s="6">
        <v>1.34</v>
      </c>
      <c r="O796" s="6">
        <v>74</v>
      </c>
    </row>
    <row r="797" spans="1:15" ht="14.25" customHeight="1" x14ac:dyDescent="0.3">
      <c r="A797" s="6" t="s">
        <v>1646</v>
      </c>
      <c r="B797" s="6">
        <v>49</v>
      </c>
      <c r="C797" s="6" t="s">
        <v>25</v>
      </c>
      <c r="D797" s="6" t="s">
        <v>17</v>
      </c>
      <c r="E797" s="6" t="s">
        <v>48</v>
      </c>
      <c r="F797" s="6">
        <v>1796</v>
      </c>
      <c r="G797" s="6">
        <v>130773.99</v>
      </c>
      <c r="H797" s="7">
        <v>36616</v>
      </c>
      <c r="I797" s="6" t="s">
        <v>56</v>
      </c>
      <c r="J797" s="6" t="s">
        <v>1647</v>
      </c>
      <c r="K797" s="6" t="s">
        <v>21</v>
      </c>
      <c r="L797" s="6" t="s">
        <v>22</v>
      </c>
      <c r="M797" s="6" t="s">
        <v>23</v>
      </c>
      <c r="N797" s="6">
        <v>2.36</v>
      </c>
      <c r="O797" s="6">
        <v>45</v>
      </c>
    </row>
    <row r="798" spans="1:15" ht="14.25" customHeight="1" x14ac:dyDescent="0.3">
      <c r="A798" s="6" t="s">
        <v>1648</v>
      </c>
      <c r="B798" s="6">
        <v>29</v>
      </c>
      <c r="C798" s="6" t="s">
        <v>25</v>
      </c>
      <c r="D798" s="6" t="s">
        <v>17</v>
      </c>
      <c r="E798" s="6" t="s">
        <v>34</v>
      </c>
      <c r="F798" s="6">
        <v>1797</v>
      </c>
      <c r="G798" s="6">
        <v>179251.24</v>
      </c>
      <c r="H798" s="7">
        <v>39813</v>
      </c>
      <c r="I798" s="6" t="s">
        <v>63</v>
      </c>
      <c r="J798" s="6" t="s">
        <v>1649</v>
      </c>
      <c r="K798" s="6" t="s">
        <v>30</v>
      </c>
      <c r="L798" s="6" t="s">
        <v>31</v>
      </c>
      <c r="M798" s="6" t="s">
        <v>32</v>
      </c>
      <c r="N798" s="6">
        <v>2.2599999999999998</v>
      </c>
      <c r="O798" s="6">
        <v>139</v>
      </c>
    </row>
    <row r="799" spans="1:15" ht="14.25" customHeight="1" x14ac:dyDescent="0.3">
      <c r="A799" s="6" t="s">
        <v>1650</v>
      </c>
      <c r="B799" s="6">
        <v>44</v>
      </c>
      <c r="C799" s="6" t="s">
        <v>62</v>
      </c>
      <c r="D799" s="6" t="s">
        <v>55</v>
      </c>
      <c r="E799" s="6" t="s">
        <v>80</v>
      </c>
      <c r="F799" s="6">
        <v>1798</v>
      </c>
      <c r="G799" s="6">
        <v>198472.68</v>
      </c>
      <c r="H799" s="7">
        <v>37803</v>
      </c>
      <c r="I799" s="6" t="s">
        <v>66</v>
      </c>
      <c r="J799" s="6" t="s">
        <v>1651</v>
      </c>
      <c r="K799" s="6" t="s">
        <v>37</v>
      </c>
      <c r="L799" s="6" t="s">
        <v>38</v>
      </c>
      <c r="M799" s="6" t="s">
        <v>39</v>
      </c>
      <c r="N799" s="6">
        <v>3.38</v>
      </c>
      <c r="O799" s="6">
        <v>18</v>
      </c>
    </row>
    <row r="800" spans="1:15" ht="14.25" customHeight="1" x14ac:dyDescent="0.3">
      <c r="A800" s="6" t="s">
        <v>1652</v>
      </c>
      <c r="B800" s="6">
        <v>56</v>
      </c>
      <c r="C800" s="6" t="s">
        <v>16</v>
      </c>
      <c r="D800" s="6" t="s">
        <v>26</v>
      </c>
      <c r="E800" s="6" t="s">
        <v>27</v>
      </c>
      <c r="F800" s="6">
        <v>1799</v>
      </c>
      <c r="G800" s="6">
        <v>99713.69</v>
      </c>
      <c r="H800" s="7">
        <v>38384</v>
      </c>
      <c r="I800" s="6" t="s">
        <v>70</v>
      </c>
      <c r="J800" s="6" t="s">
        <v>1653</v>
      </c>
      <c r="K800" s="6" t="s">
        <v>43</v>
      </c>
      <c r="L800" s="6" t="s">
        <v>44</v>
      </c>
      <c r="M800" s="6" t="s">
        <v>45</v>
      </c>
      <c r="N800" s="6">
        <v>2.31</v>
      </c>
      <c r="O800" s="6">
        <v>170</v>
      </c>
    </row>
    <row r="801" spans="1:15" ht="14.25" customHeight="1" x14ac:dyDescent="0.3">
      <c r="A801" s="6" t="s">
        <v>1654</v>
      </c>
      <c r="B801" s="6">
        <v>52</v>
      </c>
      <c r="C801" s="6" t="s">
        <v>62</v>
      </c>
      <c r="D801" s="6" t="s">
        <v>17</v>
      </c>
      <c r="E801" s="6" t="s">
        <v>27</v>
      </c>
      <c r="F801" s="6">
        <v>1800</v>
      </c>
      <c r="G801" s="6">
        <v>114221.6</v>
      </c>
      <c r="H801" s="7">
        <v>36651</v>
      </c>
      <c r="I801" s="6" t="s">
        <v>73</v>
      </c>
      <c r="J801" s="6" t="s">
        <v>1655</v>
      </c>
      <c r="K801" s="6" t="s">
        <v>51</v>
      </c>
      <c r="L801" s="6" t="s">
        <v>52</v>
      </c>
      <c r="M801" s="6" t="s">
        <v>53</v>
      </c>
      <c r="N801" s="6">
        <v>3.71</v>
      </c>
      <c r="O801" s="6">
        <v>146</v>
      </c>
    </row>
    <row r="802" spans="1:15" ht="14.25" customHeight="1" x14ac:dyDescent="0.3">
      <c r="A802" s="6" t="s">
        <v>1656</v>
      </c>
      <c r="B802" s="6">
        <v>38</v>
      </c>
      <c r="C802" s="6" t="s">
        <v>62</v>
      </c>
      <c r="D802" s="6" t="s">
        <v>55</v>
      </c>
      <c r="E802" s="6" t="s">
        <v>27</v>
      </c>
      <c r="F802" s="6">
        <v>1801</v>
      </c>
      <c r="G802" s="6">
        <v>132015.03</v>
      </c>
      <c r="H802" s="7">
        <v>44177</v>
      </c>
      <c r="I802" s="6" t="s">
        <v>19</v>
      </c>
      <c r="J802" s="6" t="s">
        <v>1657</v>
      </c>
      <c r="K802" s="6" t="s">
        <v>21</v>
      </c>
      <c r="L802" s="6" t="s">
        <v>22</v>
      </c>
      <c r="M802" s="6" t="s">
        <v>23</v>
      </c>
      <c r="N802" s="6">
        <v>2.96</v>
      </c>
      <c r="O802" s="6">
        <v>17</v>
      </c>
    </row>
    <row r="803" spans="1:15" ht="14.25" customHeight="1" x14ac:dyDescent="0.3">
      <c r="A803" s="6" t="s">
        <v>1658</v>
      </c>
      <c r="B803" s="6">
        <v>49</v>
      </c>
      <c r="C803" s="6" t="s">
        <v>25</v>
      </c>
      <c r="D803" s="6" t="s">
        <v>69</v>
      </c>
      <c r="E803" s="6" t="s">
        <v>27</v>
      </c>
      <c r="F803" s="6">
        <v>1802</v>
      </c>
      <c r="G803" s="6">
        <v>159541.03</v>
      </c>
      <c r="H803" s="7">
        <v>37089</v>
      </c>
      <c r="I803" s="6" t="s">
        <v>28</v>
      </c>
      <c r="J803" s="6" t="s">
        <v>1659</v>
      </c>
      <c r="K803" s="6" t="s">
        <v>30</v>
      </c>
      <c r="L803" s="6" t="s">
        <v>31</v>
      </c>
      <c r="M803" s="6" t="s">
        <v>32</v>
      </c>
      <c r="N803" s="6">
        <v>4.58</v>
      </c>
      <c r="O803" s="6">
        <v>161</v>
      </c>
    </row>
    <row r="804" spans="1:15" ht="14.25" customHeight="1" x14ac:dyDescent="0.3">
      <c r="A804" s="6" t="s">
        <v>1660</v>
      </c>
      <c r="B804" s="6">
        <v>33</v>
      </c>
      <c r="C804" s="6" t="s">
        <v>25</v>
      </c>
      <c r="D804" s="6" t="s">
        <v>47</v>
      </c>
      <c r="E804" s="6" t="s">
        <v>80</v>
      </c>
      <c r="F804" s="6">
        <v>1803</v>
      </c>
      <c r="G804" s="6">
        <v>126465.81</v>
      </c>
      <c r="H804" s="7">
        <v>42925</v>
      </c>
      <c r="I804" s="6" t="s">
        <v>35</v>
      </c>
      <c r="J804" s="6" t="s">
        <v>1661</v>
      </c>
      <c r="K804" s="6" t="s">
        <v>37</v>
      </c>
      <c r="L804" s="6" t="s">
        <v>38</v>
      </c>
      <c r="M804" s="6" t="s">
        <v>39</v>
      </c>
      <c r="N804" s="6">
        <v>1.49</v>
      </c>
      <c r="O804" s="6">
        <v>102</v>
      </c>
    </row>
    <row r="805" spans="1:15" ht="14.25" customHeight="1" x14ac:dyDescent="0.3">
      <c r="A805" s="6" t="s">
        <v>1662</v>
      </c>
      <c r="B805" s="6">
        <v>45</v>
      </c>
      <c r="C805" s="6" t="s">
        <v>62</v>
      </c>
      <c r="D805" s="6" t="s">
        <v>69</v>
      </c>
      <c r="E805" s="6" t="s">
        <v>27</v>
      </c>
      <c r="F805" s="6">
        <v>1804</v>
      </c>
      <c r="G805" s="6">
        <v>77713.69</v>
      </c>
      <c r="H805" s="7">
        <v>43240</v>
      </c>
      <c r="I805" s="6" t="s">
        <v>41</v>
      </c>
      <c r="J805" s="6" t="s">
        <v>1663</v>
      </c>
      <c r="K805" s="6" t="s">
        <v>43</v>
      </c>
      <c r="L805" s="6" t="s">
        <v>44</v>
      </c>
      <c r="M805" s="6" t="s">
        <v>45</v>
      </c>
      <c r="N805" s="6">
        <v>1.04</v>
      </c>
      <c r="O805" s="6">
        <v>134</v>
      </c>
    </row>
    <row r="806" spans="1:15" ht="14.25" customHeight="1" x14ac:dyDescent="0.3">
      <c r="A806" s="6" t="s">
        <v>1664</v>
      </c>
      <c r="B806" s="6">
        <v>36</v>
      </c>
      <c r="C806" s="6" t="s">
        <v>25</v>
      </c>
      <c r="D806" s="6" t="s">
        <v>47</v>
      </c>
      <c r="E806" s="6" t="s">
        <v>27</v>
      </c>
      <c r="F806" s="6">
        <v>1805</v>
      </c>
      <c r="G806" s="6">
        <v>125341.25</v>
      </c>
      <c r="H806" s="7">
        <v>39375</v>
      </c>
      <c r="I806" s="6" t="s">
        <v>49</v>
      </c>
      <c r="J806" s="6" t="s">
        <v>1665</v>
      </c>
      <c r="K806" s="6" t="s">
        <v>51</v>
      </c>
      <c r="L806" s="6" t="s">
        <v>52</v>
      </c>
      <c r="M806" s="6" t="s">
        <v>53</v>
      </c>
      <c r="N806" s="6">
        <v>2.89</v>
      </c>
      <c r="O806" s="6">
        <v>74</v>
      </c>
    </row>
    <row r="807" spans="1:15" ht="14.25" customHeight="1" x14ac:dyDescent="0.3">
      <c r="A807" s="6" t="s">
        <v>1666</v>
      </c>
      <c r="B807" s="6">
        <v>61</v>
      </c>
      <c r="C807" s="6" t="s">
        <v>25</v>
      </c>
      <c r="D807" s="6" t="s">
        <v>55</v>
      </c>
      <c r="E807" s="6" t="s">
        <v>48</v>
      </c>
      <c r="F807" s="6">
        <v>1806</v>
      </c>
      <c r="G807" s="6">
        <v>158181.76000000001</v>
      </c>
      <c r="H807" s="7">
        <v>38741</v>
      </c>
      <c r="I807" s="6" t="s">
        <v>56</v>
      </c>
      <c r="J807" s="6" t="s">
        <v>1667</v>
      </c>
      <c r="K807" s="6" t="s">
        <v>21</v>
      </c>
      <c r="L807" s="6" t="s">
        <v>22</v>
      </c>
      <c r="M807" s="6" t="s">
        <v>23</v>
      </c>
      <c r="N807" s="6">
        <v>2.04</v>
      </c>
      <c r="O807" s="6">
        <v>134</v>
      </c>
    </row>
    <row r="808" spans="1:15" ht="14.25" customHeight="1" x14ac:dyDescent="0.3">
      <c r="A808" s="6" t="s">
        <v>1668</v>
      </c>
      <c r="B808" s="6">
        <v>52</v>
      </c>
      <c r="C808" s="6" t="s">
        <v>16</v>
      </c>
      <c r="D808" s="6" t="s">
        <v>69</v>
      </c>
      <c r="E808" s="6" t="s">
        <v>18</v>
      </c>
      <c r="F808" s="6">
        <v>1807</v>
      </c>
      <c r="G808" s="6">
        <v>162964.46</v>
      </c>
      <c r="H808" s="7">
        <v>39425</v>
      </c>
      <c r="I808" s="6" t="s">
        <v>63</v>
      </c>
      <c r="J808" s="6" t="s">
        <v>1669</v>
      </c>
      <c r="K808" s="6" t="s">
        <v>30</v>
      </c>
      <c r="L808" s="6" t="s">
        <v>31</v>
      </c>
      <c r="M808" s="6" t="s">
        <v>32</v>
      </c>
      <c r="N808" s="6">
        <v>2.7</v>
      </c>
      <c r="O808" s="6">
        <v>16</v>
      </c>
    </row>
    <row r="809" spans="1:15" ht="14.25" customHeight="1" x14ac:dyDescent="0.3">
      <c r="A809" s="6" t="s">
        <v>1670</v>
      </c>
      <c r="B809" s="6">
        <v>48</v>
      </c>
      <c r="C809" s="6" t="s">
        <v>62</v>
      </c>
      <c r="D809" s="6" t="s">
        <v>55</v>
      </c>
      <c r="E809" s="6" t="s">
        <v>34</v>
      </c>
      <c r="F809" s="6">
        <v>1808</v>
      </c>
      <c r="G809" s="6">
        <v>112839.82</v>
      </c>
      <c r="H809" s="7">
        <v>42162</v>
      </c>
      <c r="I809" s="6" t="s">
        <v>66</v>
      </c>
      <c r="J809" s="6" t="s">
        <v>1671</v>
      </c>
      <c r="K809" s="6" t="s">
        <v>37</v>
      </c>
      <c r="L809" s="6" t="s">
        <v>38</v>
      </c>
      <c r="M809" s="6" t="s">
        <v>39</v>
      </c>
      <c r="N809" s="6">
        <v>4.93</v>
      </c>
      <c r="O809" s="6">
        <v>22</v>
      </c>
    </row>
    <row r="810" spans="1:15" ht="14.25" customHeight="1" x14ac:dyDescent="0.3">
      <c r="A810" s="6" t="s">
        <v>1672</v>
      </c>
      <c r="B810" s="6">
        <v>56</v>
      </c>
      <c r="C810" s="6" t="s">
        <v>62</v>
      </c>
      <c r="D810" s="6" t="s">
        <v>47</v>
      </c>
      <c r="E810" s="6" t="s">
        <v>80</v>
      </c>
      <c r="F810" s="6">
        <v>1809</v>
      </c>
      <c r="G810" s="6">
        <v>141230.51999999999</v>
      </c>
      <c r="H810" s="7">
        <v>42259</v>
      </c>
      <c r="I810" s="6" t="s">
        <v>70</v>
      </c>
      <c r="J810" s="6" t="s">
        <v>1673</v>
      </c>
      <c r="K810" s="6" t="s">
        <v>43</v>
      </c>
      <c r="L810" s="6" t="s">
        <v>44</v>
      </c>
      <c r="M810" s="6" t="s">
        <v>45</v>
      </c>
      <c r="N810" s="6">
        <v>4.7300000000000004</v>
      </c>
      <c r="O810" s="6">
        <v>163</v>
      </c>
    </row>
    <row r="811" spans="1:15" ht="14.25" customHeight="1" x14ac:dyDescent="0.3">
      <c r="A811" s="6" t="s">
        <v>1674</v>
      </c>
      <c r="B811" s="6">
        <v>39</v>
      </c>
      <c r="C811" s="6" t="s">
        <v>16</v>
      </c>
      <c r="D811" s="6" t="s">
        <v>17</v>
      </c>
      <c r="E811" s="6" t="s">
        <v>34</v>
      </c>
      <c r="F811" s="6">
        <v>1810</v>
      </c>
      <c r="G811" s="6">
        <v>198982.61</v>
      </c>
      <c r="H811" s="7">
        <v>37635</v>
      </c>
      <c r="I811" s="6" t="s">
        <v>73</v>
      </c>
      <c r="J811" s="6" t="s">
        <v>1675</v>
      </c>
      <c r="K811" s="6" t="s">
        <v>51</v>
      </c>
      <c r="L811" s="6" t="s">
        <v>52</v>
      </c>
      <c r="M811" s="6" t="s">
        <v>53</v>
      </c>
      <c r="N811" s="6">
        <v>2.4500000000000002</v>
      </c>
      <c r="O811" s="6">
        <v>167</v>
      </c>
    </row>
    <row r="812" spans="1:15" ht="14.25" customHeight="1" x14ac:dyDescent="0.3">
      <c r="A812" s="6" t="s">
        <v>1676</v>
      </c>
      <c r="B812" s="6">
        <v>57</v>
      </c>
      <c r="C812" s="6" t="s">
        <v>25</v>
      </c>
      <c r="D812" s="6" t="s">
        <v>55</v>
      </c>
      <c r="E812" s="6" t="s">
        <v>34</v>
      </c>
      <c r="F812" s="6">
        <v>1811</v>
      </c>
      <c r="G812" s="6">
        <v>100783.52</v>
      </c>
      <c r="H812" s="7">
        <v>39603</v>
      </c>
      <c r="I812" s="6" t="s">
        <v>19</v>
      </c>
      <c r="J812" s="6" t="s">
        <v>1677</v>
      </c>
      <c r="K812" s="6" t="s">
        <v>21</v>
      </c>
      <c r="L812" s="6" t="s">
        <v>22</v>
      </c>
      <c r="M812" s="6" t="s">
        <v>23</v>
      </c>
      <c r="N812" s="6">
        <v>3.75</v>
      </c>
      <c r="O812" s="6">
        <v>127</v>
      </c>
    </row>
    <row r="813" spans="1:15" ht="14.25" customHeight="1" x14ac:dyDescent="0.3">
      <c r="A813" s="6" t="s">
        <v>1678</v>
      </c>
      <c r="B813" s="6">
        <v>29</v>
      </c>
      <c r="C813" s="6" t="s">
        <v>16</v>
      </c>
      <c r="D813" s="6" t="s">
        <v>26</v>
      </c>
      <c r="E813" s="6" t="s">
        <v>18</v>
      </c>
      <c r="F813" s="6">
        <v>1812</v>
      </c>
      <c r="G813" s="6">
        <v>66625.66</v>
      </c>
      <c r="H813" s="7">
        <v>44695</v>
      </c>
      <c r="I813" s="6" t="s">
        <v>28</v>
      </c>
      <c r="J813" s="6" t="s">
        <v>1679</v>
      </c>
      <c r="K813" s="6" t="s">
        <v>30</v>
      </c>
      <c r="L813" s="6" t="s">
        <v>31</v>
      </c>
      <c r="M813" s="6" t="s">
        <v>32</v>
      </c>
      <c r="N813" s="6">
        <v>2.34</v>
      </c>
      <c r="O813" s="6">
        <v>161</v>
      </c>
    </row>
    <row r="814" spans="1:15" ht="14.25" customHeight="1" x14ac:dyDescent="0.3">
      <c r="A814" s="6" t="s">
        <v>1680</v>
      </c>
      <c r="B814" s="6">
        <v>59</v>
      </c>
      <c r="C814" s="6" t="s">
        <v>16</v>
      </c>
      <c r="D814" s="6" t="s">
        <v>17</v>
      </c>
      <c r="E814" s="6" t="s">
        <v>80</v>
      </c>
      <c r="F814" s="6">
        <v>1813</v>
      </c>
      <c r="G814" s="6">
        <v>71166.95</v>
      </c>
      <c r="H814" s="7">
        <v>42300</v>
      </c>
      <c r="I814" s="6" t="s">
        <v>35</v>
      </c>
      <c r="J814" s="6" t="s">
        <v>1681</v>
      </c>
      <c r="K814" s="6" t="s">
        <v>37</v>
      </c>
      <c r="L814" s="6" t="s">
        <v>38</v>
      </c>
      <c r="M814" s="6" t="s">
        <v>39</v>
      </c>
      <c r="N814" s="6">
        <v>2.65</v>
      </c>
      <c r="O814" s="6">
        <v>23</v>
      </c>
    </row>
    <row r="815" spans="1:15" ht="14.25" customHeight="1" x14ac:dyDescent="0.3">
      <c r="A815" s="6" t="s">
        <v>1682</v>
      </c>
      <c r="B815" s="6">
        <v>26</v>
      </c>
      <c r="C815" s="6" t="s">
        <v>16</v>
      </c>
      <c r="D815" s="6" t="s">
        <v>17</v>
      </c>
      <c r="E815" s="6" t="s">
        <v>48</v>
      </c>
      <c r="F815" s="6">
        <v>1814</v>
      </c>
      <c r="G815" s="6">
        <v>171161.69</v>
      </c>
      <c r="H815" s="7">
        <v>37940</v>
      </c>
      <c r="I815" s="6" t="s">
        <v>41</v>
      </c>
      <c r="J815" s="6" t="s">
        <v>1683</v>
      </c>
      <c r="K815" s="6" t="s">
        <v>43</v>
      </c>
      <c r="L815" s="6" t="s">
        <v>44</v>
      </c>
      <c r="M815" s="6" t="s">
        <v>45</v>
      </c>
      <c r="N815" s="6">
        <v>1.23</v>
      </c>
      <c r="O815" s="6">
        <v>138</v>
      </c>
    </row>
    <row r="816" spans="1:15" ht="14.25" customHeight="1" x14ac:dyDescent="0.3">
      <c r="A816" s="6" t="s">
        <v>1684</v>
      </c>
      <c r="B816" s="6">
        <v>35</v>
      </c>
      <c r="C816" s="6" t="s">
        <v>25</v>
      </c>
      <c r="D816" s="6" t="s">
        <v>26</v>
      </c>
      <c r="E816" s="6" t="s">
        <v>18</v>
      </c>
      <c r="F816" s="6">
        <v>1815</v>
      </c>
      <c r="G816" s="6">
        <v>145790.29999999999</v>
      </c>
      <c r="H816" s="7">
        <v>44827</v>
      </c>
      <c r="I816" s="6" t="s">
        <v>49</v>
      </c>
      <c r="J816" s="6" t="s">
        <v>1685</v>
      </c>
      <c r="K816" s="6" t="s">
        <v>51</v>
      </c>
      <c r="L816" s="6" t="s">
        <v>52</v>
      </c>
      <c r="M816" s="6" t="s">
        <v>53</v>
      </c>
      <c r="N816" s="6">
        <v>1.52</v>
      </c>
      <c r="O816" s="6">
        <v>16</v>
      </c>
    </row>
    <row r="817" spans="1:15" ht="14.25" customHeight="1" x14ac:dyDescent="0.3">
      <c r="A817" s="6" t="s">
        <v>1686</v>
      </c>
      <c r="B817" s="6">
        <v>59</v>
      </c>
      <c r="C817" s="6" t="s">
        <v>16</v>
      </c>
      <c r="D817" s="6" t="s">
        <v>69</v>
      </c>
      <c r="E817" s="6" t="s">
        <v>27</v>
      </c>
      <c r="F817" s="6">
        <v>1816</v>
      </c>
      <c r="G817" s="6">
        <v>104991.42</v>
      </c>
      <c r="H817" s="7">
        <v>39813</v>
      </c>
      <c r="I817" s="6" t="s">
        <v>56</v>
      </c>
      <c r="J817" s="6" t="s">
        <v>1687</v>
      </c>
      <c r="K817" s="6" t="s">
        <v>21</v>
      </c>
      <c r="L817" s="6" t="s">
        <v>22</v>
      </c>
      <c r="M817" s="6" t="s">
        <v>23</v>
      </c>
      <c r="N817" s="6">
        <v>4.07</v>
      </c>
      <c r="O817" s="6">
        <v>145</v>
      </c>
    </row>
    <row r="818" spans="1:15" ht="14.25" customHeight="1" x14ac:dyDescent="0.3">
      <c r="A818" s="6" t="s">
        <v>1688</v>
      </c>
      <c r="B818" s="6">
        <v>41</v>
      </c>
      <c r="C818" s="6" t="s">
        <v>62</v>
      </c>
      <c r="D818" s="6" t="s">
        <v>26</v>
      </c>
      <c r="E818" s="6" t="s">
        <v>27</v>
      </c>
      <c r="F818" s="6">
        <v>1817</v>
      </c>
      <c r="G818" s="6">
        <v>57932.82</v>
      </c>
      <c r="H818" s="7">
        <v>38768</v>
      </c>
      <c r="I818" s="6" t="s">
        <v>63</v>
      </c>
      <c r="J818" s="6" t="s">
        <v>1689</v>
      </c>
      <c r="K818" s="6" t="s">
        <v>30</v>
      </c>
      <c r="L818" s="6" t="s">
        <v>31</v>
      </c>
      <c r="M818" s="6" t="s">
        <v>32</v>
      </c>
      <c r="N818" s="6">
        <v>4.8899999999999997</v>
      </c>
      <c r="O818" s="6">
        <v>155</v>
      </c>
    </row>
    <row r="819" spans="1:15" ht="14.25" customHeight="1" x14ac:dyDescent="0.3">
      <c r="A819" s="6" t="s">
        <v>1690</v>
      </c>
      <c r="B819" s="6">
        <v>30</v>
      </c>
      <c r="C819" s="6" t="s">
        <v>25</v>
      </c>
      <c r="D819" s="6" t="s">
        <v>17</v>
      </c>
      <c r="E819" s="6" t="s">
        <v>34</v>
      </c>
      <c r="F819" s="6">
        <v>1818</v>
      </c>
      <c r="G819" s="6">
        <v>64660.35</v>
      </c>
      <c r="H819" s="7">
        <v>41348</v>
      </c>
      <c r="I819" s="6" t="s">
        <v>66</v>
      </c>
      <c r="J819" s="6" t="s">
        <v>1691</v>
      </c>
      <c r="K819" s="6" t="s">
        <v>37</v>
      </c>
      <c r="L819" s="6" t="s">
        <v>38</v>
      </c>
      <c r="M819" s="6" t="s">
        <v>39</v>
      </c>
      <c r="N819" s="6">
        <v>4.08</v>
      </c>
      <c r="O819" s="6">
        <v>108</v>
      </c>
    </row>
    <row r="820" spans="1:15" ht="14.25" customHeight="1" x14ac:dyDescent="0.3">
      <c r="A820" s="6" t="s">
        <v>1692</v>
      </c>
      <c r="B820" s="6">
        <v>54</v>
      </c>
      <c r="C820" s="6" t="s">
        <v>16</v>
      </c>
      <c r="D820" s="6" t="s">
        <v>69</v>
      </c>
      <c r="E820" s="6" t="s">
        <v>48</v>
      </c>
      <c r="F820" s="6">
        <v>1819</v>
      </c>
      <c r="G820" s="6">
        <v>136928.73000000001</v>
      </c>
      <c r="H820" s="7">
        <v>40830</v>
      </c>
      <c r="I820" s="6" t="s">
        <v>70</v>
      </c>
      <c r="J820" s="6" t="s">
        <v>1693</v>
      </c>
      <c r="K820" s="6" t="s">
        <v>43</v>
      </c>
      <c r="L820" s="6" t="s">
        <v>44</v>
      </c>
      <c r="M820" s="6" t="s">
        <v>45</v>
      </c>
      <c r="N820" s="6">
        <v>4.67</v>
      </c>
      <c r="O820" s="6">
        <v>148</v>
      </c>
    </row>
    <row r="821" spans="1:15" ht="14.25" customHeight="1" x14ac:dyDescent="0.3">
      <c r="A821" s="6" t="s">
        <v>1694</v>
      </c>
      <c r="B821" s="6">
        <v>39</v>
      </c>
      <c r="C821" s="6" t="s">
        <v>16</v>
      </c>
      <c r="D821" s="6" t="s">
        <v>69</v>
      </c>
      <c r="E821" s="6" t="s">
        <v>34</v>
      </c>
      <c r="F821" s="6">
        <v>1820</v>
      </c>
      <c r="G821" s="6">
        <v>135534.20000000001</v>
      </c>
      <c r="H821" s="7">
        <v>41765</v>
      </c>
      <c r="I821" s="6" t="s">
        <v>73</v>
      </c>
      <c r="J821" s="6" t="s">
        <v>1695</v>
      </c>
      <c r="K821" s="6" t="s">
        <v>51</v>
      </c>
      <c r="L821" s="6" t="s">
        <v>52</v>
      </c>
      <c r="M821" s="6" t="s">
        <v>53</v>
      </c>
      <c r="N821" s="6">
        <v>2.2400000000000002</v>
      </c>
      <c r="O821" s="6">
        <v>1</v>
      </c>
    </row>
    <row r="822" spans="1:15" ht="14.25" customHeight="1" x14ac:dyDescent="0.3">
      <c r="A822" s="6" t="s">
        <v>1696</v>
      </c>
      <c r="B822" s="6">
        <v>27</v>
      </c>
      <c r="C822" s="6" t="s">
        <v>16</v>
      </c>
      <c r="D822" s="6" t="s">
        <v>47</v>
      </c>
      <c r="E822" s="6" t="s">
        <v>27</v>
      </c>
      <c r="F822" s="6">
        <v>1821</v>
      </c>
      <c r="G822" s="6">
        <v>133844.43</v>
      </c>
      <c r="H822" s="7">
        <v>37598</v>
      </c>
      <c r="I822" s="6" t="s">
        <v>19</v>
      </c>
      <c r="J822" s="6" t="s">
        <v>1697</v>
      </c>
      <c r="K822" s="6" t="s">
        <v>21</v>
      </c>
      <c r="L822" s="6" t="s">
        <v>22</v>
      </c>
      <c r="M822" s="6" t="s">
        <v>23</v>
      </c>
      <c r="N822" s="6">
        <v>2.5</v>
      </c>
      <c r="O822" s="6">
        <v>110</v>
      </c>
    </row>
    <row r="823" spans="1:15" ht="14.25" customHeight="1" x14ac:dyDescent="0.3">
      <c r="A823" s="6" t="s">
        <v>1698</v>
      </c>
      <c r="B823" s="6">
        <v>58</v>
      </c>
      <c r="C823" s="6" t="s">
        <v>16</v>
      </c>
      <c r="D823" s="6" t="s">
        <v>26</v>
      </c>
      <c r="E823" s="6" t="s">
        <v>80</v>
      </c>
      <c r="F823" s="6">
        <v>1822</v>
      </c>
      <c r="G823" s="6">
        <v>152259.98000000001</v>
      </c>
      <c r="H823" s="7">
        <v>38896</v>
      </c>
      <c r="I823" s="6" t="s">
        <v>28</v>
      </c>
      <c r="J823" s="6" t="s">
        <v>1699</v>
      </c>
      <c r="K823" s="6" t="s">
        <v>30</v>
      </c>
      <c r="L823" s="6" t="s">
        <v>31</v>
      </c>
      <c r="M823" s="6" t="s">
        <v>32</v>
      </c>
      <c r="N823" s="6">
        <v>1.23</v>
      </c>
      <c r="O823" s="6">
        <v>158</v>
      </c>
    </row>
    <row r="824" spans="1:15" ht="14.25" customHeight="1" x14ac:dyDescent="0.3">
      <c r="A824" s="6" t="s">
        <v>1700</v>
      </c>
      <c r="B824" s="6">
        <v>23</v>
      </c>
      <c r="C824" s="6" t="s">
        <v>16</v>
      </c>
      <c r="D824" s="6" t="s">
        <v>17</v>
      </c>
      <c r="E824" s="6" t="s">
        <v>18</v>
      </c>
      <c r="F824" s="6">
        <v>1823</v>
      </c>
      <c r="G824" s="6">
        <v>178040.22</v>
      </c>
      <c r="H824" s="7">
        <v>43577</v>
      </c>
      <c r="I824" s="6" t="s">
        <v>35</v>
      </c>
      <c r="J824" s="6" t="s">
        <v>1701</v>
      </c>
      <c r="K824" s="6" t="s">
        <v>37</v>
      </c>
      <c r="L824" s="6" t="s">
        <v>38</v>
      </c>
      <c r="M824" s="6" t="s">
        <v>39</v>
      </c>
      <c r="N824" s="6">
        <v>1.23</v>
      </c>
      <c r="O824" s="6">
        <v>3</v>
      </c>
    </row>
    <row r="825" spans="1:15" ht="14.25" customHeight="1" x14ac:dyDescent="0.3">
      <c r="A825" s="6" t="s">
        <v>1702</v>
      </c>
      <c r="B825" s="6">
        <v>51</v>
      </c>
      <c r="C825" s="6" t="s">
        <v>16</v>
      </c>
      <c r="D825" s="6" t="s">
        <v>55</v>
      </c>
      <c r="E825" s="6" t="s">
        <v>48</v>
      </c>
      <c r="F825" s="6">
        <v>1824</v>
      </c>
      <c r="G825" s="6">
        <v>131249.35</v>
      </c>
      <c r="H825" s="7">
        <v>39777</v>
      </c>
      <c r="I825" s="6" t="s">
        <v>41</v>
      </c>
      <c r="J825" s="6" t="s">
        <v>1703</v>
      </c>
      <c r="K825" s="6" t="s">
        <v>43</v>
      </c>
      <c r="L825" s="6" t="s">
        <v>44</v>
      </c>
      <c r="M825" s="6" t="s">
        <v>45</v>
      </c>
      <c r="N825" s="6">
        <v>4.8099999999999996</v>
      </c>
      <c r="O825" s="6">
        <v>189</v>
      </c>
    </row>
    <row r="826" spans="1:15" ht="14.25" customHeight="1" x14ac:dyDescent="0.3">
      <c r="A826" s="6" t="s">
        <v>1704</v>
      </c>
      <c r="B826" s="6">
        <v>27</v>
      </c>
      <c r="C826" s="6" t="s">
        <v>62</v>
      </c>
      <c r="D826" s="6" t="s">
        <v>47</v>
      </c>
      <c r="E826" s="6" t="s">
        <v>18</v>
      </c>
      <c r="F826" s="6">
        <v>1825</v>
      </c>
      <c r="G826" s="6">
        <v>120444.94</v>
      </c>
      <c r="H826" s="7">
        <v>41977</v>
      </c>
      <c r="I826" s="6" t="s">
        <v>49</v>
      </c>
      <c r="J826" s="6" t="s">
        <v>1705</v>
      </c>
      <c r="K826" s="6" t="s">
        <v>51</v>
      </c>
      <c r="L826" s="6" t="s">
        <v>52</v>
      </c>
      <c r="M826" s="6" t="s">
        <v>53</v>
      </c>
      <c r="N826" s="6">
        <v>1.86</v>
      </c>
      <c r="O826" s="6">
        <v>83</v>
      </c>
    </row>
    <row r="827" spans="1:15" ht="14.25" customHeight="1" x14ac:dyDescent="0.3">
      <c r="A827" s="6" t="s">
        <v>1706</v>
      </c>
      <c r="B827" s="6">
        <v>38</v>
      </c>
      <c r="C827" s="6" t="s">
        <v>25</v>
      </c>
      <c r="D827" s="6" t="s">
        <v>55</v>
      </c>
      <c r="E827" s="6" t="s">
        <v>18</v>
      </c>
      <c r="F827" s="6">
        <v>1826</v>
      </c>
      <c r="G827" s="6">
        <v>183281.73</v>
      </c>
      <c r="H827" s="7">
        <v>41742</v>
      </c>
      <c r="I827" s="6" t="s">
        <v>56</v>
      </c>
      <c r="J827" s="6" t="s">
        <v>1707</v>
      </c>
      <c r="K827" s="6" t="s">
        <v>21</v>
      </c>
      <c r="L827" s="6" t="s">
        <v>22</v>
      </c>
      <c r="M827" s="6" t="s">
        <v>23</v>
      </c>
      <c r="N827" s="6">
        <v>1.91</v>
      </c>
      <c r="O827" s="6">
        <v>170</v>
      </c>
    </row>
    <row r="828" spans="1:15" ht="14.25" customHeight="1" x14ac:dyDescent="0.3">
      <c r="A828" s="6" t="s">
        <v>1708</v>
      </c>
      <c r="B828" s="6">
        <v>60</v>
      </c>
      <c r="C828" s="6" t="s">
        <v>62</v>
      </c>
      <c r="D828" s="6" t="s">
        <v>69</v>
      </c>
      <c r="E828" s="6" t="s">
        <v>34</v>
      </c>
      <c r="F828" s="6">
        <v>1827</v>
      </c>
      <c r="G828" s="6">
        <v>168358.21</v>
      </c>
      <c r="H828" s="7">
        <v>37411</v>
      </c>
      <c r="I828" s="6" t="s">
        <v>63</v>
      </c>
      <c r="J828" s="6" t="s">
        <v>1709</v>
      </c>
      <c r="K828" s="6" t="s">
        <v>30</v>
      </c>
      <c r="L828" s="6" t="s">
        <v>31</v>
      </c>
      <c r="M828" s="6" t="s">
        <v>32</v>
      </c>
      <c r="N828" s="6">
        <v>2.0699999999999998</v>
      </c>
      <c r="O828" s="6">
        <v>22</v>
      </c>
    </row>
    <row r="829" spans="1:15" ht="14.25" customHeight="1" x14ac:dyDescent="0.3">
      <c r="A829" s="6" t="s">
        <v>1710</v>
      </c>
      <c r="B829" s="6">
        <v>62</v>
      </c>
      <c r="C829" s="6" t="s">
        <v>16</v>
      </c>
      <c r="D829" s="6" t="s">
        <v>17</v>
      </c>
      <c r="E829" s="6" t="s">
        <v>27</v>
      </c>
      <c r="F829" s="6">
        <v>1828</v>
      </c>
      <c r="G829" s="6">
        <v>126325.16</v>
      </c>
      <c r="H829" s="7">
        <v>43653</v>
      </c>
      <c r="I829" s="6" t="s">
        <v>66</v>
      </c>
      <c r="J829" s="6" t="s">
        <v>1711</v>
      </c>
      <c r="K829" s="6" t="s">
        <v>37</v>
      </c>
      <c r="L829" s="6" t="s">
        <v>38</v>
      </c>
      <c r="M829" s="6" t="s">
        <v>39</v>
      </c>
      <c r="N829" s="6">
        <v>2.2400000000000002</v>
      </c>
      <c r="O829" s="6">
        <v>104</v>
      </c>
    </row>
    <row r="830" spans="1:15" ht="14.25" customHeight="1" x14ac:dyDescent="0.3">
      <c r="A830" s="6" t="s">
        <v>1712</v>
      </c>
      <c r="B830" s="6">
        <v>44</v>
      </c>
      <c r="C830" s="6" t="s">
        <v>16</v>
      </c>
      <c r="D830" s="6" t="s">
        <v>17</v>
      </c>
      <c r="E830" s="6" t="s">
        <v>48</v>
      </c>
      <c r="F830" s="6">
        <v>1829</v>
      </c>
      <c r="G830" s="6">
        <v>61769.96</v>
      </c>
      <c r="H830" s="7">
        <v>37696</v>
      </c>
      <c r="I830" s="6" t="s">
        <v>70</v>
      </c>
      <c r="J830" s="6" t="s">
        <v>1713</v>
      </c>
      <c r="K830" s="6" t="s">
        <v>43</v>
      </c>
      <c r="L830" s="6" t="s">
        <v>44</v>
      </c>
      <c r="M830" s="6" t="s">
        <v>45</v>
      </c>
      <c r="N830" s="6">
        <v>2.98</v>
      </c>
      <c r="O830" s="6">
        <v>179</v>
      </c>
    </row>
    <row r="831" spans="1:15" ht="14.25" customHeight="1" x14ac:dyDescent="0.3">
      <c r="A831" s="6" t="s">
        <v>1714</v>
      </c>
      <c r="B831" s="6">
        <v>52</v>
      </c>
      <c r="C831" s="6" t="s">
        <v>16</v>
      </c>
      <c r="D831" s="6" t="s">
        <v>26</v>
      </c>
      <c r="E831" s="6" t="s">
        <v>18</v>
      </c>
      <c r="F831" s="6">
        <v>1830</v>
      </c>
      <c r="G831" s="6">
        <v>93874.52</v>
      </c>
      <c r="H831" s="7">
        <v>37455</v>
      </c>
      <c r="I831" s="6" t="s">
        <v>73</v>
      </c>
      <c r="J831" s="6" t="s">
        <v>1715</v>
      </c>
      <c r="K831" s="6" t="s">
        <v>51</v>
      </c>
      <c r="L831" s="6" t="s">
        <v>52</v>
      </c>
      <c r="M831" s="6" t="s">
        <v>53</v>
      </c>
      <c r="N831" s="6">
        <v>2.61</v>
      </c>
      <c r="O831" s="6">
        <v>150</v>
      </c>
    </row>
    <row r="832" spans="1:15" ht="14.25" customHeight="1" x14ac:dyDescent="0.3">
      <c r="A832" s="6" t="s">
        <v>1716</v>
      </c>
      <c r="B832" s="6">
        <v>41</v>
      </c>
      <c r="C832" s="6" t="s">
        <v>62</v>
      </c>
      <c r="D832" s="6" t="s">
        <v>17</v>
      </c>
      <c r="E832" s="6" t="s">
        <v>48</v>
      </c>
      <c r="F832" s="6">
        <v>1831</v>
      </c>
      <c r="G832" s="6">
        <v>178825.68</v>
      </c>
      <c r="H832" s="7">
        <v>42975</v>
      </c>
      <c r="I832" s="6" t="s">
        <v>19</v>
      </c>
      <c r="J832" s="6" t="s">
        <v>1717</v>
      </c>
      <c r="K832" s="6" t="s">
        <v>21</v>
      </c>
      <c r="L832" s="6" t="s">
        <v>22</v>
      </c>
      <c r="M832" s="6" t="s">
        <v>23</v>
      </c>
      <c r="N832" s="6">
        <v>1.21</v>
      </c>
      <c r="O832" s="6">
        <v>198</v>
      </c>
    </row>
    <row r="833" spans="1:15" ht="14.25" customHeight="1" x14ac:dyDescent="0.3">
      <c r="A833" s="6" t="s">
        <v>1718</v>
      </c>
      <c r="B833" s="6">
        <v>26</v>
      </c>
      <c r="C833" s="6" t="s">
        <v>16</v>
      </c>
      <c r="D833" s="6" t="s">
        <v>17</v>
      </c>
      <c r="E833" s="6" t="s">
        <v>48</v>
      </c>
      <c r="F833" s="6">
        <v>1832</v>
      </c>
      <c r="G833" s="6">
        <v>142726.57999999999</v>
      </c>
      <c r="H833" s="7">
        <v>39386</v>
      </c>
      <c r="I833" s="6" t="s">
        <v>28</v>
      </c>
      <c r="J833" s="6" t="s">
        <v>1719</v>
      </c>
      <c r="K833" s="6" t="s">
        <v>30</v>
      </c>
      <c r="L833" s="6" t="s">
        <v>31</v>
      </c>
      <c r="M833" s="6" t="s">
        <v>32</v>
      </c>
      <c r="N833" s="6">
        <v>2.17</v>
      </c>
      <c r="O833" s="6">
        <v>115</v>
      </c>
    </row>
    <row r="834" spans="1:15" ht="14.25" customHeight="1" x14ac:dyDescent="0.3">
      <c r="A834" s="6" t="s">
        <v>1720</v>
      </c>
      <c r="B834" s="6">
        <v>42</v>
      </c>
      <c r="C834" s="6" t="s">
        <v>62</v>
      </c>
      <c r="D834" s="6" t="s">
        <v>26</v>
      </c>
      <c r="E834" s="6" t="s">
        <v>27</v>
      </c>
      <c r="F834" s="6">
        <v>1833</v>
      </c>
      <c r="G834" s="6">
        <v>57824.72</v>
      </c>
      <c r="H834" s="7">
        <v>42960</v>
      </c>
      <c r="I834" s="6" t="s">
        <v>35</v>
      </c>
      <c r="J834" s="6" t="s">
        <v>1721</v>
      </c>
      <c r="K834" s="6" t="s">
        <v>37</v>
      </c>
      <c r="L834" s="6" t="s">
        <v>38</v>
      </c>
      <c r="M834" s="6" t="s">
        <v>39</v>
      </c>
      <c r="N834" s="6">
        <v>2.9</v>
      </c>
      <c r="O834" s="6">
        <v>65</v>
      </c>
    </row>
    <row r="835" spans="1:15" ht="14.25" customHeight="1" x14ac:dyDescent="0.3">
      <c r="A835" s="6" t="s">
        <v>1722</v>
      </c>
      <c r="B835" s="6">
        <v>64</v>
      </c>
      <c r="C835" s="6" t="s">
        <v>25</v>
      </c>
      <c r="D835" s="6" t="s">
        <v>26</v>
      </c>
      <c r="E835" s="6" t="s">
        <v>18</v>
      </c>
      <c r="F835" s="6">
        <v>1834</v>
      </c>
      <c r="G835" s="6">
        <v>162477.54</v>
      </c>
      <c r="H835" s="7">
        <v>41521</v>
      </c>
      <c r="I835" s="6" t="s">
        <v>41</v>
      </c>
      <c r="J835" s="6" t="s">
        <v>1723</v>
      </c>
      <c r="K835" s="6" t="s">
        <v>43</v>
      </c>
      <c r="L835" s="6" t="s">
        <v>44</v>
      </c>
      <c r="M835" s="6" t="s">
        <v>45</v>
      </c>
      <c r="N835" s="6">
        <v>4.34</v>
      </c>
      <c r="O835" s="6">
        <v>72</v>
      </c>
    </row>
    <row r="836" spans="1:15" ht="14.25" customHeight="1" x14ac:dyDescent="0.3">
      <c r="A836" s="6" t="s">
        <v>1724</v>
      </c>
      <c r="B836" s="6">
        <v>32</v>
      </c>
      <c r="C836" s="6" t="s">
        <v>62</v>
      </c>
      <c r="D836" s="6" t="s">
        <v>17</v>
      </c>
      <c r="E836" s="6" t="s">
        <v>48</v>
      </c>
      <c r="F836" s="6">
        <v>1835</v>
      </c>
      <c r="G836" s="6">
        <v>120237.87</v>
      </c>
      <c r="H836" s="7">
        <v>37366</v>
      </c>
      <c r="I836" s="6" t="s">
        <v>49</v>
      </c>
      <c r="J836" s="6" t="s">
        <v>1725</v>
      </c>
      <c r="K836" s="6" t="s">
        <v>51</v>
      </c>
      <c r="L836" s="6" t="s">
        <v>52</v>
      </c>
      <c r="M836" s="6" t="s">
        <v>53</v>
      </c>
      <c r="N836" s="6">
        <v>4.91</v>
      </c>
      <c r="O836" s="6">
        <v>74</v>
      </c>
    </row>
    <row r="837" spans="1:15" ht="14.25" customHeight="1" x14ac:dyDescent="0.3">
      <c r="A837" s="6" t="s">
        <v>1726</v>
      </c>
      <c r="B837" s="6">
        <v>25</v>
      </c>
      <c r="C837" s="6" t="s">
        <v>62</v>
      </c>
      <c r="D837" s="6" t="s">
        <v>17</v>
      </c>
      <c r="E837" s="6" t="s">
        <v>48</v>
      </c>
      <c r="F837" s="6">
        <v>1836</v>
      </c>
      <c r="G837" s="6">
        <v>52055.09</v>
      </c>
      <c r="H837" s="7">
        <v>41583</v>
      </c>
      <c r="I837" s="6" t="s">
        <v>56</v>
      </c>
      <c r="J837" s="6" t="s">
        <v>1727</v>
      </c>
      <c r="K837" s="6" t="s">
        <v>21</v>
      </c>
      <c r="L837" s="6" t="s">
        <v>22</v>
      </c>
      <c r="M837" s="6" t="s">
        <v>23</v>
      </c>
      <c r="N837" s="6">
        <v>1.52</v>
      </c>
      <c r="O837" s="6">
        <v>84</v>
      </c>
    </row>
    <row r="838" spans="1:15" ht="14.25" customHeight="1" x14ac:dyDescent="0.3">
      <c r="A838" s="6" t="s">
        <v>1728</v>
      </c>
      <c r="B838" s="6">
        <v>44</v>
      </c>
      <c r="C838" s="6" t="s">
        <v>25</v>
      </c>
      <c r="D838" s="6" t="s">
        <v>47</v>
      </c>
      <c r="E838" s="6" t="s">
        <v>18</v>
      </c>
      <c r="F838" s="6">
        <v>1837</v>
      </c>
      <c r="G838" s="6">
        <v>148144.89000000001</v>
      </c>
      <c r="H838" s="7">
        <v>41469</v>
      </c>
      <c r="I838" s="6" t="s">
        <v>63</v>
      </c>
      <c r="J838" s="6" t="s">
        <v>1729</v>
      </c>
      <c r="K838" s="6" t="s">
        <v>30</v>
      </c>
      <c r="L838" s="6" t="s">
        <v>31</v>
      </c>
      <c r="M838" s="6" t="s">
        <v>32</v>
      </c>
      <c r="N838" s="6">
        <v>2.23</v>
      </c>
      <c r="O838" s="6">
        <v>179</v>
      </c>
    </row>
    <row r="839" spans="1:15" ht="14.25" customHeight="1" x14ac:dyDescent="0.3">
      <c r="A839" s="6" t="s">
        <v>1730</v>
      </c>
      <c r="B839" s="6">
        <v>59</v>
      </c>
      <c r="C839" s="6" t="s">
        <v>16</v>
      </c>
      <c r="D839" s="6" t="s">
        <v>55</v>
      </c>
      <c r="E839" s="6" t="s">
        <v>18</v>
      </c>
      <c r="F839" s="6">
        <v>1838</v>
      </c>
      <c r="G839" s="6">
        <v>77894.19</v>
      </c>
      <c r="H839" s="7">
        <v>44260</v>
      </c>
      <c r="I839" s="6" t="s">
        <v>66</v>
      </c>
      <c r="J839" s="6" t="s">
        <v>1731</v>
      </c>
      <c r="K839" s="6" t="s">
        <v>37</v>
      </c>
      <c r="L839" s="6" t="s">
        <v>38</v>
      </c>
      <c r="M839" s="6" t="s">
        <v>39</v>
      </c>
      <c r="N839" s="6">
        <v>1.17</v>
      </c>
      <c r="O839" s="6">
        <v>125</v>
      </c>
    </row>
    <row r="840" spans="1:15" ht="14.25" customHeight="1" x14ac:dyDescent="0.3">
      <c r="A840" s="6" t="s">
        <v>1732</v>
      </c>
      <c r="B840" s="6">
        <v>51</v>
      </c>
      <c r="C840" s="6" t="s">
        <v>62</v>
      </c>
      <c r="D840" s="6" t="s">
        <v>47</v>
      </c>
      <c r="E840" s="6" t="s">
        <v>18</v>
      </c>
      <c r="F840" s="6">
        <v>1839</v>
      </c>
      <c r="G840" s="6">
        <v>63343.78</v>
      </c>
      <c r="H840" s="7">
        <v>39593</v>
      </c>
      <c r="I840" s="6" t="s">
        <v>70</v>
      </c>
      <c r="J840" s="6" t="s">
        <v>1733</v>
      </c>
      <c r="K840" s="6" t="s">
        <v>43</v>
      </c>
      <c r="L840" s="6" t="s">
        <v>44</v>
      </c>
      <c r="M840" s="6" t="s">
        <v>45</v>
      </c>
      <c r="N840" s="6">
        <v>1.7</v>
      </c>
      <c r="O840" s="6">
        <v>136</v>
      </c>
    </row>
    <row r="841" spans="1:15" ht="14.25" customHeight="1" x14ac:dyDescent="0.3">
      <c r="A841" s="6" t="s">
        <v>1734</v>
      </c>
      <c r="B841" s="6">
        <v>63</v>
      </c>
      <c r="C841" s="6" t="s">
        <v>25</v>
      </c>
      <c r="D841" s="6" t="s">
        <v>47</v>
      </c>
      <c r="E841" s="6" t="s">
        <v>34</v>
      </c>
      <c r="F841" s="6">
        <v>1840</v>
      </c>
      <c r="G841" s="6">
        <v>89498.75</v>
      </c>
      <c r="H841" s="7">
        <v>37851</v>
      </c>
      <c r="I841" s="6" t="s">
        <v>73</v>
      </c>
      <c r="J841" s="6" t="s">
        <v>1735</v>
      </c>
      <c r="K841" s="6" t="s">
        <v>51</v>
      </c>
      <c r="L841" s="6" t="s">
        <v>52</v>
      </c>
      <c r="M841" s="6" t="s">
        <v>53</v>
      </c>
      <c r="N841" s="6">
        <v>3.88</v>
      </c>
      <c r="O841" s="6">
        <v>185</v>
      </c>
    </row>
    <row r="842" spans="1:15" ht="14.25" customHeight="1" x14ac:dyDescent="0.3">
      <c r="A842" s="6" t="s">
        <v>1736</v>
      </c>
      <c r="B842" s="6">
        <v>62</v>
      </c>
      <c r="C842" s="6" t="s">
        <v>62</v>
      </c>
      <c r="D842" s="6" t="s">
        <v>69</v>
      </c>
      <c r="E842" s="6" t="s">
        <v>18</v>
      </c>
      <c r="F842" s="6">
        <v>1841</v>
      </c>
      <c r="G842" s="6">
        <v>84517.759999999995</v>
      </c>
      <c r="H842" s="7">
        <v>39650</v>
      </c>
      <c r="I842" s="6" t="s">
        <v>19</v>
      </c>
      <c r="J842" s="6" t="s">
        <v>1737</v>
      </c>
      <c r="K842" s="6" t="s">
        <v>21</v>
      </c>
      <c r="L842" s="6" t="s">
        <v>22</v>
      </c>
      <c r="M842" s="6" t="s">
        <v>23</v>
      </c>
      <c r="N842" s="6">
        <v>4.29</v>
      </c>
      <c r="O842" s="6">
        <v>151</v>
      </c>
    </row>
    <row r="843" spans="1:15" ht="14.25" customHeight="1" x14ac:dyDescent="0.3">
      <c r="A843" s="6" t="s">
        <v>1738</v>
      </c>
      <c r="B843" s="6">
        <v>39</v>
      </c>
      <c r="C843" s="6" t="s">
        <v>62</v>
      </c>
      <c r="D843" s="6" t="s">
        <v>17</v>
      </c>
      <c r="E843" s="6" t="s">
        <v>27</v>
      </c>
      <c r="F843" s="6">
        <v>1842</v>
      </c>
      <c r="G843" s="6">
        <v>159450.92000000001</v>
      </c>
      <c r="H843" s="7">
        <v>44331</v>
      </c>
      <c r="I843" s="6" t="s">
        <v>28</v>
      </c>
      <c r="J843" s="6" t="s">
        <v>1739</v>
      </c>
      <c r="K843" s="6" t="s">
        <v>30</v>
      </c>
      <c r="L843" s="6" t="s">
        <v>31</v>
      </c>
      <c r="M843" s="6" t="s">
        <v>32</v>
      </c>
      <c r="N843" s="6">
        <v>1.3</v>
      </c>
      <c r="O843" s="6">
        <v>73</v>
      </c>
    </row>
    <row r="844" spans="1:15" ht="14.25" customHeight="1" x14ac:dyDescent="0.3">
      <c r="A844" s="6" t="s">
        <v>1740</v>
      </c>
      <c r="B844" s="6">
        <v>62</v>
      </c>
      <c r="C844" s="6" t="s">
        <v>25</v>
      </c>
      <c r="D844" s="6" t="s">
        <v>47</v>
      </c>
      <c r="E844" s="6" t="s">
        <v>48</v>
      </c>
      <c r="F844" s="6">
        <v>1843</v>
      </c>
      <c r="G844" s="6">
        <v>177201.14</v>
      </c>
      <c r="H844" s="7">
        <v>39589</v>
      </c>
      <c r="I844" s="6" t="s">
        <v>35</v>
      </c>
      <c r="J844" s="6" t="s">
        <v>1741</v>
      </c>
      <c r="K844" s="6" t="s">
        <v>37</v>
      </c>
      <c r="L844" s="6" t="s">
        <v>38</v>
      </c>
      <c r="M844" s="6" t="s">
        <v>39</v>
      </c>
      <c r="N844" s="6">
        <v>3.94</v>
      </c>
      <c r="O844" s="6">
        <v>65</v>
      </c>
    </row>
    <row r="845" spans="1:15" ht="14.25" customHeight="1" x14ac:dyDescent="0.3">
      <c r="A845" s="6" t="s">
        <v>1742</v>
      </c>
      <c r="B845" s="6">
        <v>64</v>
      </c>
      <c r="C845" s="6" t="s">
        <v>62</v>
      </c>
      <c r="D845" s="6" t="s">
        <v>17</v>
      </c>
      <c r="E845" s="6" t="s">
        <v>34</v>
      </c>
      <c r="F845" s="6">
        <v>1844</v>
      </c>
      <c r="G845" s="6">
        <v>130090.45</v>
      </c>
      <c r="H845" s="7">
        <v>39318</v>
      </c>
      <c r="I845" s="6" t="s">
        <v>41</v>
      </c>
      <c r="J845" s="6" t="s">
        <v>1743</v>
      </c>
      <c r="K845" s="6" t="s">
        <v>43</v>
      </c>
      <c r="L845" s="6" t="s">
        <v>44</v>
      </c>
      <c r="M845" s="6" t="s">
        <v>45</v>
      </c>
      <c r="N845" s="6">
        <v>2.68</v>
      </c>
      <c r="O845" s="6">
        <v>150</v>
      </c>
    </row>
    <row r="846" spans="1:15" ht="14.25" customHeight="1" x14ac:dyDescent="0.3">
      <c r="A846" s="6" t="s">
        <v>1744</v>
      </c>
      <c r="B846" s="6">
        <v>52</v>
      </c>
      <c r="C846" s="6" t="s">
        <v>25</v>
      </c>
      <c r="D846" s="6" t="s">
        <v>47</v>
      </c>
      <c r="E846" s="6" t="s">
        <v>18</v>
      </c>
      <c r="F846" s="6">
        <v>1845</v>
      </c>
      <c r="G846" s="6">
        <v>100934.97</v>
      </c>
      <c r="H846" s="7">
        <v>36922</v>
      </c>
      <c r="I846" s="6" t="s">
        <v>49</v>
      </c>
      <c r="J846" s="6" t="s">
        <v>1745</v>
      </c>
      <c r="K846" s="6" t="s">
        <v>51</v>
      </c>
      <c r="L846" s="6" t="s">
        <v>52</v>
      </c>
      <c r="M846" s="6" t="s">
        <v>53</v>
      </c>
      <c r="N846" s="6">
        <v>2.59</v>
      </c>
      <c r="O846" s="6">
        <v>49</v>
      </c>
    </row>
    <row r="847" spans="1:15" ht="14.25" customHeight="1" x14ac:dyDescent="0.3">
      <c r="A847" s="6" t="s">
        <v>1746</v>
      </c>
      <c r="B847" s="6">
        <v>51</v>
      </c>
      <c r="C847" s="6" t="s">
        <v>62</v>
      </c>
      <c r="D847" s="6" t="s">
        <v>69</v>
      </c>
      <c r="E847" s="6" t="s">
        <v>80</v>
      </c>
      <c r="F847" s="6">
        <v>1846</v>
      </c>
      <c r="G847" s="6">
        <v>163114.59</v>
      </c>
      <c r="H847" s="7">
        <v>43072</v>
      </c>
      <c r="I847" s="6" t="s">
        <v>56</v>
      </c>
      <c r="J847" s="6" t="s">
        <v>1747</v>
      </c>
      <c r="K847" s="6" t="s">
        <v>21</v>
      </c>
      <c r="L847" s="6" t="s">
        <v>22</v>
      </c>
      <c r="M847" s="6" t="s">
        <v>23</v>
      </c>
      <c r="N847" s="6">
        <v>4.95</v>
      </c>
      <c r="O847" s="6">
        <v>77</v>
      </c>
    </row>
    <row r="848" spans="1:15" ht="14.25" customHeight="1" x14ac:dyDescent="0.3">
      <c r="A848" s="6" t="s">
        <v>1748</v>
      </c>
      <c r="B848" s="6">
        <v>55</v>
      </c>
      <c r="C848" s="6" t="s">
        <v>16</v>
      </c>
      <c r="D848" s="6" t="s">
        <v>17</v>
      </c>
      <c r="E848" s="6" t="s">
        <v>34</v>
      </c>
      <c r="F848" s="6">
        <v>1847</v>
      </c>
      <c r="G848" s="6">
        <v>164303.79999999999</v>
      </c>
      <c r="H848" s="7">
        <v>40457</v>
      </c>
      <c r="I848" s="6" t="s">
        <v>63</v>
      </c>
      <c r="J848" s="6" t="s">
        <v>1749</v>
      </c>
      <c r="K848" s="6" t="s">
        <v>30</v>
      </c>
      <c r="L848" s="6" t="s">
        <v>31</v>
      </c>
      <c r="M848" s="6" t="s">
        <v>32</v>
      </c>
      <c r="N848" s="6">
        <v>2.4700000000000002</v>
      </c>
      <c r="O848" s="6">
        <v>148</v>
      </c>
    </row>
    <row r="849" spans="1:15" ht="14.25" customHeight="1" x14ac:dyDescent="0.3">
      <c r="A849" s="6" t="s">
        <v>1750</v>
      </c>
      <c r="B849" s="6">
        <v>52</v>
      </c>
      <c r="C849" s="6" t="s">
        <v>25</v>
      </c>
      <c r="D849" s="6" t="s">
        <v>55</v>
      </c>
      <c r="E849" s="6" t="s">
        <v>34</v>
      </c>
      <c r="F849" s="6">
        <v>1848</v>
      </c>
      <c r="G849" s="6">
        <v>91866.87</v>
      </c>
      <c r="H849" s="7">
        <v>44169</v>
      </c>
      <c r="I849" s="6" t="s">
        <v>66</v>
      </c>
      <c r="J849" s="6" t="s">
        <v>1751</v>
      </c>
      <c r="K849" s="6" t="s">
        <v>37</v>
      </c>
      <c r="L849" s="6" t="s">
        <v>38</v>
      </c>
      <c r="M849" s="6" t="s">
        <v>39</v>
      </c>
      <c r="N849" s="6">
        <v>1.4</v>
      </c>
      <c r="O849" s="6">
        <v>152</v>
      </c>
    </row>
    <row r="850" spans="1:15" ht="14.25" customHeight="1" x14ac:dyDescent="0.3">
      <c r="A850" s="6" t="s">
        <v>1752</v>
      </c>
      <c r="B850" s="6">
        <v>59</v>
      </c>
      <c r="C850" s="6" t="s">
        <v>16</v>
      </c>
      <c r="D850" s="6" t="s">
        <v>69</v>
      </c>
      <c r="E850" s="6" t="s">
        <v>34</v>
      </c>
      <c r="F850" s="6">
        <v>1849</v>
      </c>
      <c r="G850" s="6">
        <v>55525.42</v>
      </c>
      <c r="H850" s="7">
        <v>43715</v>
      </c>
      <c r="I850" s="6" t="s">
        <v>70</v>
      </c>
      <c r="J850" s="6" t="s">
        <v>1753</v>
      </c>
      <c r="K850" s="6" t="s">
        <v>43</v>
      </c>
      <c r="L850" s="6" t="s">
        <v>44</v>
      </c>
      <c r="M850" s="6" t="s">
        <v>45</v>
      </c>
      <c r="N850" s="6">
        <v>1.75</v>
      </c>
      <c r="O850" s="6">
        <v>51</v>
      </c>
    </row>
    <row r="851" spans="1:15" ht="14.25" customHeight="1" x14ac:dyDescent="0.3">
      <c r="A851" s="6" t="s">
        <v>1754</v>
      </c>
      <c r="B851" s="6">
        <v>46</v>
      </c>
      <c r="C851" s="6" t="s">
        <v>62</v>
      </c>
      <c r="D851" s="6" t="s">
        <v>26</v>
      </c>
      <c r="E851" s="6" t="s">
        <v>34</v>
      </c>
      <c r="F851" s="6">
        <v>1850</v>
      </c>
      <c r="G851" s="6">
        <v>178265.86</v>
      </c>
      <c r="H851" s="7">
        <v>36670</v>
      </c>
      <c r="I851" s="6" t="s">
        <v>73</v>
      </c>
      <c r="J851" s="6" t="s">
        <v>1755</v>
      </c>
      <c r="K851" s="6" t="s">
        <v>51</v>
      </c>
      <c r="L851" s="6" t="s">
        <v>52</v>
      </c>
      <c r="M851" s="6" t="s">
        <v>53</v>
      </c>
      <c r="N851" s="6">
        <v>3.51</v>
      </c>
      <c r="O851" s="6">
        <v>117</v>
      </c>
    </row>
    <row r="852" spans="1:15" ht="14.25" customHeight="1" x14ac:dyDescent="0.3">
      <c r="A852" s="6" t="s">
        <v>1756</v>
      </c>
      <c r="B852" s="6">
        <v>38</v>
      </c>
      <c r="C852" s="6" t="s">
        <v>16</v>
      </c>
      <c r="D852" s="6" t="s">
        <v>55</v>
      </c>
      <c r="E852" s="6" t="s">
        <v>48</v>
      </c>
      <c r="F852" s="6">
        <v>1851</v>
      </c>
      <c r="G852" s="6">
        <v>62914.79</v>
      </c>
      <c r="H852" s="7">
        <v>42324</v>
      </c>
      <c r="I852" s="6" t="s">
        <v>19</v>
      </c>
      <c r="J852" s="6" t="s">
        <v>1757</v>
      </c>
      <c r="K852" s="6" t="s">
        <v>21</v>
      </c>
      <c r="L852" s="6" t="s">
        <v>22</v>
      </c>
      <c r="M852" s="6" t="s">
        <v>23</v>
      </c>
      <c r="N852" s="6">
        <v>3.94</v>
      </c>
      <c r="O852" s="6">
        <v>98</v>
      </c>
    </row>
    <row r="853" spans="1:15" ht="14.25" customHeight="1" x14ac:dyDescent="0.3">
      <c r="A853" s="6" t="s">
        <v>1758</v>
      </c>
      <c r="B853" s="6">
        <v>57</v>
      </c>
      <c r="C853" s="6" t="s">
        <v>25</v>
      </c>
      <c r="D853" s="6" t="s">
        <v>47</v>
      </c>
      <c r="E853" s="6" t="s">
        <v>48</v>
      </c>
      <c r="F853" s="6">
        <v>1852</v>
      </c>
      <c r="G853" s="6">
        <v>116353.74</v>
      </c>
      <c r="H853" s="7">
        <v>37746</v>
      </c>
      <c r="I853" s="6" t="s">
        <v>28</v>
      </c>
      <c r="J853" s="6" t="s">
        <v>1759</v>
      </c>
      <c r="K853" s="6" t="s">
        <v>30</v>
      </c>
      <c r="L853" s="6" t="s">
        <v>31</v>
      </c>
      <c r="M853" s="6" t="s">
        <v>32</v>
      </c>
      <c r="N853" s="6">
        <v>3.46</v>
      </c>
      <c r="O853" s="6">
        <v>109</v>
      </c>
    </row>
    <row r="854" spans="1:15" ht="14.25" customHeight="1" x14ac:dyDescent="0.3">
      <c r="A854" s="6" t="s">
        <v>1760</v>
      </c>
      <c r="B854" s="6">
        <v>61</v>
      </c>
      <c r="C854" s="6" t="s">
        <v>62</v>
      </c>
      <c r="D854" s="6" t="s">
        <v>17</v>
      </c>
      <c r="E854" s="6" t="s">
        <v>34</v>
      </c>
      <c r="F854" s="6">
        <v>1853</v>
      </c>
      <c r="G854" s="6">
        <v>114631.21</v>
      </c>
      <c r="H854" s="7">
        <v>44485</v>
      </c>
      <c r="I854" s="6" t="s">
        <v>35</v>
      </c>
      <c r="J854" s="6" t="s">
        <v>1761</v>
      </c>
      <c r="K854" s="6" t="s">
        <v>37</v>
      </c>
      <c r="L854" s="6" t="s">
        <v>38</v>
      </c>
      <c r="M854" s="6" t="s">
        <v>39</v>
      </c>
      <c r="N854" s="6">
        <v>4.0199999999999996</v>
      </c>
      <c r="O854" s="6">
        <v>95</v>
      </c>
    </row>
    <row r="855" spans="1:15" ht="14.25" customHeight="1" x14ac:dyDescent="0.3">
      <c r="A855" s="6" t="s">
        <v>1762</v>
      </c>
      <c r="B855" s="6">
        <v>51</v>
      </c>
      <c r="C855" s="6" t="s">
        <v>25</v>
      </c>
      <c r="D855" s="6" t="s">
        <v>17</v>
      </c>
      <c r="E855" s="6" t="s">
        <v>80</v>
      </c>
      <c r="F855" s="6">
        <v>1854</v>
      </c>
      <c r="G855" s="6">
        <v>106970.71</v>
      </c>
      <c r="H855" s="7">
        <v>37437</v>
      </c>
      <c r="I855" s="6" t="s">
        <v>41</v>
      </c>
      <c r="J855" s="6" t="s">
        <v>1763</v>
      </c>
      <c r="K855" s="6" t="s">
        <v>43</v>
      </c>
      <c r="L855" s="6" t="s">
        <v>44</v>
      </c>
      <c r="M855" s="6" t="s">
        <v>45</v>
      </c>
      <c r="N855" s="6">
        <v>3.01</v>
      </c>
      <c r="O855" s="6">
        <v>141</v>
      </c>
    </row>
    <row r="856" spans="1:15" ht="14.25" customHeight="1" x14ac:dyDescent="0.3">
      <c r="A856" s="6" t="s">
        <v>1764</v>
      </c>
      <c r="B856" s="6">
        <v>23</v>
      </c>
      <c r="C856" s="6" t="s">
        <v>62</v>
      </c>
      <c r="D856" s="6" t="s">
        <v>55</v>
      </c>
      <c r="E856" s="6" t="s">
        <v>18</v>
      </c>
      <c r="F856" s="6">
        <v>1855</v>
      </c>
      <c r="G856" s="6">
        <v>105845.15</v>
      </c>
      <c r="H856" s="7">
        <v>36634</v>
      </c>
      <c r="I856" s="6" t="s">
        <v>49</v>
      </c>
      <c r="J856" s="6" t="s">
        <v>1765</v>
      </c>
      <c r="K856" s="6" t="s">
        <v>51</v>
      </c>
      <c r="L856" s="6" t="s">
        <v>52</v>
      </c>
      <c r="M856" s="6" t="s">
        <v>53</v>
      </c>
      <c r="N856" s="6">
        <v>3.54</v>
      </c>
      <c r="O856" s="6">
        <v>36</v>
      </c>
    </row>
    <row r="857" spans="1:15" ht="14.25" customHeight="1" x14ac:dyDescent="0.3">
      <c r="A857" s="6" t="s">
        <v>1766</v>
      </c>
      <c r="B857" s="6">
        <v>45</v>
      </c>
      <c r="C857" s="6" t="s">
        <v>16</v>
      </c>
      <c r="D857" s="6" t="s">
        <v>26</v>
      </c>
      <c r="E857" s="6" t="s">
        <v>34</v>
      </c>
      <c r="F857" s="6">
        <v>1856</v>
      </c>
      <c r="G857" s="6">
        <v>171312.66</v>
      </c>
      <c r="H857" s="7">
        <v>39033</v>
      </c>
      <c r="I857" s="6" t="s">
        <v>56</v>
      </c>
      <c r="J857" s="6" t="s">
        <v>1767</v>
      </c>
      <c r="K857" s="6" t="s">
        <v>21</v>
      </c>
      <c r="L857" s="6" t="s">
        <v>22</v>
      </c>
      <c r="M857" s="6" t="s">
        <v>23</v>
      </c>
      <c r="N857" s="6">
        <v>1.01</v>
      </c>
      <c r="O857" s="6">
        <v>48</v>
      </c>
    </row>
    <row r="858" spans="1:15" ht="14.25" customHeight="1" x14ac:dyDescent="0.3">
      <c r="A858" s="6" t="s">
        <v>1768</v>
      </c>
      <c r="B858" s="6">
        <v>30</v>
      </c>
      <c r="C858" s="6" t="s">
        <v>16</v>
      </c>
      <c r="D858" s="6" t="s">
        <v>17</v>
      </c>
      <c r="E858" s="6" t="s">
        <v>34</v>
      </c>
      <c r="F858" s="6">
        <v>1857</v>
      </c>
      <c r="G858" s="6">
        <v>58341.03</v>
      </c>
      <c r="H858" s="7">
        <v>42538</v>
      </c>
      <c r="I858" s="6" t="s">
        <v>63</v>
      </c>
      <c r="J858" s="6" t="s">
        <v>1769</v>
      </c>
      <c r="K858" s="6" t="s">
        <v>30</v>
      </c>
      <c r="L858" s="6" t="s">
        <v>31</v>
      </c>
      <c r="M858" s="6" t="s">
        <v>32</v>
      </c>
      <c r="N858" s="6">
        <v>1.1000000000000001</v>
      </c>
      <c r="O858" s="6">
        <v>161</v>
      </c>
    </row>
    <row r="859" spans="1:15" ht="14.25" customHeight="1" x14ac:dyDescent="0.3">
      <c r="A859" s="6" t="s">
        <v>1770</v>
      </c>
      <c r="B859" s="6">
        <v>22</v>
      </c>
      <c r="C859" s="6" t="s">
        <v>25</v>
      </c>
      <c r="D859" s="6" t="s">
        <v>26</v>
      </c>
      <c r="E859" s="6" t="s">
        <v>18</v>
      </c>
      <c r="F859" s="6">
        <v>1858</v>
      </c>
      <c r="G859" s="6">
        <v>176387.28</v>
      </c>
      <c r="H859" s="7">
        <v>38351</v>
      </c>
      <c r="I859" s="6" t="s">
        <v>66</v>
      </c>
      <c r="J859" s="6" t="s">
        <v>1771</v>
      </c>
      <c r="K859" s="6" t="s">
        <v>37</v>
      </c>
      <c r="L859" s="6" t="s">
        <v>38</v>
      </c>
      <c r="M859" s="6" t="s">
        <v>39</v>
      </c>
      <c r="N859" s="6">
        <v>2.34</v>
      </c>
      <c r="O859" s="6">
        <v>111</v>
      </c>
    </row>
    <row r="860" spans="1:15" ht="14.25" customHeight="1" x14ac:dyDescent="0.3">
      <c r="A860" s="6" t="s">
        <v>1772</v>
      </c>
      <c r="B860" s="6">
        <v>45</v>
      </c>
      <c r="C860" s="6" t="s">
        <v>25</v>
      </c>
      <c r="D860" s="6" t="s">
        <v>26</v>
      </c>
      <c r="E860" s="6" t="s">
        <v>48</v>
      </c>
      <c r="F860" s="6">
        <v>1859</v>
      </c>
      <c r="G860" s="6">
        <v>181097.3</v>
      </c>
      <c r="H860" s="7">
        <v>42051</v>
      </c>
      <c r="I860" s="6" t="s">
        <v>70</v>
      </c>
      <c r="J860" s="6" t="s">
        <v>1773</v>
      </c>
      <c r="K860" s="6" t="s">
        <v>43</v>
      </c>
      <c r="L860" s="6" t="s">
        <v>44</v>
      </c>
      <c r="M860" s="6" t="s">
        <v>45</v>
      </c>
      <c r="N860" s="6">
        <v>2.0699999999999998</v>
      </c>
      <c r="O860" s="6">
        <v>158</v>
      </c>
    </row>
    <row r="861" spans="1:15" ht="14.25" customHeight="1" x14ac:dyDescent="0.3">
      <c r="A861" s="6" t="s">
        <v>1774</v>
      </c>
      <c r="B861" s="6">
        <v>59</v>
      </c>
      <c r="C861" s="6" t="s">
        <v>62</v>
      </c>
      <c r="D861" s="6" t="s">
        <v>69</v>
      </c>
      <c r="E861" s="6" t="s">
        <v>34</v>
      </c>
      <c r="F861" s="6">
        <v>1860</v>
      </c>
      <c r="G861" s="6">
        <v>163590.92000000001</v>
      </c>
      <c r="H861" s="7">
        <v>40956</v>
      </c>
      <c r="I861" s="6" t="s">
        <v>73</v>
      </c>
      <c r="J861" s="6" t="s">
        <v>1775</v>
      </c>
      <c r="K861" s="6" t="s">
        <v>51</v>
      </c>
      <c r="L861" s="6" t="s">
        <v>52</v>
      </c>
      <c r="M861" s="6" t="s">
        <v>53</v>
      </c>
      <c r="N861" s="6">
        <v>2.65</v>
      </c>
      <c r="O861" s="6">
        <v>158</v>
      </c>
    </row>
    <row r="862" spans="1:15" ht="14.25" customHeight="1" x14ac:dyDescent="0.3">
      <c r="A862" s="6" t="s">
        <v>1776</v>
      </c>
      <c r="B862" s="6">
        <v>48</v>
      </c>
      <c r="C862" s="6" t="s">
        <v>25</v>
      </c>
      <c r="D862" s="6" t="s">
        <v>55</v>
      </c>
      <c r="E862" s="6" t="s">
        <v>34</v>
      </c>
      <c r="F862" s="6">
        <v>1861</v>
      </c>
      <c r="G862" s="6">
        <v>145321.82999999999</v>
      </c>
      <c r="H862" s="7">
        <v>44159</v>
      </c>
      <c r="I862" s="6" t="s">
        <v>19</v>
      </c>
      <c r="J862" s="6" t="s">
        <v>1777</v>
      </c>
      <c r="K862" s="6" t="s">
        <v>21</v>
      </c>
      <c r="L862" s="6" t="s">
        <v>22</v>
      </c>
      <c r="M862" s="6" t="s">
        <v>23</v>
      </c>
      <c r="N862" s="6">
        <v>3.08</v>
      </c>
      <c r="O862" s="6">
        <v>37</v>
      </c>
    </row>
    <row r="863" spans="1:15" ht="14.25" customHeight="1" x14ac:dyDescent="0.3">
      <c r="A863" s="6" t="s">
        <v>1778</v>
      </c>
      <c r="B863" s="6">
        <v>47</v>
      </c>
      <c r="C863" s="6" t="s">
        <v>25</v>
      </c>
      <c r="D863" s="6" t="s">
        <v>55</v>
      </c>
      <c r="E863" s="6" t="s">
        <v>34</v>
      </c>
      <c r="F863" s="6">
        <v>1862</v>
      </c>
      <c r="G863" s="6">
        <v>156035.82</v>
      </c>
      <c r="H863" s="7">
        <v>40850</v>
      </c>
      <c r="I863" s="6" t="s">
        <v>28</v>
      </c>
      <c r="J863" s="6" t="s">
        <v>1779</v>
      </c>
      <c r="K863" s="6" t="s">
        <v>30</v>
      </c>
      <c r="L863" s="6" t="s">
        <v>31</v>
      </c>
      <c r="M863" s="6" t="s">
        <v>32</v>
      </c>
      <c r="N863" s="6">
        <v>1.76</v>
      </c>
      <c r="O863" s="6">
        <v>43</v>
      </c>
    </row>
    <row r="864" spans="1:15" ht="14.25" customHeight="1" x14ac:dyDescent="0.3">
      <c r="A864" s="6" t="s">
        <v>1780</v>
      </c>
      <c r="B864" s="6">
        <v>47</v>
      </c>
      <c r="C864" s="6" t="s">
        <v>16</v>
      </c>
      <c r="D864" s="6" t="s">
        <v>55</v>
      </c>
      <c r="E864" s="6" t="s">
        <v>34</v>
      </c>
      <c r="F864" s="6">
        <v>1863</v>
      </c>
      <c r="G864" s="6">
        <v>150672.26999999999</v>
      </c>
      <c r="H864" s="7">
        <v>43163</v>
      </c>
      <c r="I864" s="6" t="s">
        <v>35</v>
      </c>
      <c r="J864" s="6" t="s">
        <v>1781</v>
      </c>
      <c r="K864" s="6" t="s">
        <v>37</v>
      </c>
      <c r="L864" s="6" t="s">
        <v>38</v>
      </c>
      <c r="M864" s="6" t="s">
        <v>39</v>
      </c>
      <c r="N864" s="6">
        <v>4.5199999999999996</v>
      </c>
      <c r="O864" s="6">
        <v>185</v>
      </c>
    </row>
    <row r="865" spans="1:15" ht="14.25" customHeight="1" x14ac:dyDescent="0.3">
      <c r="A865" s="6" t="s">
        <v>1782</v>
      </c>
      <c r="B865" s="6">
        <v>28</v>
      </c>
      <c r="C865" s="6" t="s">
        <v>25</v>
      </c>
      <c r="D865" s="6" t="s">
        <v>47</v>
      </c>
      <c r="E865" s="6" t="s">
        <v>18</v>
      </c>
      <c r="F865" s="6">
        <v>1864</v>
      </c>
      <c r="G865" s="6">
        <v>154618.39000000001</v>
      </c>
      <c r="H865" s="7">
        <v>38168</v>
      </c>
      <c r="I865" s="6" t="s">
        <v>41</v>
      </c>
      <c r="J865" s="6" t="s">
        <v>1783</v>
      </c>
      <c r="K865" s="6" t="s">
        <v>43</v>
      </c>
      <c r="L865" s="6" t="s">
        <v>44</v>
      </c>
      <c r="M865" s="6" t="s">
        <v>45</v>
      </c>
      <c r="N865" s="6">
        <v>2.76</v>
      </c>
      <c r="O865" s="6">
        <v>181</v>
      </c>
    </row>
    <row r="866" spans="1:15" ht="14.25" customHeight="1" x14ac:dyDescent="0.3">
      <c r="A866" s="6" t="s">
        <v>1784</v>
      </c>
      <c r="B866" s="6">
        <v>46</v>
      </c>
      <c r="C866" s="6" t="s">
        <v>25</v>
      </c>
      <c r="D866" s="6" t="s">
        <v>55</v>
      </c>
      <c r="E866" s="6" t="s">
        <v>48</v>
      </c>
      <c r="F866" s="6">
        <v>1865</v>
      </c>
      <c r="G866" s="6">
        <v>134842.67000000001</v>
      </c>
      <c r="H866" s="7">
        <v>37011</v>
      </c>
      <c r="I866" s="6" t="s">
        <v>49</v>
      </c>
      <c r="J866" s="6" t="s">
        <v>1785</v>
      </c>
      <c r="K866" s="6" t="s">
        <v>51</v>
      </c>
      <c r="L866" s="6" t="s">
        <v>52</v>
      </c>
      <c r="M866" s="6" t="s">
        <v>53</v>
      </c>
      <c r="N866" s="6">
        <v>2.96</v>
      </c>
      <c r="O866" s="6">
        <v>30</v>
      </c>
    </row>
    <row r="867" spans="1:15" ht="14.25" customHeight="1" x14ac:dyDescent="0.3">
      <c r="A867" s="6" t="s">
        <v>1786</v>
      </c>
      <c r="B867" s="6">
        <v>37</v>
      </c>
      <c r="C867" s="6" t="s">
        <v>62</v>
      </c>
      <c r="D867" s="6" t="s">
        <v>17</v>
      </c>
      <c r="E867" s="6" t="s">
        <v>80</v>
      </c>
      <c r="F867" s="6">
        <v>1866</v>
      </c>
      <c r="G867" s="6">
        <v>99548.75</v>
      </c>
      <c r="H867" s="7">
        <v>43979</v>
      </c>
      <c r="I867" s="6" t="s">
        <v>56</v>
      </c>
      <c r="J867" s="6" t="s">
        <v>1787</v>
      </c>
      <c r="K867" s="6" t="s">
        <v>21</v>
      </c>
      <c r="L867" s="6" t="s">
        <v>22</v>
      </c>
      <c r="M867" s="6" t="s">
        <v>23</v>
      </c>
      <c r="N867" s="6">
        <v>1.35</v>
      </c>
      <c r="O867" s="6">
        <v>179</v>
      </c>
    </row>
    <row r="868" spans="1:15" ht="14.25" customHeight="1" x14ac:dyDescent="0.3">
      <c r="A868" s="6" t="s">
        <v>1788</v>
      </c>
      <c r="B868" s="6">
        <v>59</v>
      </c>
      <c r="C868" s="6" t="s">
        <v>16</v>
      </c>
      <c r="D868" s="6" t="s">
        <v>17</v>
      </c>
      <c r="E868" s="6" t="s">
        <v>18</v>
      </c>
      <c r="F868" s="6">
        <v>1867</v>
      </c>
      <c r="G868" s="6">
        <v>196144.01</v>
      </c>
      <c r="H868" s="7">
        <v>39056</v>
      </c>
      <c r="I868" s="6" t="s">
        <v>63</v>
      </c>
      <c r="J868" s="6" t="s">
        <v>1789</v>
      </c>
      <c r="K868" s="6" t="s">
        <v>30</v>
      </c>
      <c r="L868" s="6" t="s">
        <v>31</v>
      </c>
      <c r="M868" s="6" t="s">
        <v>32</v>
      </c>
      <c r="N868" s="6">
        <v>1.99</v>
      </c>
      <c r="O868" s="6">
        <v>71</v>
      </c>
    </row>
    <row r="869" spans="1:15" ht="14.25" customHeight="1" x14ac:dyDescent="0.3">
      <c r="A869" s="6" t="s">
        <v>1790</v>
      </c>
      <c r="B869" s="6">
        <v>63</v>
      </c>
      <c r="C869" s="6" t="s">
        <v>16</v>
      </c>
      <c r="D869" s="6" t="s">
        <v>55</v>
      </c>
      <c r="E869" s="6" t="s">
        <v>80</v>
      </c>
      <c r="F869" s="6">
        <v>1868</v>
      </c>
      <c r="G869" s="6">
        <v>138349.20000000001</v>
      </c>
      <c r="H869" s="7">
        <v>38641</v>
      </c>
      <c r="I869" s="6" t="s">
        <v>66</v>
      </c>
      <c r="J869" s="6" t="s">
        <v>1791</v>
      </c>
      <c r="K869" s="6" t="s">
        <v>37</v>
      </c>
      <c r="L869" s="6" t="s">
        <v>38</v>
      </c>
      <c r="M869" s="6" t="s">
        <v>39</v>
      </c>
      <c r="N869" s="6">
        <v>4.17</v>
      </c>
      <c r="O869" s="6">
        <v>85</v>
      </c>
    </row>
    <row r="870" spans="1:15" ht="14.25" customHeight="1" x14ac:dyDescent="0.3">
      <c r="A870" s="6" t="s">
        <v>1792</v>
      </c>
      <c r="B870" s="6">
        <v>39</v>
      </c>
      <c r="C870" s="6" t="s">
        <v>62</v>
      </c>
      <c r="D870" s="6" t="s">
        <v>17</v>
      </c>
      <c r="E870" s="6" t="s">
        <v>80</v>
      </c>
      <c r="F870" s="6">
        <v>1869</v>
      </c>
      <c r="G870" s="6">
        <v>92001.43</v>
      </c>
      <c r="H870" s="7">
        <v>42298</v>
      </c>
      <c r="I870" s="6" t="s">
        <v>70</v>
      </c>
      <c r="J870" s="6" t="s">
        <v>1793</v>
      </c>
      <c r="K870" s="6" t="s">
        <v>43</v>
      </c>
      <c r="L870" s="6" t="s">
        <v>44</v>
      </c>
      <c r="M870" s="6" t="s">
        <v>45</v>
      </c>
      <c r="N870" s="6">
        <v>2.95</v>
      </c>
      <c r="O870" s="6">
        <v>83</v>
      </c>
    </row>
    <row r="871" spans="1:15" ht="14.25" customHeight="1" x14ac:dyDescent="0.3">
      <c r="A871" s="6" t="s">
        <v>1794</v>
      </c>
      <c r="B871" s="6">
        <v>38</v>
      </c>
      <c r="C871" s="6" t="s">
        <v>16</v>
      </c>
      <c r="D871" s="6" t="s">
        <v>69</v>
      </c>
      <c r="E871" s="6" t="s">
        <v>18</v>
      </c>
      <c r="F871" s="6">
        <v>1870</v>
      </c>
      <c r="G871" s="6">
        <v>144647.49</v>
      </c>
      <c r="H871" s="7">
        <v>38801</v>
      </c>
      <c r="I871" s="6" t="s">
        <v>73</v>
      </c>
      <c r="J871" s="6" t="s">
        <v>1795</v>
      </c>
      <c r="K871" s="6" t="s">
        <v>51</v>
      </c>
      <c r="L871" s="6" t="s">
        <v>52</v>
      </c>
      <c r="M871" s="6" t="s">
        <v>53</v>
      </c>
      <c r="N871" s="6">
        <v>2.0299999999999998</v>
      </c>
      <c r="O871" s="6">
        <v>68</v>
      </c>
    </row>
    <row r="872" spans="1:15" ht="14.25" customHeight="1" x14ac:dyDescent="0.3">
      <c r="A872" s="6" t="s">
        <v>1796</v>
      </c>
      <c r="B872" s="6">
        <v>27</v>
      </c>
      <c r="C872" s="6" t="s">
        <v>62</v>
      </c>
      <c r="D872" s="6" t="s">
        <v>47</v>
      </c>
      <c r="E872" s="6" t="s">
        <v>48</v>
      </c>
      <c r="F872" s="6">
        <v>1871</v>
      </c>
      <c r="G872" s="6">
        <v>159695.98000000001</v>
      </c>
      <c r="H872" s="7">
        <v>40148</v>
      </c>
      <c r="I872" s="6" t="s">
        <v>19</v>
      </c>
      <c r="J872" s="6" t="s">
        <v>1797</v>
      </c>
      <c r="K872" s="6" t="s">
        <v>21</v>
      </c>
      <c r="L872" s="6" t="s">
        <v>22</v>
      </c>
      <c r="M872" s="6" t="s">
        <v>23</v>
      </c>
      <c r="N872" s="6">
        <v>1.34</v>
      </c>
      <c r="O872" s="6">
        <v>74</v>
      </c>
    </row>
    <row r="873" spans="1:15" ht="14.25" customHeight="1" x14ac:dyDescent="0.3">
      <c r="A873" s="6" t="s">
        <v>1798</v>
      </c>
      <c r="B873" s="6">
        <v>41</v>
      </c>
      <c r="C873" s="6" t="s">
        <v>62</v>
      </c>
      <c r="D873" s="6" t="s">
        <v>47</v>
      </c>
      <c r="E873" s="6" t="s">
        <v>48</v>
      </c>
      <c r="F873" s="6">
        <v>1872</v>
      </c>
      <c r="G873" s="6">
        <v>187138.26</v>
      </c>
      <c r="H873" s="7">
        <v>40996</v>
      </c>
      <c r="I873" s="6" t="s">
        <v>28</v>
      </c>
      <c r="J873" s="6" t="s">
        <v>1799</v>
      </c>
      <c r="K873" s="6" t="s">
        <v>30</v>
      </c>
      <c r="L873" s="6" t="s">
        <v>31</v>
      </c>
      <c r="M873" s="6" t="s">
        <v>32</v>
      </c>
      <c r="N873" s="6">
        <v>4.32</v>
      </c>
      <c r="O873" s="6">
        <v>76</v>
      </c>
    </row>
    <row r="874" spans="1:15" ht="14.25" customHeight="1" x14ac:dyDescent="0.3">
      <c r="A874" s="6" t="s">
        <v>1800</v>
      </c>
      <c r="B874" s="6">
        <v>44</v>
      </c>
      <c r="C874" s="6" t="s">
        <v>25</v>
      </c>
      <c r="D874" s="6" t="s">
        <v>26</v>
      </c>
      <c r="E874" s="6" t="s">
        <v>48</v>
      </c>
      <c r="F874" s="6">
        <v>1873</v>
      </c>
      <c r="G874" s="6">
        <v>171734.08</v>
      </c>
      <c r="H874" s="7">
        <v>41434</v>
      </c>
      <c r="I874" s="6" t="s">
        <v>35</v>
      </c>
      <c r="J874" s="6" t="s">
        <v>1801</v>
      </c>
      <c r="K874" s="6" t="s">
        <v>37</v>
      </c>
      <c r="L874" s="6" t="s">
        <v>38</v>
      </c>
      <c r="M874" s="6" t="s">
        <v>39</v>
      </c>
      <c r="N874" s="6">
        <v>4.26</v>
      </c>
      <c r="O874" s="6">
        <v>188</v>
      </c>
    </row>
    <row r="875" spans="1:15" ht="14.25" customHeight="1" x14ac:dyDescent="0.3">
      <c r="A875" s="6" t="s">
        <v>1802</v>
      </c>
      <c r="B875" s="6">
        <v>33</v>
      </c>
      <c r="C875" s="6" t="s">
        <v>25</v>
      </c>
      <c r="D875" s="6" t="s">
        <v>26</v>
      </c>
      <c r="E875" s="6" t="s">
        <v>18</v>
      </c>
      <c r="F875" s="6">
        <v>1874</v>
      </c>
      <c r="G875" s="6">
        <v>142592.78</v>
      </c>
      <c r="H875" s="7">
        <v>36736</v>
      </c>
      <c r="I875" s="6" t="s">
        <v>41</v>
      </c>
      <c r="J875" s="6" t="s">
        <v>1803</v>
      </c>
      <c r="K875" s="6" t="s">
        <v>43</v>
      </c>
      <c r="L875" s="6" t="s">
        <v>44</v>
      </c>
      <c r="M875" s="6" t="s">
        <v>45</v>
      </c>
      <c r="N875" s="6">
        <v>2.63</v>
      </c>
      <c r="O875" s="6">
        <v>107</v>
      </c>
    </row>
    <row r="876" spans="1:15" ht="14.25" customHeight="1" x14ac:dyDescent="0.3">
      <c r="A876" s="6" t="s">
        <v>1804</v>
      </c>
      <c r="B876" s="6">
        <v>33</v>
      </c>
      <c r="C876" s="6" t="s">
        <v>62</v>
      </c>
      <c r="D876" s="6" t="s">
        <v>47</v>
      </c>
      <c r="E876" s="6" t="s">
        <v>18</v>
      </c>
      <c r="F876" s="6">
        <v>1875</v>
      </c>
      <c r="G876" s="6">
        <v>182155.17</v>
      </c>
      <c r="H876" s="7">
        <v>44799</v>
      </c>
      <c r="I876" s="6" t="s">
        <v>49</v>
      </c>
      <c r="J876" s="6" t="s">
        <v>1805</v>
      </c>
      <c r="K876" s="6" t="s">
        <v>51</v>
      </c>
      <c r="L876" s="6" t="s">
        <v>52</v>
      </c>
      <c r="M876" s="6" t="s">
        <v>53</v>
      </c>
      <c r="N876" s="6">
        <v>1.71</v>
      </c>
      <c r="O876" s="6">
        <v>13</v>
      </c>
    </row>
    <row r="877" spans="1:15" ht="14.25" customHeight="1" x14ac:dyDescent="0.3">
      <c r="A877" s="6" t="s">
        <v>1806</v>
      </c>
      <c r="B877" s="6">
        <v>55</v>
      </c>
      <c r="C877" s="6" t="s">
        <v>25</v>
      </c>
      <c r="D877" s="6" t="s">
        <v>55</v>
      </c>
      <c r="E877" s="6" t="s">
        <v>27</v>
      </c>
      <c r="F877" s="6">
        <v>1876</v>
      </c>
      <c r="G877" s="6">
        <v>148784.79</v>
      </c>
      <c r="H877" s="7">
        <v>39503</v>
      </c>
      <c r="I877" s="6" t="s">
        <v>56</v>
      </c>
      <c r="J877" s="6" t="s">
        <v>1807</v>
      </c>
      <c r="K877" s="6" t="s">
        <v>21</v>
      </c>
      <c r="L877" s="6" t="s">
        <v>22</v>
      </c>
      <c r="M877" s="6" t="s">
        <v>23</v>
      </c>
      <c r="N877" s="6">
        <v>2.81</v>
      </c>
      <c r="O877" s="6">
        <v>120</v>
      </c>
    </row>
    <row r="878" spans="1:15" ht="14.25" customHeight="1" x14ac:dyDescent="0.3">
      <c r="A878" s="6" t="s">
        <v>1808</v>
      </c>
      <c r="B878" s="6">
        <v>29</v>
      </c>
      <c r="C878" s="6" t="s">
        <v>25</v>
      </c>
      <c r="D878" s="6" t="s">
        <v>55</v>
      </c>
      <c r="E878" s="6" t="s">
        <v>18</v>
      </c>
      <c r="F878" s="6">
        <v>1877</v>
      </c>
      <c r="G878" s="6">
        <v>71435.12</v>
      </c>
      <c r="H878" s="7">
        <v>40343</v>
      </c>
      <c r="I878" s="6" t="s">
        <v>63</v>
      </c>
      <c r="J878" s="6" t="s">
        <v>1809</v>
      </c>
      <c r="K878" s="6" t="s">
        <v>30</v>
      </c>
      <c r="L878" s="6" t="s">
        <v>31</v>
      </c>
      <c r="M878" s="6" t="s">
        <v>32</v>
      </c>
      <c r="N878" s="6">
        <v>2.15</v>
      </c>
      <c r="O878" s="6">
        <v>56</v>
      </c>
    </row>
    <row r="879" spans="1:15" ht="14.25" customHeight="1" x14ac:dyDescent="0.3">
      <c r="A879" s="6" t="s">
        <v>1810</v>
      </c>
      <c r="B879" s="6">
        <v>48</v>
      </c>
      <c r="C879" s="6" t="s">
        <v>16</v>
      </c>
      <c r="D879" s="6" t="s">
        <v>69</v>
      </c>
      <c r="E879" s="6" t="s">
        <v>27</v>
      </c>
      <c r="F879" s="6">
        <v>1878</v>
      </c>
      <c r="G879" s="6">
        <v>95157.73</v>
      </c>
      <c r="H879" s="7">
        <v>39655</v>
      </c>
      <c r="I879" s="6" t="s">
        <v>66</v>
      </c>
      <c r="J879" s="6" t="s">
        <v>1811</v>
      </c>
      <c r="K879" s="6" t="s">
        <v>37</v>
      </c>
      <c r="L879" s="6" t="s">
        <v>38</v>
      </c>
      <c r="M879" s="6" t="s">
        <v>39</v>
      </c>
      <c r="N879" s="6">
        <v>3.04</v>
      </c>
      <c r="O879" s="6">
        <v>42</v>
      </c>
    </row>
    <row r="880" spans="1:15" ht="14.25" customHeight="1" x14ac:dyDescent="0.3">
      <c r="A880" s="6" t="s">
        <v>1812</v>
      </c>
      <c r="B880" s="6">
        <v>29</v>
      </c>
      <c r="C880" s="6" t="s">
        <v>16</v>
      </c>
      <c r="D880" s="6" t="s">
        <v>47</v>
      </c>
      <c r="E880" s="6" t="s">
        <v>80</v>
      </c>
      <c r="F880" s="6">
        <v>1879</v>
      </c>
      <c r="G880" s="6">
        <v>72172.27</v>
      </c>
      <c r="H880" s="7">
        <v>42810</v>
      </c>
      <c r="I880" s="6" t="s">
        <v>70</v>
      </c>
      <c r="J880" s="6" t="s">
        <v>1813</v>
      </c>
      <c r="K880" s="6" t="s">
        <v>43</v>
      </c>
      <c r="L880" s="6" t="s">
        <v>44</v>
      </c>
      <c r="M880" s="6" t="s">
        <v>45</v>
      </c>
      <c r="N880" s="6">
        <v>2.68</v>
      </c>
      <c r="O880" s="6">
        <v>51</v>
      </c>
    </row>
    <row r="881" spans="1:15" ht="14.25" customHeight="1" x14ac:dyDescent="0.3">
      <c r="A881" s="6" t="s">
        <v>1814</v>
      </c>
      <c r="B881" s="6">
        <v>54</v>
      </c>
      <c r="C881" s="6" t="s">
        <v>25</v>
      </c>
      <c r="D881" s="6" t="s">
        <v>17</v>
      </c>
      <c r="E881" s="6" t="s">
        <v>18</v>
      </c>
      <c r="F881" s="6">
        <v>1880</v>
      </c>
      <c r="G881" s="6">
        <v>65759.850000000006</v>
      </c>
      <c r="H881" s="7">
        <v>36731</v>
      </c>
      <c r="I881" s="6" t="s">
        <v>73</v>
      </c>
      <c r="J881" s="6" t="s">
        <v>1815</v>
      </c>
      <c r="K881" s="6" t="s">
        <v>51</v>
      </c>
      <c r="L881" s="6" t="s">
        <v>52</v>
      </c>
      <c r="M881" s="6" t="s">
        <v>53</v>
      </c>
      <c r="N881" s="6">
        <v>3.2</v>
      </c>
      <c r="O881" s="6">
        <v>120</v>
      </c>
    </row>
    <row r="882" spans="1:15" ht="14.25" customHeight="1" x14ac:dyDescent="0.3">
      <c r="A882" s="6" t="s">
        <v>1816</v>
      </c>
      <c r="B882" s="6">
        <v>58</v>
      </c>
      <c r="C882" s="6" t="s">
        <v>62</v>
      </c>
      <c r="D882" s="6" t="s">
        <v>17</v>
      </c>
      <c r="E882" s="6" t="s">
        <v>27</v>
      </c>
      <c r="F882" s="6">
        <v>1881</v>
      </c>
      <c r="G882" s="6">
        <v>140162.28</v>
      </c>
      <c r="H882" s="7">
        <v>38576</v>
      </c>
      <c r="I882" s="6" t="s">
        <v>19</v>
      </c>
      <c r="J882" s="6" t="s">
        <v>1817</v>
      </c>
      <c r="K882" s="6" t="s">
        <v>21</v>
      </c>
      <c r="L882" s="6" t="s">
        <v>22</v>
      </c>
      <c r="M882" s="6" t="s">
        <v>23</v>
      </c>
      <c r="N882" s="6">
        <v>3.58</v>
      </c>
      <c r="O882" s="6">
        <v>155</v>
      </c>
    </row>
    <row r="883" spans="1:15" ht="14.25" customHeight="1" x14ac:dyDescent="0.3">
      <c r="A883" s="6" t="s">
        <v>1818</v>
      </c>
      <c r="B883" s="6">
        <v>40</v>
      </c>
      <c r="C883" s="6" t="s">
        <v>62</v>
      </c>
      <c r="D883" s="6" t="s">
        <v>26</v>
      </c>
      <c r="E883" s="6" t="s">
        <v>48</v>
      </c>
      <c r="F883" s="6">
        <v>1882</v>
      </c>
      <c r="G883" s="6">
        <v>78631.05</v>
      </c>
      <c r="H883" s="7">
        <v>40713</v>
      </c>
      <c r="I883" s="6" t="s">
        <v>28</v>
      </c>
      <c r="J883" s="6" t="s">
        <v>1819</v>
      </c>
      <c r="K883" s="6" t="s">
        <v>30</v>
      </c>
      <c r="L883" s="6" t="s">
        <v>31</v>
      </c>
      <c r="M883" s="6" t="s">
        <v>32</v>
      </c>
      <c r="N883" s="6">
        <v>2.0099999999999998</v>
      </c>
      <c r="O883" s="6">
        <v>91</v>
      </c>
    </row>
    <row r="884" spans="1:15" ht="14.25" customHeight="1" x14ac:dyDescent="0.3">
      <c r="A884" s="6" t="s">
        <v>1820</v>
      </c>
      <c r="B884" s="6">
        <v>45</v>
      </c>
      <c r="C884" s="6" t="s">
        <v>25</v>
      </c>
      <c r="D884" s="6" t="s">
        <v>47</v>
      </c>
      <c r="E884" s="6" t="s">
        <v>80</v>
      </c>
      <c r="F884" s="6">
        <v>1883</v>
      </c>
      <c r="G884" s="6">
        <v>188938.2</v>
      </c>
      <c r="H884" s="7">
        <v>39790</v>
      </c>
      <c r="I884" s="6" t="s">
        <v>35</v>
      </c>
      <c r="J884" s="6" t="s">
        <v>1821</v>
      </c>
      <c r="K884" s="6" t="s">
        <v>37</v>
      </c>
      <c r="L884" s="6" t="s">
        <v>38</v>
      </c>
      <c r="M884" s="6" t="s">
        <v>39</v>
      </c>
      <c r="N884" s="6">
        <v>2.74</v>
      </c>
      <c r="O884" s="6">
        <v>138</v>
      </c>
    </row>
    <row r="885" spans="1:15" ht="14.25" customHeight="1" x14ac:dyDescent="0.3">
      <c r="A885" s="6" t="s">
        <v>1822</v>
      </c>
      <c r="B885" s="6">
        <v>43</v>
      </c>
      <c r="C885" s="6" t="s">
        <v>25</v>
      </c>
      <c r="D885" s="6" t="s">
        <v>26</v>
      </c>
      <c r="E885" s="6" t="s">
        <v>18</v>
      </c>
      <c r="F885" s="6">
        <v>1884</v>
      </c>
      <c r="G885" s="6">
        <v>137858.46</v>
      </c>
      <c r="H885" s="7">
        <v>43414</v>
      </c>
      <c r="I885" s="6" t="s">
        <v>41</v>
      </c>
      <c r="J885" s="6" t="s">
        <v>1823</v>
      </c>
      <c r="K885" s="6" t="s">
        <v>43</v>
      </c>
      <c r="L885" s="6" t="s">
        <v>44</v>
      </c>
      <c r="M885" s="6" t="s">
        <v>45</v>
      </c>
      <c r="N885" s="6">
        <v>3.17</v>
      </c>
      <c r="O885" s="6">
        <v>132</v>
      </c>
    </row>
    <row r="886" spans="1:15" ht="14.25" customHeight="1" x14ac:dyDescent="0.3">
      <c r="A886" s="6" t="s">
        <v>1824</v>
      </c>
      <c r="B886" s="6">
        <v>24</v>
      </c>
      <c r="C886" s="6" t="s">
        <v>62</v>
      </c>
      <c r="D886" s="6" t="s">
        <v>69</v>
      </c>
      <c r="E886" s="6" t="s">
        <v>34</v>
      </c>
      <c r="F886" s="6">
        <v>1885</v>
      </c>
      <c r="G886" s="6">
        <v>88089.32</v>
      </c>
      <c r="H886" s="7">
        <v>39832</v>
      </c>
      <c r="I886" s="6" t="s">
        <v>49</v>
      </c>
      <c r="J886" s="6" t="s">
        <v>1825</v>
      </c>
      <c r="K886" s="6" t="s">
        <v>51</v>
      </c>
      <c r="L886" s="6" t="s">
        <v>52</v>
      </c>
      <c r="M886" s="6" t="s">
        <v>53</v>
      </c>
      <c r="N886" s="6">
        <v>1.62</v>
      </c>
      <c r="O886" s="6">
        <v>145</v>
      </c>
    </row>
    <row r="887" spans="1:15" ht="14.25" customHeight="1" x14ac:dyDescent="0.3">
      <c r="A887" s="6" t="s">
        <v>1826</v>
      </c>
      <c r="B887" s="6">
        <v>30</v>
      </c>
      <c r="C887" s="6" t="s">
        <v>16</v>
      </c>
      <c r="D887" s="6" t="s">
        <v>26</v>
      </c>
      <c r="E887" s="6" t="s">
        <v>80</v>
      </c>
      <c r="F887" s="6">
        <v>1886</v>
      </c>
      <c r="G887" s="6">
        <v>133587.35999999999</v>
      </c>
      <c r="H887" s="7">
        <v>41667</v>
      </c>
      <c r="I887" s="6" t="s">
        <v>56</v>
      </c>
      <c r="J887" s="6" t="s">
        <v>1827</v>
      </c>
      <c r="K887" s="6" t="s">
        <v>21</v>
      </c>
      <c r="L887" s="6" t="s">
        <v>22</v>
      </c>
      <c r="M887" s="6" t="s">
        <v>23</v>
      </c>
      <c r="N887" s="6">
        <v>2.77</v>
      </c>
      <c r="O887" s="6">
        <v>194</v>
      </c>
    </row>
    <row r="888" spans="1:15" ht="14.25" customHeight="1" x14ac:dyDescent="0.3">
      <c r="A888" s="6" t="s">
        <v>1828</v>
      </c>
      <c r="B888" s="6">
        <v>32</v>
      </c>
      <c r="C888" s="6" t="s">
        <v>16</v>
      </c>
      <c r="D888" s="6" t="s">
        <v>69</v>
      </c>
      <c r="E888" s="6" t="s">
        <v>80</v>
      </c>
      <c r="F888" s="6">
        <v>1887</v>
      </c>
      <c r="G888" s="6">
        <v>156218.07999999999</v>
      </c>
      <c r="H888" s="7">
        <v>36899</v>
      </c>
      <c r="I888" s="6" t="s">
        <v>63</v>
      </c>
      <c r="J888" s="6" t="s">
        <v>1829</v>
      </c>
      <c r="K888" s="6" t="s">
        <v>30</v>
      </c>
      <c r="L888" s="6" t="s">
        <v>31</v>
      </c>
      <c r="M888" s="6" t="s">
        <v>32</v>
      </c>
      <c r="N888" s="6">
        <v>2.2999999999999998</v>
      </c>
      <c r="O888" s="6">
        <v>110</v>
      </c>
    </row>
    <row r="889" spans="1:15" ht="14.25" customHeight="1" x14ac:dyDescent="0.3">
      <c r="A889" s="6" t="s">
        <v>1830</v>
      </c>
      <c r="B889" s="6">
        <v>27</v>
      </c>
      <c r="C889" s="6" t="s">
        <v>62</v>
      </c>
      <c r="D889" s="6" t="s">
        <v>47</v>
      </c>
      <c r="E889" s="6" t="s">
        <v>27</v>
      </c>
      <c r="F889" s="6">
        <v>1888</v>
      </c>
      <c r="G889" s="6">
        <v>120260.5</v>
      </c>
      <c r="H889" s="7">
        <v>40133</v>
      </c>
      <c r="I889" s="6" t="s">
        <v>66</v>
      </c>
      <c r="J889" s="6" t="s">
        <v>1831</v>
      </c>
      <c r="K889" s="6" t="s">
        <v>37</v>
      </c>
      <c r="L889" s="6" t="s">
        <v>38</v>
      </c>
      <c r="M889" s="6" t="s">
        <v>39</v>
      </c>
      <c r="N889" s="6">
        <v>4.03</v>
      </c>
      <c r="O889" s="6">
        <v>170</v>
      </c>
    </row>
    <row r="890" spans="1:15" ht="14.25" customHeight="1" x14ac:dyDescent="0.3">
      <c r="A890" s="6" t="s">
        <v>1832</v>
      </c>
      <c r="B890" s="6">
        <v>60</v>
      </c>
      <c r="C890" s="6" t="s">
        <v>25</v>
      </c>
      <c r="D890" s="6" t="s">
        <v>69</v>
      </c>
      <c r="E890" s="6" t="s">
        <v>18</v>
      </c>
      <c r="F890" s="6">
        <v>1889</v>
      </c>
      <c r="G890" s="6">
        <v>185773.04</v>
      </c>
      <c r="H890" s="7">
        <v>41727</v>
      </c>
      <c r="I890" s="6" t="s">
        <v>70</v>
      </c>
      <c r="J890" s="6" t="s">
        <v>1833</v>
      </c>
      <c r="K890" s="6" t="s">
        <v>43</v>
      </c>
      <c r="L890" s="6" t="s">
        <v>44</v>
      </c>
      <c r="M890" s="6" t="s">
        <v>45</v>
      </c>
      <c r="N890" s="6">
        <v>2.4700000000000002</v>
      </c>
      <c r="O890" s="6">
        <v>161</v>
      </c>
    </row>
    <row r="891" spans="1:15" ht="14.25" customHeight="1" x14ac:dyDescent="0.3">
      <c r="A891" s="6" t="s">
        <v>1834</v>
      </c>
      <c r="B891" s="6">
        <v>60</v>
      </c>
      <c r="C891" s="6" t="s">
        <v>16</v>
      </c>
      <c r="D891" s="6" t="s">
        <v>26</v>
      </c>
      <c r="E891" s="6" t="s">
        <v>27</v>
      </c>
      <c r="F891" s="6">
        <v>1890</v>
      </c>
      <c r="G891" s="6">
        <v>135617.43</v>
      </c>
      <c r="H891" s="7">
        <v>44363</v>
      </c>
      <c r="I891" s="6" t="s">
        <v>73</v>
      </c>
      <c r="J891" s="6" t="s">
        <v>1835</v>
      </c>
      <c r="K891" s="6" t="s">
        <v>51</v>
      </c>
      <c r="L891" s="6" t="s">
        <v>52</v>
      </c>
      <c r="M891" s="6" t="s">
        <v>53</v>
      </c>
      <c r="N891" s="6">
        <v>1.79</v>
      </c>
      <c r="O891" s="6">
        <v>186</v>
      </c>
    </row>
    <row r="892" spans="1:15" ht="14.25" customHeight="1" x14ac:dyDescent="0.3">
      <c r="A892" s="6" t="s">
        <v>1836</v>
      </c>
      <c r="B892" s="6">
        <v>58</v>
      </c>
      <c r="C892" s="6" t="s">
        <v>62</v>
      </c>
      <c r="D892" s="6" t="s">
        <v>47</v>
      </c>
      <c r="E892" s="6" t="s">
        <v>80</v>
      </c>
      <c r="F892" s="6">
        <v>1891</v>
      </c>
      <c r="G892" s="6">
        <v>134543.37</v>
      </c>
      <c r="H892" s="7">
        <v>41360</v>
      </c>
      <c r="I892" s="6" t="s">
        <v>19</v>
      </c>
      <c r="J892" s="6" t="s">
        <v>1837</v>
      </c>
      <c r="K892" s="6" t="s">
        <v>21</v>
      </c>
      <c r="L892" s="6" t="s">
        <v>22</v>
      </c>
      <c r="M892" s="6" t="s">
        <v>23</v>
      </c>
      <c r="N892" s="6">
        <v>1.87</v>
      </c>
      <c r="O892" s="6">
        <v>173</v>
      </c>
    </row>
    <row r="893" spans="1:15" ht="14.25" customHeight="1" x14ac:dyDescent="0.3">
      <c r="A893" s="6" t="s">
        <v>1838</v>
      </c>
      <c r="B893" s="6">
        <v>23</v>
      </c>
      <c r="C893" s="6" t="s">
        <v>25</v>
      </c>
      <c r="D893" s="6" t="s">
        <v>26</v>
      </c>
      <c r="E893" s="6" t="s">
        <v>48</v>
      </c>
      <c r="F893" s="6">
        <v>1892</v>
      </c>
      <c r="G893" s="6">
        <v>81548.740000000005</v>
      </c>
      <c r="H893" s="7">
        <v>38729</v>
      </c>
      <c r="I893" s="6" t="s">
        <v>28</v>
      </c>
      <c r="J893" s="6" t="s">
        <v>1839</v>
      </c>
      <c r="K893" s="6" t="s">
        <v>30</v>
      </c>
      <c r="L893" s="6" t="s">
        <v>31</v>
      </c>
      <c r="M893" s="6" t="s">
        <v>32</v>
      </c>
      <c r="N893" s="6">
        <v>2.57</v>
      </c>
      <c r="O893" s="6">
        <v>116</v>
      </c>
    </row>
    <row r="894" spans="1:15" ht="14.25" customHeight="1" x14ac:dyDescent="0.3">
      <c r="A894" s="6" t="s">
        <v>1840</v>
      </c>
      <c r="B894" s="6">
        <v>58</v>
      </c>
      <c r="C894" s="6" t="s">
        <v>25</v>
      </c>
      <c r="D894" s="6" t="s">
        <v>17</v>
      </c>
      <c r="E894" s="6" t="s">
        <v>18</v>
      </c>
      <c r="F894" s="6">
        <v>1893</v>
      </c>
      <c r="G894" s="6">
        <v>63105.98</v>
      </c>
      <c r="H894" s="7">
        <v>38228</v>
      </c>
      <c r="I894" s="6" t="s">
        <v>35</v>
      </c>
      <c r="J894" s="6" t="s">
        <v>1841</v>
      </c>
      <c r="K894" s="6" t="s">
        <v>37</v>
      </c>
      <c r="L894" s="6" t="s">
        <v>38</v>
      </c>
      <c r="M894" s="6" t="s">
        <v>39</v>
      </c>
      <c r="N894" s="6">
        <v>3.1</v>
      </c>
      <c r="O894" s="6">
        <v>87</v>
      </c>
    </row>
    <row r="895" spans="1:15" ht="14.25" customHeight="1" x14ac:dyDescent="0.3">
      <c r="A895" s="6" t="s">
        <v>1842</v>
      </c>
      <c r="B895" s="6">
        <v>27</v>
      </c>
      <c r="C895" s="6" t="s">
        <v>16</v>
      </c>
      <c r="D895" s="6" t="s">
        <v>55</v>
      </c>
      <c r="E895" s="6" t="s">
        <v>18</v>
      </c>
      <c r="F895" s="6">
        <v>1894</v>
      </c>
      <c r="G895" s="6">
        <v>165066.71</v>
      </c>
      <c r="H895" s="7">
        <v>43940</v>
      </c>
      <c r="I895" s="6" t="s">
        <v>41</v>
      </c>
      <c r="J895" s="6" t="s">
        <v>1843</v>
      </c>
      <c r="K895" s="6" t="s">
        <v>43</v>
      </c>
      <c r="L895" s="6" t="s">
        <v>44</v>
      </c>
      <c r="M895" s="6" t="s">
        <v>45</v>
      </c>
      <c r="N895" s="6">
        <v>3.06</v>
      </c>
      <c r="O895" s="6">
        <v>185</v>
      </c>
    </row>
    <row r="896" spans="1:15" ht="14.25" customHeight="1" x14ac:dyDescent="0.3">
      <c r="A896" s="6" t="s">
        <v>1844</v>
      </c>
      <c r="B896" s="6">
        <v>27</v>
      </c>
      <c r="C896" s="6" t="s">
        <v>25</v>
      </c>
      <c r="D896" s="6" t="s">
        <v>69</v>
      </c>
      <c r="E896" s="6" t="s">
        <v>18</v>
      </c>
      <c r="F896" s="6">
        <v>1895</v>
      </c>
      <c r="G896" s="6">
        <v>128947.09</v>
      </c>
      <c r="H896" s="7">
        <v>40119</v>
      </c>
      <c r="I896" s="6" t="s">
        <v>49</v>
      </c>
      <c r="J896" s="6" t="s">
        <v>1845</v>
      </c>
      <c r="K896" s="6" t="s">
        <v>51</v>
      </c>
      <c r="L896" s="6" t="s">
        <v>52</v>
      </c>
      <c r="M896" s="6" t="s">
        <v>53</v>
      </c>
      <c r="N896" s="6">
        <v>2.78</v>
      </c>
      <c r="O896" s="6">
        <v>108</v>
      </c>
    </row>
    <row r="897" spans="1:15" ht="14.25" customHeight="1" x14ac:dyDescent="0.3">
      <c r="A897" s="6" t="s">
        <v>1846</v>
      </c>
      <c r="B897" s="6">
        <v>60</v>
      </c>
      <c r="C897" s="6" t="s">
        <v>62</v>
      </c>
      <c r="D897" s="6" t="s">
        <v>69</v>
      </c>
      <c r="E897" s="6" t="s">
        <v>48</v>
      </c>
      <c r="F897" s="6">
        <v>1896</v>
      </c>
      <c r="G897" s="6">
        <v>113975.28</v>
      </c>
      <c r="H897" s="7">
        <v>41555</v>
      </c>
      <c r="I897" s="6" t="s">
        <v>56</v>
      </c>
      <c r="J897" s="6" t="s">
        <v>1847</v>
      </c>
      <c r="K897" s="6" t="s">
        <v>21</v>
      </c>
      <c r="L897" s="6" t="s">
        <v>22</v>
      </c>
      <c r="M897" s="6" t="s">
        <v>23</v>
      </c>
      <c r="N897" s="6">
        <v>3.82</v>
      </c>
      <c r="O897" s="6">
        <v>6</v>
      </c>
    </row>
    <row r="898" spans="1:15" ht="14.25" customHeight="1" x14ac:dyDescent="0.3">
      <c r="A898" s="6" t="s">
        <v>1848</v>
      </c>
      <c r="B898" s="6">
        <v>57</v>
      </c>
      <c r="C898" s="6" t="s">
        <v>62</v>
      </c>
      <c r="D898" s="6" t="s">
        <v>55</v>
      </c>
      <c r="E898" s="6" t="s">
        <v>80</v>
      </c>
      <c r="F898" s="6">
        <v>1897</v>
      </c>
      <c r="G898" s="6">
        <v>167239.96</v>
      </c>
      <c r="H898" s="7">
        <v>44700</v>
      </c>
      <c r="I898" s="6" t="s">
        <v>63</v>
      </c>
      <c r="J898" s="6" t="s">
        <v>1849</v>
      </c>
      <c r="K898" s="6" t="s">
        <v>30</v>
      </c>
      <c r="L898" s="6" t="s">
        <v>31</v>
      </c>
      <c r="M898" s="6" t="s">
        <v>32</v>
      </c>
      <c r="N898" s="6">
        <v>2.64</v>
      </c>
      <c r="O898" s="6">
        <v>158</v>
      </c>
    </row>
    <row r="899" spans="1:15" ht="14.25" customHeight="1" x14ac:dyDescent="0.3">
      <c r="A899" s="6" t="s">
        <v>1850</v>
      </c>
      <c r="B899" s="6">
        <v>46</v>
      </c>
      <c r="C899" s="6" t="s">
        <v>62</v>
      </c>
      <c r="D899" s="6" t="s">
        <v>69</v>
      </c>
      <c r="E899" s="6" t="s">
        <v>34</v>
      </c>
      <c r="F899" s="6">
        <v>1898</v>
      </c>
      <c r="G899" s="6">
        <v>110217.22</v>
      </c>
      <c r="H899" s="7">
        <v>38605</v>
      </c>
      <c r="I899" s="6" t="s">
        <v>66</v>
      </c>
      <c r="J899" s="6" t="s">
        <v>1851</v>
      </c>
      <c r="K899" s="6" t="s">
        <v>37</v>
      </c>
      <c r="L899" s="6" t="s">
        <v>38</v>
      </c>
      <c r="M899" s="6" t="s">
        <v>39</v>
      </c>
      <c r="N899" s="6">
        <v>1.52</v>
      </c>
      <c r="O899" s="6">
        <v>107</v>
      </c>
    </row>
    <row r="900" spans="1:15" ht="14.25" customHeight="1" x14ac:dyDescent="0.3">
      <c r="A900" s="6" t="s">
        <v>1852</v>
      </c>
      <c r="B900" s="6">
        <v>37</v>
      </c>
      <c r="C900" s="6" t="s">
        <v>62</v>
      </c>
      <c r="D900" s="6" t="s">
        <v>69</v>
      </c>
      <c r="E900" s="6" t="s">
        <v>80</v>
      </c>
      <c r="F900" s="6">
        <v>1899</v>
      </c>
      <c r="G900" s="6">
        <v>138160.42000000001</v>
      </c>
      <c r="H900" s="7">
        <v>37218</v>
      </c>
      <c r="I900" s="6" t="s">
        <v>70</v>
      </c>
      <c r="J900" s="6" t="s">
        <v>1853</v>
      </c>
      <c r="K900" s="6" t="s">
        <v>43</v>
      </c>
      <c r="L900" s="6" t="s">
        <v>44</v>
      </c>
      <c r="M900" s="6" t="s">
        <v>45</v>
      </c>
      <c r="N900" s="6">
        <v>1.58</v>
      </c>
      <c r="O900" s="6">
        <v>89</v>
      </c>
    </row>
    <row r="901" spans="1:15" ht="14.25" customHeight="1" x14ac:dyDescent="0.3">
      <c r="A901" s="6" t="s">
        <v>1854</v>
      </c>
      <c r="B901" s="6">
        <v>42</v>
      </c>
      <c r="C901" s="6" t="s">
        <v>25</v>
      </c>
      <c r="D901" s="6" t="s">
        <v>17</v>
      </c>
      <c r="E901" s="6" t="s">
        <v>48</v>
      </c>
      <c r="F901" s="6">
        <v>1900</v>
      </c>
      <c r="G901" s="6">
        <v>67064.23</v>
      </c>
      <c r="H901" s="7">
        <v>43714</v>
      </c>
      <c r="I901" s="6" t="s">
        <v>73</v>
      </c>
      <c r="J901" s="6" t="s">
        <v>1855</v>
      </c>
      <c r="K901" s="6" t="s">
        <v>51</v>
      </c>
      <c r="L901" s="6" t="s">
        <v>52</v>
      </c>
      <c r="M901" s="6" t="s">
        <v>53</v>
      </c>
      <c r="N901" s="6">
        <v>3.7</v>
      </c>
      <c r="O901" s="6">
        <v>146</v>
      </c>
    </row>
    <row r="902" spans="1:15" ht="14.25" customHeight="1" x14ac:dyDescent="0.3">
      <c r="A902" s="6" t="s">
        <v>1856</v>
      </c>
      <c r="B902" s="6">
        <v>31</v>
      </c>
      <c r="C902" s="6" t="s">
        <v>62</v>
      </c>
      <c r="D902" s="6" t="s">
        <v>47</v>
      </c>
      <c r="E902" s="6" t="s">
        <v>27</v>
      </c>
      <c r="F902" s="6">
        <v>1901</v>
      </c>
      <c r="G902" s="6">
        <v>197991.14</v>
      </c>
      <c r="H902" s="7">
        <v>43838</v>
      </c>
      <c r="I902" s="6" t="s">
        <v>19</v>
      </c>
      <c r="J902" s="6" t="s">
        <v>1857</v>
      </c>
      <c r="K902" s="6" t="s">
        <v>21</v>
      </c>
      <c r="L902" s="6" t="s">
        <v>22</v>
      </c>
      <c r="M902" s="6" t="s">
        <v>23</v>
      </c>
      <c r="N902" s="6">
        <v>3.55</v>
      </c>
      <c r="O902" s="6">
        <v>36</v>
      </c>
    </row>
    <row r="903" spans="1:15" ht="14.25" customHeight="1" x14ac:dyDescent="0.3">
      <c r="A903" s="6" t="s">
        <v>1858</v>
      </c>
      <c r="B903" s="6">
        <v>26</v>
      </c>
      <c r="C903" s="6" t="s">
        <v>16</v>
      </c>
      <c r="D903" s="6" t="s">
        <v>69</v>
      </c>
      <c r="E903" s="6" t="s">
        <v>27</v>
      </c>
      <c r="F903" s="6">
        <v>1902</v>
      </c>
      <c r="G903" s="6">
        <v>74654.539999999994</v>
      </c>
      <c r="H903" s="7">
        <v>36572</v>
      </c>
      <c r="I903" s="6" t="s">
        <v>28</v>
      </c>
      <c r="J903" s="6" t="s">
        <v>1859</v>
      </c>
      <c r="K903" s="6" t="s">
        <v>30</v>
      </c>
      <c r="L903" s="6" t="s">
        <v>31</v>
      </c>
      <c r="M903" s="6" t="s">
        <v>32</v>
      </c>
      <c r="N903" s="6">
        <v>3.79</v>
      </c>
      <c r="O903" s="6">
        <v>44</v>
      </c>
    </row>
    <row r="904" spans="1:15" ht="14.25" customHeight="1" x14ac:dyDescent="0.3">
      <c r="A904" s="6" t="s">
        <v>1860</v>
      </c>
      <c r="B904" s="6">
        <v>46</v>
      </c>
      <c r="C904" s="6" t="s">
        <v>25</v>
      </c>
      <c r="D904" s="6" t="s">
        <v>17</v>
      </c>
      <c r="E904" s="6" t="s">
        <v>34</v>
      </c>
      <c r="F904" s="6">
        <v>1903</v>
      </c>
      <c r="G904" s="6">
        <v>75358.789999999994</v>
      </c>
      <c r="H904" s="7">
        <v>36609</v>
      </c>
      <c r="I904" s="6" t="s">
        <v>35</v>
      </c>
      <c r="J904" s="6" t="s">
        <v>1861</v>
      </c>
      <c r="K904" s="6" t="s">
        <v>37</v>
      </c>
      <c r="L904" s="6" t="s">
        <v>38</v>
      </c>
      <c r="M904" s="6" t="s">
        <v>39</v>
      </c>
      <c r="N904" s="6">
        <v>1.79</v>
      </c>
      <c r="O904" s="6">
        <v>180</v>
      </c>
    </row>
    <row r="905" spans="1:15" ht="14.25" customHeight="1" x14ac:dyDescent="0.3">
      <c r="A905" s="6" t="s">
        <v>1862</v>
      </c>
      <c r="B905" s="6">
        <v>52</v>
      </c>
      <c r="C905" s="6" t="s">
        <v>25</v>
      </c>
      <c r="D905" s="6" t="s">
        <v>69</v>
      </c>
      <c r="E905" s="6" t="s">
        <v>27</v>
      </c>
      <c r="F905" s="6">
        <v>1904</v>
      </c>
      <c r="G905" s="6">
        <v>116063.57</v>
      </c>
      <c r="H905" s="7">
        <v>38462</v>
      </c>
      <c r="I905" s="6" t="s">
        <v>41</v>
      </c>
      <c r="J905" s="6" t="s">
        <v>1863</v>
      </c>
      <c r="K905" s="6" t="s">
        <v>43</v>
      </c>
      <c r="L905" s="6" t="s">
        <v>44</v>
      </c>
      <c r="M905" s="6" t="s">
        <v>45</v>
      </c>
      <c r="N905" s="6">
        <v>2.7</v>
      </c>
      <c r="O905" s="6">
        <v>76</v>
      </c>
    </row>
    <row r="906" spans="1:15" ht="14.25" customHeight="1" x14ac:dyDescent="0.3">
      <c r="A906" s="6" t="s">
        <v>1864</v>
      </c>
      <c r="B906" s="6">
        <v>24</v>
      </c>
      <c r="C906" s="6" t="s">
        <v>25</v>
      </c>
      <c r="D906" s="6" t="s">
        <v>47</v>
      </c>
      <c r="E906" s="6" t="s">
        <v>48</v>
      </c>
      <c r="F906" s="6">
        <v>1905</v>
      </c>
      <c r="G906" s="6">
        <v>88789.759999999995</v>
      </c>
      <c r="H906" s="7">
        <v>37619</v>
      </c>
      <c r="I906" s="6" t="s">
        <v>49</v>
      </c>
      <c r="J906" s="6" t="s">
        <v>1865</v>
      </c>
      <c r="K906" s="6" t="s">
        <v>51</v>
      </c>
      <c r="L906" s="6" t="s">
        <v>52</v>
      </c>
      <c r="M906" s="6" t="s">
        <v>53</v>
      </c>
      <c r="N906" s="6">
        <v>1.78</v>
      </c>
      <c r="O906" s="6">
        <v>192</v>
      </c>
    </row>
    <row r="907" spans="1:15" ht="14.25" customHeight="1" x14ac:dyDescent="0.3">
      <c r="A907" s="6" t="s">
        <v>1866</v>
      </c>
      <c r="B907" s="6">
        <v>41</v>
      </c>
      <c r="C907" s="6" t="s">
        <v>62</v>
      </c>
      <c r="D907" s="6" t="s">
        <v>17</v>
      </c>
      <c r="E907" s="6" t="s">
        <v>34</v>
      </c>
      <c r="F907" s="6">
        <v>1906</v>
      </c>
      <c r="G907" s="6">
        <v>144437.32</v>
      </c>
      <c r="H907" s="7">
        <v>44480</v>
      </c>
      <c r="I907" s="6" t="s">
        <v>56</v>
      </c>
      <c r="J907" s="6" t="s">
        <v>1867</v>
      </c>
      <c r="K907" s="6" t="s">
        <v>21</v>
      </c>
      <c r="L907" s="6" t="s">
        <v>22</v>
      </c>
      <c r="M907" s="6" t="s">
        <v>23</v>
      </c>
      <c r="N907" s="6">
        <v>2.23</v>
      </c>
      <c r="O907" s="6">
        <v>185</v>
      </c>
    </row>
    <row r="908" spans="1:15" ht="14.25" customHeight="1" x14ac:dyDescent="0.3">
      <c r="A908" s="6" t="s">
        <v>1868</v>
      </c>
      <c r="B908" s="6">
        <v>25</v>
      </c>
      <c r="C908" s="6" t="s">
        <v>25</v>
      </c>
      <c r="D908" s="6" t="s">
        <v>69</v>
      </c>
      <c r="E908" s="6" t="s">
        <v>48</v>
      </c>
      <c r="F908" s="6">
        <v>1907</v>
      </c>
      <c r="G908" s="6">
        <v>51943.85</v>
      </c>
      <c r="H908" s="7">
        <v>37095</v>
      </c>
      <c r="I908" s="6" t="s">
        <v>63</v>
      </c>
      <c r="J908" s="6" t="s">
        <v>1869</v>
      </c>
      <c r="K908" s="6" t="s">
        <v>30</v>
      </c>
      <c r="L908" s="6" t="s">
        <v>31</v>
      </c>
      <c r="M908" s="6" t="s">
        <v>32</v>
      </c>
      <c r="N908" s="6">
        <v>1.93</v>
      </c>
      <c r="O908" s="6">
        <v>148</v>
      </c>
    </row>
    <row r="909" spans="1:15" ht="14.25" customHeight="1" x14ac:dyDescent="0.3">
      <c r="A909" s="6" t="s">
        <v>1870</v>
      </c>
      <c r="B909" s="6">
        <v>35</v>
      </c>
      <c r="C909" s="6" t="s">
        <v>62</v>
      </c>
      <c r="D909" s="6" t="s">
        <v>17</v>
      </c>
      <c r="E909" s="6" t="s">
        <v>18</v>
      </c>
      <c r="F909" s="6">
        <v>1908</v>
      </c>
      <c r="G909" s="6">
        <v>129375.61</v>
      </c>
      <c r="H909" s="7">
        <v>40184</v>
      </c>
      <c r="I909" s="6" t="s">
        <v>66</v>
      </c>
      <c r="J909" s="6" t="s">
        <v>1871</v>
      </c>
      <c r="K909" s="6" t="s">
        <v>37</v>
      </c>
      <c r="L909" s="6" t="s">
        <v>38</v>
      </c>
      <c r="M909" s="6" t="s">
        <v>39</v>
      </c>
      <c r="N909" s="6">
        <v>1.1200000000000001</v>
      </c>
      <c r="O909" s="6">
        <v>95</v>
      </c>
    </row>
    <row r="910" spans="1:15" ht="14.25" customHeight="1" x14ac:dyDescent="0.3">
      <c r="A910" s="6" t="s">
        <v>1872</v>
      </c>
      <c r="B910" s="6">
        <v>33</v>
      </c>
      <c r="C910" s="6" t="s">
        <v>62</v>
      </c>
      <c r="D910" s="6" t="s">
        <v>55</v>
      </c>
      <c r="E910" s="6" t="s">
        <v>27</v>
      </c>
      <c r="F910" s="6">
        <v>1909</v>
      </c>
      <c r="G910" s="6">
        <v>172244.81</v>
      </c>
      <c r="H910" s="7">
        <v>40436</v>
      </c>
      <c r="I910" s="6" t="s">
        <v>70</v>
      </c>
      <c r="J910" s="6" t="s">
        <v>1873</v>
      </c>
      <c r="K910" s="6" t="s">
        <v>43</v>
      </c>
      <c r="L910" s="6" t="s">
        <v>44</v>
      </c>
      <c r="M910" s="6" t="s">
        <v>45</v>
      </c>
      <c r="N910" s="6">
        <v>2.93</v>
      </c>
      <c r="O910" s="6">
        <v>149</v>
      </c>
    </row>
    <row r="911" spans="1:15" ht="14.25" customHeight="1" x14ac:dyDescent="0.3">
      <c r="A911" s="6" t="s">
        <v>1874</v>
      </c>
      <c r="B911" s="6">
        <v>35</v>
      </c>
      <c r="C911" s="6" t="s">
        <v>25</v>
      </c>
      <c r="D911" s="6" t="s">
        <v>69</v>
      </c>
      <c r="E911" s="6" t="s">
        <v>18</v>
      </c>
      <c r="F911" s="6">
        <v>1910</v>
      </c>
      <c r="G911" s="6">
        <v>192453.8</v>
      </c>
      <c r="H911" s="7">
        <v>42964</v>
      </c>
      <c r="I911" s="6" t="s">
        <v>73</v>
      </c>
      <c r="J911" s="6" t="s">
        <v>1875</v>
      </c>
      <c r="K911" s="6" t="s">
        <v>51</v>
      </c>
      <c r="L911" s="6" t="s">
        <v>52</v>
      </c>
      <c r="M911" s="6" t="s">
        <v>53</v>
      </c>
      <c r="N911" s="6">
        <v>2.92</v>
      </c>
      <c r="O911" s="6">
        <v>168</v>
      </c>
    </row>
    <row r="912" spans="1:15" ht="14.25" customHeight="1" x14ac:dyDescent="0.3">
      <c r="A912" s="6" t="s">
        <v>1876</v>
      </c>
      <c r="B912" s="6">
        <v>58</v>
      </c>
      <c r="C912" s="6" t="s">
        <v>25</v>
      </c>
      <c r="D912" s="6" t="s">
        <v>26</v>
      </c>
      <c r="E912" s="6" t="s">
        <v>80</v>
      </c>
      <c r="F912" s="6">
        <v>1911</v>
      </c>
      <c r="G912" s="6">
        <v>160984.26999999999</v>
      </c>
      <c r="H912" s="7">
        <v>38185</v>
      </c>
      <c r="I912" s="6" t="s">
        <v>19</v>
      </c>
      <c r="J912" s="6" t="s">
        <v>1877</v>
      </c>
      <c r="K912" s="6" t="s">
        <v>21</v>
      </c>
      <c r="L912" s="6" t="s">
        <v>22</v>
      </c>
      <c r="M912" s="6" t="s">
        <v>23</v>
      </c>
      <c r="N912" s="6">
        <v>2.5499999999999998</v>
      </c>
      <c r="O912" s="6">
        <v>145</v>
      </c>
    </row>
    <row r="913" spans="1:15" ht="14.25" customHeight="1" x14ac:dyDescent="0.3">
      <c r="A913" s="6" t="s">
        <v>1878</v>
      </c>
      <c r="B913" s="6">
        <v>39</v>
      </c>
      <c r="C913" s="6" t="s">
        <v>62</v>
      </c>
      <c r="D913" s="6" t="s">
        <v>47</v>
      </c>
      <c r="E913" s="6" t="s">
        <v>18</v>
      </c>
      <c r="F913" s="6">
        <v>1912</v>
      </c>
      <c r="G913" s="6">
        <v>78085.679999999993</v>
      </c>
      <c r="H913" s="7">
        <v>39698</v>
      </c>
      <c r="I913" s="6" t="s">
        <v>28</v>
      </c>
      <c r="J913" s="6" t="s">
        <v>1879</v>
      </c>
      <c r="K913" s="6" t="s">
        <v>30</v>
      </c>
      <c r="L913" s="6" t="s">
        <v>31</v>
      </c>
      <c r="M913" s="6" t="s">
        <v>32</v>
      </c>
      <c r="N913" s="6">
        <v>1.39</v>
      </c>
      <c r="O913" s="6">
        <v>37</v>
      </c>
    </row>
    <row r="914" spans="1:15" ht="14.25" customHeight="1" x14ac:dyDescent="0.3">
      <c r="A914" s="6" t="s">
        <v>1880</v>
      </c>
      <c r="B914" s="6">
        <v>48</v>
      </c>
      <c r="C914" s="6" t="s">
        <v>25</v>
      </c>
      <c r="D914" s="6" t="s">
        <v>69</v>
      </c>
      <c r="E914" s="6" t="s">
        <v>27</v>
      </c>
      <c r="F914" s="6">
        <v>1913</v>
      </c>
      <c r="G914" s="6">
        <v>150329.75</v>
      </c>
      <c r="H914" s="7">
        <v>42419</v>
      </c>
      <c r="I914" s="6" t="s">
        <v>35</v>
      </c>
      <c r="J914" s="6" t="s">
        <v>1881</v>
      </c>
      <c r="K914" s="6" t="s">
        <v>37</v>
      </c>
      <c r="L914" s="6" t="s">
        <v>38</v>
      </c>
      <c r="M914" s="6" t="s">
        <v>39</v>
      </c>
      <c r="N914" s="6">
        <v>2.87</v>
      </c>
      <c r="O914" s="6">
        <v>86</v>
      </c>
    </row>
    <row r="915" spans="1:15" ht="14.25" customHeight="1" x14ac:dyDescent="0.3">
      <c r="A915" s="6" t="s">
        <v>1882</v>
      </c>
      <c r="B915" s="6">
        <v>28</v>
      </c>
      <c r="C915" s="6" t="s">
        <v>25</v>
      </c>
      <c r="D915" s="6" t="s">
        <v>69</v>
      </c>
      <c r="E915" s="6" t="s">
        <v>80</v>
      </c>
      <c r="F915" s="6">
        <v>1914</v>
      </c>
      <c r="G915" s="6">
        <v>151829.70000000001</v>
      </c>
      <c r="H915" s="7">
        <v>41374</v>
      </c>
      <c r="I915" s="6" t="s">
        <v>41</v>
      </c>
      <c r="J915" s="6" t="s">
        <v>1883</v>
      </c>
      <c r="K915" s="6" t="s">
        <v>43</v>
      </c>
      <c r="L915" s="6" t="s">
        <v>44</v>
      </c>
      <c r="M915" s="6" t="s">
        <v>45</v>
      </c>
      <c r="N915" s="6">
        <v>3.29</v>
      </c>
      <c r="O915" s="6">
        <v>127</v>
      </c>
    </row>
    <row r="916" spans="1:15" ht="14.25" customHeight="1" x14ac:dyDescent="0.3">
      <c r="A916" s="6" t="s">
        <v>1884</v>
      </c>
      <c r="B916" s="6">
        <v>56</v>
      </c>
      <c r="C916" s="6" t="s">
        <v>62</v>
      </c>
      <c r="D916" s="6" t="s">
        <v>26</v>
      </c>
      <c r="E916" s="6" t="s">
        <v>27</v>
      </c>
      <c r="F916" s="6">
        <v>1915</v>
      </c>
      <c r="G916" s="6">
        <v>123716.51</v>
      </c>
      <c r="H916" s="7">
        <v>43009</v>
      </c>
      <c r="I916" s="6" t="s">
        <v>49</v>
      </c>
      <c r="J916" s="6" t="s">
        <v>1885</v>
      </c>
      <c r="K916" s="6" t="s">
        <v>51</v>
      </c>
      <c r="L916" s="6" t="s">
        <v>52</v>
      </c>
      <c r="M916" s="6" t="s">
        <v>53</v>
      </c>
      <c r="N916" s="6">
        <v>2.12</v>
      </c>
      <c r="O916" s="6">
        <v>171</v>
      </c>
    </row>
    <row r="917" spans="1:15" ht="14.25" customHeight="1" x14ac:dyDescent="0.3">
      <c r="A917" s="6" t="s">
        <v>1886</v>
      </c>
      <c r="B917" s="6">
        <v>43</v>
      </c>
      <c r="C917" s="6" t="s">
        <v>62</v>
      </c>
      <c r="D917" s="6" t="s">
        <v>17</v>
      </c>
      <c r="E917" s="6" t="s">
        <v>27</v>
      </c>
      <c r="F917" s="6">
        <v>1916</v>
      </c>
      <c r="G917" s="6">
        <v>164482.20000000001</v>
      </c>
      <c r="H917" s="7">
        <v>38056</v>
      </c>
      <c r="I917" s="6" t="s">
        <v>56</v>
      </c>
      <c r="J917" s="6" t="s">
        <v>1887</v>
      </c>
      <c r="K917" s="6" t="s">
        <v>21</v>
      </c>
      <c r="L917" s="6" t="s">
        <v>22</v>
      </c>
      <c r="M917" s="6" t="s">
        <v>23</v>
      </c>
      <c r="N917" s="6">
        <v>4.8499999999999996</v>
      </c>
      <c r="O917" s="6">
        <v>65</v>
      </c>
    </row>
    <row r="918" spans="1:15" ht="14.25" customHeight="1" x14ac:dyDescent="0.3">
      <c r="A918" s="6" t="s">
        <v>1888</v>
      </c>
      <c r="B918" s="6">
        <v>42</v>
      </c>
      <c r="C918" s="6" t="s">
        <v>25</v>
      </c>
      <c r="D918" s="6" t="s">
        <v>47</v>
      </c>
      <c r="E918" s="6" t="s">
        <v>27</v>
      </c>
      <c r="F918" s="6">
        <v>1917</v>
      </c>
      <c r="G918" s="6">
        <v>166000.63</v>
      </c>
      <c r="H918" s="7">
        <v>42132</v>
      </c>
      <c r="I918" s="6" t="s">
        <v>63</v>
      </c>
      <c r="J918" s="6" t="s">
        <v>1889</v>
      </c>
      <c r="K918" s="6" t="s">
        <v>30</v>
      </c>
      <c r="L918" s="6" t="s">
        <v>31</v>
      </c>
      <c r="M918" s="6" t="s">
        <v>32</v>
      </c>
      <c r="N918" s="6">
        <v>2.37</v>
      </c>
      <c r="O918" s="6">
        <v>83</v>
      </c>
    </row>
    <row r="919" spans="1:15" ht="14.25" customHeight="1" x14ac:dyDescent="0.3">
      <c r="A919" s="6" t="s">
        <v>1890</v>
      </c>
      <c r="B919" s="6">
        <v>64</v>
      </c>
      <c r="C919" s="6" t="s">
        <v>62</v>
      </c>
      <c r="D919" s="6" t="s">
        <v>26</v>
      </c>
      <c r="E919" s="6" t="s">
        <v>48</v>
      </c>
      <c r="F919" s="6">
        <v>1918</v>
      </c>
      <c r="G919" s="6">
        <v>155768.04999999999</v>
      </c>
      <c r="H919" s="7">
        <v>43917</v>
      </c>
      <c r="I919" s="6" t="s">
        <v>66</v>
      </c>
      <c r="J919" s="6" t="s">
        <v>1891</v>
      </c>
      <c r="K919" s="6" t="s">
        <v>37</v>
      </c>
      <c r="L919" s="6" t="s">
        <v>38</v>
      </c>
      <c r="M919" s="6" t="s">
        <v>39</v>
      </c>
      <c r="N919" s="6">
        <v>1.47</v>
      </c>
      <c r="O919" s="6">
        <v>20</v>
      </c>
    </row>
    <row r="920" spans="1:15" ht="14.25" customHeight="1" x14ac:dyDescent="0.3">
      <c r="A920" s="6" t="s">
        <v>1892</v>
      </c>
      <c r="B920" s="6">
        <v>39</v>
      </c>
      <c r="C920" s="6" t="s">
        <v>62</v>
      </c>
      <c r="D920" s="6" t="s">
        <v>47</v>
      </c>
      <c r="E920" s="6" t="s">
        <v>27</v>
      </c>
      <c r="F920" s="6">
        <v>1919</v>
      </c>
      <c r="G920" s="6">
        <v>88581.45</v>
      </c>
      <c r="H920" s="7">
        <v>39675</v>
      </c>
      <c r="I920" s="6" t="s">
        <v>70</v>
      </c>
      <c r="J920" s="6" t="s">
        <v>1893</v>
      </c>
      <c r="K920" s="6" t="s">
        <v>43</v>
      </c>
      <c r="L920" s="6" t="s">
        <v>44</v>
      </c>
      <c r="M920" s="6" t="s">
        <v>45</v>
      </c>
      <c r="N920" s="6">
        <v>1.84</v>
      </c>
      <c r="O920" s="6">
        <v>187</v>
      </c>
    </row>
    <row r="921" spans="1:15" ht="14.25" customHeight="1" x14ac:dyDescent="0.3">
      <c r="A921" s="6" t="s">
        <v>1894</v>
      </c>
      <c r="B921" s="6">
        <v>59</v>
      </c>
      <c r="C921" s="6" t="s">
        <v>16</v>
      </c>
      <c r="D921" s="6" t="s">
        <v>69</v>
      </c>
      <c r="E921" s="6" t="s">
        <v>80</v>
      </c>
      <c r="F921" s="6">
        <v>1920</v>
      </c>
      <c r="G921" s="6">
        <v>188972.29</v>
      </c>
      <c r="H921" s="7">
        <v>37307</v>
      </c>
      <c r="I921" s="6" t="s">
        <v>73</v>
      </c>
      <c r="J921" s="6" t="s">
        <v>1895</v>
      </c>
      <c r="K921" s="6" t="s">
        <v>51</v>
      </c>
      <c r="L921" s="6" t="s">
        <v>52</v>
      </c>
      <c r="M921" s="6" t="s">
        <v>53</v>
      </c>
      <c r="N921" s="6">
        <v>4.63</v>
      </c>
      <c r="O921" s="6">
        <v>13</v>
      </c>
    </row>
    <row r="922" spans="1:15" ht="14.25" customHeight="1" x14ac:dyDescent="0.3">
      <c r="A922" s="6" t="s">
        <v>1896</v>
      </c>
      <c r="B922" s="6">
        <v>47</v>
      </c>
      <c r="C922" s="6" t="s">
        <v>25</v>
      </c>
      <c r="D922" s="6" t="s">
        <v>47</v>
      </c>
      <c r="E922" s="6" t="s">
        <v>80</v>
      </c>
      <c r="F922" s="6">
        <v>1921</v>
      </c>
      <c r="G922" s="6">
        <v>56917.11</v>
      </c>
      <c r="H922" s="7">
        <v>40174</v>
      </c>
      <c r="I922" s="6" t="s">
        <v>19</v>
      </c>
      <c r="J922" s="6" t="s">
        <v>1897</v>
      </c>
      <c r="K922" s="6" t="s">
        <v>21</v>
      </c>
      <c r="L922" s="6" t="s">
        <v>22</v>
      </c>
      <c r="M922" s="6" t="s">
        <v>23</v>
      </c>
      <c r="N922" s="6">
        <v>3.04</v>
      </c>
      <c r="O922" s="6">
        <v>94</v>
      </c>
    </row>
    <row r="923" spans="1:15" ht="14.25" customHeight="1" x14ac:dyDescent="0.3">
      <c r="A923" s="6" t="s">
        <v>1898</v>
      </c>
      <c r="B923" s="6">
        <v>43</v>
      </c>
      <c r="C923" s="6" t="s">
        <v>25</v>
      </c>
      <c r="D923" s="6" t="s">
        <v>17</v>
      </c>
      <c r="E923" s="6" t="s">
        <v>34</v>
      </c>
      <c r="F923" s="6">
        <v>1922</v>
      </c>
      <c r="G923" s="6">
        <v>195655.31</v>
      </c>
      <c r="H923" s="7">
        <v>42490</v>
      </c>
      <c r="I923" s="6" t="s">
        <v>28</v>
      </c>
      <c r="J923" s="6" t="s">
        <v>1899</v>
      </c>
      <c r="K923" s="6" t="s">
        <v>30</v>
      </c>
      <c r="L923" s="6" t="s">
        <v>31</v>
      </c>
      <c r="M923" s="6" t="s">
        <v>32</v>
      </c>
      <c r="N923" s="6">
        <v>4.99</v>
      </c>
      <c r="O923" s="6">
        <v>129</v>
      </c>
    </row>
    <row r="924" spans="1:15" ht="14.25" customHeight="1" x14ac:dyDescent="0.3">
      <c r="A924" s="6" t="s">
        <v>1900</v>
      </c>
      <c r="B924" s="6">
        <v>58</v>
      </c>
      <c r="C924" s="6" t="s">
        <v>25</v>
      </c>
      <c r="D924" s="6" t="s">
        <v>55</v>
      </c>
      <c r="E924" s="6" t="s">
        <v>27</v>
      </c>
      <c r="F924" s="6">
        <v>1923</v>
      </c>
      <c r="G924" s="6">
        <v>129769.32</v>
      </c>
      <c r="H924" s="7">
        <v>37751</v>
      </c>
      <c r="I924" s="6" t="s">
        <v>35</v>
      </c>
      <c r="J924" s="6" t="s">
        <v>1901</v>
      </c>
      <c r="K924" s="6" t="s">
        <v>37</v>
      </c>
      <c r="L924" s="6" t="s">
        <v>38</v>
      </c>
      <c r="M924" s="6" t="s">
        <v>39</v>
      </c>
      <c r="N924" s="6">
        <v>4.92</v>
      </c>
      <c r="O924" s="6">
        <v>199</v>
      </c>
    </row>
    <row r="925" spans="1:15" ht="14.25" customHeight="1" x14ac:dyDescent="0.3">
      <c r="A925" s="6" t="s">
        <v>1902</v>
      </c>
      <c r="B925" s="6">
        <v>26</v>
      </c>
      <c r="C925" s="6" t="s">
        <v>25</v>
      </c>
      <c r="D925" s="6" t="s">
        <v>47</v>
      </c>
      <c r="E925" s="6" t="s">
        <v>48</v>
      </c>
      <c r="F925" s="6">
        <v>1924</v>
      </c>
      <c r="G925" s="6">
        <v>147907.04</v>
      </c>
      <c r="H925" s="7">
        <v>43785</v>
      </c>
      <c r="I925" s="6" t="s">
        <v>41</v>
      </c>
      <c r="J925" s="6" t="s">
        <v>1903</v>
      </c>
      <c r="K925" s="6" t="s">
        <v>43</v>
      </c>
      <c r="L925" s="6" t="s">
        <v>44</v>
      </c>
      <c r="M925" s="6" t="s">
        <v>45</v>
      </c>
      <c r="N925" s="6">
        <v>3.01</v>
      </c>
      <c r="O925" s="6">
        <v>107</v>
      </c>
    </row>
    <row r="926" spans="1:15" ht="14.25" customHeight="1" x14ac:dyDescent="0.3">
      <c r="A926" s="6" t="s">
        <v>1904</v>
      </c>
      <c r="B926" s="6">
        <v>56</v>
      </c>
      <c r="C926" s="6" t="s">
        <v>25</v>
      </c>
      <c r="D926" s="6" t="s">
        <v>55</v>
      </c>
      <c r="E926" s="6" t="s">
        <v>27</v>
      </c>
      <c r="F926" s="6">
        <v>1925</v>
      </c>
      <c r="G926" s="6">
        <v>174755.69</v>
      </c>
      <c r="H926" s="7">
        <v>44192</v>
      </c>
      <c r="I926" s="6" t="s">
        <v>49</v>
      </c>
      <c r="J926" s="6" t="s">
        <v>1905</v>
      </c>
      <c r="K926" s="6" t="s">
        <v>51</v>
      </c>
      <c r="L926" s="6" t="s">
        <v>52</v>
      </c>
      <c r="M926" s="6" t="s">
        <v>53</v>
      </c>
      <c r="N926" s="6">
        <v>3.54</v>
      </c>
      <c r="O926" s="6">
        <v>20</v>
      </c>
    </row>
    <row r="927" spans="1:15" ht="14.25" customHeight="1" x14ac:dyDescent="0.3">
      <c r="A927" s="6" t="s">
        <v>1906</v>
      </c>
      <c r="B927" s="6">
        <v>33</v>
      </c>
      <c r="C927" s="6" t="s">
        <v>62</v>
      </c>
      <c r="D927" s="6" t="s">
        <v>17</v>
      </c>
      <c r="E927" s="6" t="s">
        <v>80</v>
      </c>
      <c r="F927" s="6">
        <v>1926</v>
      </c>
      <c r="G927" s="6">
        <v>74382.259999999995</v>
      </c>
      <c r="H927" s="7">
        <v>43093</v>
      </c>
      <c r="I927" s="6" t="s">
        <v>56</v>
      </c>
      <c r="J927" s="6" t="s">
        <v>1907</v>
      </c>
      <c r="K927" s="6" t="s">
        <v>21</v>
      </c>
      <c r="L927" s="6" t="s">
        <v>22</v>
      </c>
      <c r="M927" s="6" t="s">
        <v>23</v>
      </c>
      <c r="N927" s="6">
        <v>2.4300000000000002</v>
      </c>
      <c r="O927" s="6">
        <v>138</v>
      </c>
    </row>
    <row r="928" spans="1:15" ht="14.25" customHeight="1" x14ac:dyDescent="0.3">
      <c r="A928" s="6" t="s">
        <v>1908</v>
      </c>
      <c r="B928" s="6">
        <v>56</v>
      </c>
      <c r="C928" s="6" t="s">
        <v>25</v>
      </c>
      <c r="D928" s="6" t="s">
        <v>26</v>
      </c>
      <c r="E928" s="6" t="s">
        <v>18</v>
      </c>
      <c r="F928" s="6">
        <v>1927</v>
      </c>
      <c r="G928" s="6">
        <v>184481.52</v>
      </c>
      <c r="H928" s="7">
        <v>42472</v>
      </c>
      <c r="I928" s="6" t="s">
        <v>63</v>
      </c>
      <c r="J928" s="6" t="s">
        <v>1909</v>
      </c>
      <c r="K928" s="6" t="s">
        <v>30</v>
      </c>
      <c r="L928" s="6" t="s">
        <v>31</v>
      </c>
      <c r="M928" s="6" t="s">
        <v>32</v>
      </c>
      <c r="N928" s="6">
        <v>4.13</v>
      </c>
      <c r="O928" s="6">
        <v>145</v>
      </c>
    </row>
    <row r="929" spans="1:15" ht="14.25" customHeight="1" x14ac:dyDescent="0.3">
      <c r="A929" s="6" t="s">
        <v>1910</v>
      </c>
      <c r="B929" s="6">
        <v>55</v>
      </c>
      <c r="C929" s="6" t="s">
        <v>25</v>
      </c>
      <c r="D929" s="6" t="s">
        <v>47</v>
      </c>
      <c r="E929" s="6" t="s">
        <v>27</v>
      </c>
      <c r="F929" s="6">
        <v>1928</v>
      </c>
      <c r="G929" s="6">
        <v>51421.52</v>
      </c>
      <c r="H929" s="7">
        <v>40613</v>
      </c>
      <c r="I929" s="6" t="s">
        <v>66</v>
      </c>
      <c r="J929" s="6" t="s">
        <v>1911</v>
      </c>
      <c r="K929" s="6" t="s">
        <v>37</v>
      </c>
      <c r="L929" s="6" t="s">
        <v>38</v>
      </c>
      <c r="M929" s="6" t="s">
        <v>39</v>
      </c>
      <c r="N929" s="6">
        <v>3.02</v>
      </c>
      <c r="O929" s="6">
        <v>143</v>
      </c>
    </row>
    <row r="930" spans="1:15" ht="14.25" customHeight="1" x14ac:dyDescent="0.3">
      <c r="A930" s="6" t="s">
        <v>1912</v>
      </c>
      <c r="B930" s="6">
        <v>41</v>
      </c>
      <c r="C930" s="6" t="s">
        <v>16</v>
      </c>
      <c r="D930" s="6" t="s">
        <v>47</v>
      </c>
      <c r="E930" s="6" t="s">
        <v>48</v>
      </c>
      <c r="F930" s="6">
        <v>1929</v>
      </c>
      <c r="G930" s="6">
        <v>189466.05</v>
      </c>
      <c r="H930" s="7">
        <v>41661</v>
      </c>
      <c r="I930" s="6" t="s">
        <v>70</v>
      </c>
      <c r="J930" s="6" t="s">
        <v>1913</v>
      </c>
      <c r="K930" s="6" t="s">
        <v>43</v>
      </c>
      <c r="L930" s="6" t="s">
        <v>44</v>
      </c>
      <c r="M930" s="6" t="s">
        <v>45</v>
      </c>
      <c r="N930" s="6">
        <v>3.26</v>
      </c>
      <c r="O930" s="6">
        <v>62</v>
      </c>
    </row>
    <row r="931" spans="1:15" ht="14.25" customHeight="1" x14ac:dyDescent="0.3">
      <c r="A931" s="6" t="s">
        <v>1914</v>
      </c>
      <c r="B931" s="6">
        <v>33</v>
      </c>
      <c r="C931" s="6" t="s">
        <v>62</v>
      </c>
      <c r="D931" s="6" t="s">
        <v>47</v>
      </c>
      <c r="E931" s="6" t="s">
        <v>80</v>
      </c>
      <c r="F931" s="6">
        <v>1930</v>
      </c>
      <c r="G931" s="6">
        <v>111711.1</v>
      </c>
      <c r="H931" s="7">
        <v>44805</v>
      </c>
      <c r="I931" s="6" t="s">
        <v>73</v>
      </c>
      <c r="J931" s="6" t="s">
        <v>1915</v>
      </c>
      <c r="K931" s="6" t="s">
        <v>51</v>
      </c>
      <c r="L931" s="6" t="s">
        <v>52</v>
      </c>
      <c r="M931" s="6" t="s">
        <v>53</v>
      </c>
      <c r="N931" s="6">
        <v>3.63</v>
      </c>
      <c r="O931" s="6">
        <v>115</v>
      </c>
    </row>
    <row r="932" spans="1:15" ht="14.25" customHeight="1" x14ac:dyDescent="0.3">
      <c r="A932" s="6" t="s">
        <v>1916</v>
      </c>
      <c r="B932" s="6">
        <v>55</v>
      </c>
      <c r="C932" s="6" t="s">
        <v>25</v>
      </c>
      <c r="D932" s="6" t="s">
        <v>47</v>
      </c>
      <c r="E932" s="6" t="s">
        <v>27</v>
      </c>
      <c r="F932" s="6">
        <v>1931</v>
      </c>
      <c r="G932" s="6">
        <v>199315.04</v>
      </c>
      <c r="H932" s="7">
        <v>38413</v>
      </c>
      <c r="I932" s="6" t="s">
        <v>19</v>
      </c>
      <c r="J932" s="6" t="s">
        <v>1917</v>
      </c>
      <c r="K932" s="6" t="s">
        <v>21</v>
      </c>
      <c r="L932" s="6" t="s">
        <v>22</v>
      </c>
      <c r="M932" s="6" t="s">
        <v>23</v>
      </c>
      <c r="N932" s="6">
        <v>3.37</v>
      </c>
      <c r="O932" s="6">
        <v>194</v>
      </c>
    </row>
    <row r="933" spans="1:15" ht="14.25" customHeight="1" x14ac:dyDescent="0.3">
      <c r="A933" s="6" t="s">
        <v>1918</v>
      </c>
      <c r="B933" s="6">
        <v>47</v>
      </c>
      <c r="C933" s="6" t="s">
        <v>25</v>
      </c>
      <c r="D933" s="6" t="s">
        <v>55</v>
      </c>
      <c r="E933" s="6" t="s">
        <v>34</v>
      </c>
      <c r="F933" s="6">
        <v>1932</v>
      </c>
      <c r="G933" s="6">
        <v>84616.37</v>
      </c>
      <c r="H933" s="7">
        <v>40281</v>
      </c>
      <c r="I933" s="6" t="s">
        <v>28</v>
      </c>
      <c r="J933" s="6" t="s">
        <v>1919</v>
      </c>
      <c r="K933" s="6" t="s">
        <v>30</v>
      </c>
      <c r="L933" s="6" t="s">
        <v>31</v>
      </c>
      <c r="M933" s="6" t="s">
        <v>32</v>
      </c>
      <c r="N933" s="6">
        <v>2.2999999999999998</v>
      </c>
      <c r="O933" s="6">
        <v>30</v>
      </c>
    </row>
    <row r="934" spans="1:15" ht="14.25" customHeight="1" x14ac:dyDescent="0.3">
      <c r="A934" s="6" t="s">
        <v>1920</v>
      </c>
      <c r="B934" s="6">
        <v>55</v>
      </c>
      <c r="C934" s="6" t="s">
        <v>25</v>
      </c>
      <c r="D934" s="6" t="s">
        <v>17</v>
      </c>
      <c r="E934" s="6" t="s">
        <v>18</v>
      </c>
      <c r="F934" s="6">
        <v>1933</v>
      </c>
      <c r="G934" s="6">
        <v>149897.43</v>
      </c>
      <c r="H934" s="7">
        <v>39040</v>
      </c>
      <c r="I934" s="6" t="s">
        <v>35</v>
      </c>
      <c r="J934" s="6" t="s">
        <v>1921</v>
      </c>
      <c r="K934" s="6" t="s">
        <v>37</v>
      </c>
      <c r="L934" s="6" t="s">
        <v>38</v>
      </c>
      <c r="M934" s="6" t="s">
        <v>39</v>
      </c>
      <c r="N934" s="6">
        <v>1.99</v>
      </c>
      <c r="O934" s="6">
        <v>50</v>
      </c>
    </row>
    <row r="935" spans="1:15" ht="14.25" customHeight="1" x14ac:dyDescent="0.3">
      <c r="A935" s="6" t="s">
        <v>1922</v>
      </c>
      <c r="B935" s="6">
        <v>53</v>
      </c>
      <c r="C935" s="6" t="s">
        <v>25</v>
      </c>
      <c r="D935" s="6" t="s">
        <v>55</v>
      </c>
      <c r="E935" s="6" t="s">
        <v>80</v>
      </c>
      <c r="F935" s="6">
        <v>1934</v>
      </c>
      <c r="G935" s="6">
        <v>177377.03</v>
      </c>
      <c r="H935" s="7">
        <v>37092</v>
      </c>
      <c r="I935" s="6" t="s">
        <v>41</v>
      </c>
      <c r="J935" s="6" t="s">
        <v>1923</v>
      </c>
      <c r="K935" s="6" t="s">
        <v>43</v>
      </c>
      <c r="L935" s="6" t="s">
        <v>44</v>
      </c>
      <c r="M935" s="6" t="s">
        <v>45</v>
      </c>
      <c r="N935" s="6">
        <v>1.7</v>
      </c>
      <c r="O935" s="6">
        <v>148</v>
      </c>
    </row>
    <row r="936" spans="1:15" ht="14.25" customHeight="1" x14ac:dyDescent="0.3">
      <c r="A936" s="6" t="s">
        <v>1924</v>
      </c>
      <c r="B936" s="6">
        <v>28</v>
      </c>
      <c r="C936" s="6" t="s">
        <v>62</v>
      </c>
      <c r="D936" s="6" t="s">
        <v>69</v>
      </c>
      <c r="E936" s="6" t="s">
        <v>34</v>
      </c>
      <c r="F936" s="6">
        <v>1935</v>
      </c>
      <c r="G936" s="6">
        <v>53354.68</v>
      </c>
      <c r="H936" s="7">
        <v>40365</v>
      </c>
      <c r="I936" s="6" t="s">
        <v>49</v>
      </c>
      <c r="J936" s="6" t="s">
        <v>1925</v>
      </c>
      <c r="K936" s="6" t="s">
        <v>51</v>
      </c>
      <c r="L936" s="6" t="s">
        <v>52</v>
      </c>
      <c r="M936" s="6" t="s">
        <v>53</v>
      </c>
      <c r="N936" s="6">
        <v>4.0999999999999996</v>
      </c>
      <c r="O936" s="6">
        <v>22</v>
      </c>
    </row>
    <row r="937" spans="1:15" ht="14.25" customHeight="1" x14ac:dyDescent="0.3">
      <c r="A937" s="6" t="s">
        <v>1926</v>
      </c>
      <c r="B937" s="6">
        <v>47</v>
      </c>
      <c r="C937" s="6" t="s">
        <v>16</v>
      </c>
      <c r="D937" s="6" t="s">
        <v>69</v>
      </c>
      <c r="E937" s="6" t="s">
        <v>80</v>
      </c>
      <c r="F937" s="6">
        <v>1936</v>
      </c>
      <c r="G937" s="6">
        <v>53603.86</v>
      </c>
      <c r="H937" s="7">
        <v>39956</v>
      </c>
      <c r="I937" s="6" t="s">
        <v>56</v>
      </c>
      <c r="J937" s="6" t="s">
        <v>1927</v>
      </c>
      <c r="K937" s="6" t="s">
        <v>21</v>
      </c>
      <c r="L937" s="6" t="s">
        <v>22</v>
      </c>
      <c r="M937" s="6" t="s">
        <v>23</v>
      </c>
      <c r="N937" s="6">
        <v>1.68</v>
      </c>
      <c r="O937" s="6">
        <v>59</v>
      </c>
    </row>
    <row r="938" spans="1:15" ht="14.25" customHeight="1" x14ac:dyDescent="0.3">
      <c r="A938" s="6" t="s">
        <v>1928</v>
      </c>
      <c r="B938" s="6">
        <v>46</v>
      </c>
      <c r="C938" s="6" t="s">
        <v>16</v>
      </c>
      <c r="D938" s="6" t="s">
        <v>26</v>
      </c>
      <c r="E938" s="6" t="s">
        <v>18</v>
      </c>
      <c r="F938" s="6">
        <v>1937</v>
      </c>
      <c r="G938" s="6">
        <v>54969.1</v>
      </c>
      <c r="H938" s="7">
        <v>37392</v>
      </c>
      <c r="I938" s="6" t="s">
        <v>63</v>
      </c>
      <c r="J938" s="6" t="s">
        <v>1929</v>
      </c>
      <c r="K938" s="6" t="s">
        <v>30</v>
      </c>
      <c r="L938" s="6" t="s">
        <v>31</v>
      </c>
      <c r="M938" s="6" t="s">
        <v>32</v>
      </c>
      <c r="N938" s="6">
        <v>2.92</v>
      </c>
      <c r="O938" s="6">
        <v>153</v>
      </c>
    </row>
    <row r="939" spans="1:15" ht="14.25" customHeight="1" x14ac:dyDescent="0.3">
      <c r="A939" s="6" t="s">
        <v>1930</v>
      </c>
      <c r="B939" s="6">
        <v>60</v>
      </c>
      <c r="C939" s="6" t="s">
        <v>25</v>
      </c>
      <c r="D939" s="6" t="s">
        <v>26</v>
      </c>
      <c r="E939" s="6" t="s">
        <v>34</v>
      </c>
      <c r="F939" s="6">
        <v>1938</v>
      </c>
      <c r="G939" s="6">
        <v>50894.73</v>
      </c>
      <c r="H939" s="7">
        <v>38890</v>
      </c>
      <c r="I939" s="6" t="s">
        <v>66</v>
      </c>
      <c r="J939" s="6" t="s">
        <v>1931</v>
      </c>
      <c r="K939" s="6" t="s">
        <v>37</v>
      </c>
      <c r="L939" s="6" t="s">
        <v>38</v>
      </c>
      <c r="M939" s="6" t="s">
        <v>39</v>
      </c>
      <c r="N939" s="6">
        <v>2.3199999999999998</v>
      </c>
      <c r="O939" s="6">
        <v>109</v>
      </c>
    </row>
    <row r="940" spans="1:15" ht="14.25" customHeight="1" x14ac:dyDescent="0.3">
      <c r="A940" s="6" t="s">
        <v>1932</v>
      </c>
      <c r="B940" s="6">
        <v>38</v>
      </c>
      <c r="C940" s="6" t="s">
        <v>16</v>
      </c>
      <c r="D940" s="6" t="s">
        <v>47</v>
      </c>
      <c r="E940" s="6" t="s">
        <v>34</v>
      </c>
      <c r="F940" s="6">
        <v>1939</v>
      </c>
      <c r="G940" s="6">
        <v>82031.460000000006</v>
      </c>
      <c r="H940" s="7">
        <v>38959</v>
      </c>
      <c r="I940" s="6" t="s">
        <v>70</v>
      </c>
      <c r="J940" s="6" t="s">
        <v>1933</v>
      </c>
      <c r="K940" s="6" t="s">
        <v>43</v>
      </c>
      <c r="L940" s="6" t="s">
        <v>44</v>
      </c>
      <c r="M940" s="6" t="s">
        <v>45</v>
      </c>
      <c r="N940" s="6">
        <v>2.21</v>
      </c>
      <c r="O940" s="6">
        <v>85</v>
      </c>
    </row>
    <row r="941" spans="1:15" ht="14.25" customHeight="1" x14ac:dyDescent="0.3">
      <c r="A941" s="6" t="s">
        <v>1934</v>
      </c>
      <c r="B941" s="6">
        <v>45</v>
      </c>
      <c r="C941" s="6" t="s">
        <v>16</v>
      </c>
      <c r="D941" s="6" t="s">
        <v>69</v>
      </c>
      <c r="E941" s="6" t="s">
        <v>18</v>
      </c>
      <c r="F941" s="6">
        <v>1940</v>
      </c>
      <c r="G941" s="6">
        <v>170644.28</v>
      </c>
      <c r="H941" s="7">
        <v>40870</v>
      </c>
      <c r="I941" s="6" t="s">
        <v>73</v>
      </c>
      <c r="J941" s="6" t="s">
        <v>1935</v>
      </c>
      <c r="K941" s="6" t="s">
        <v>51</v>
      </c>
      <c r="L941" s="6" t="s">
        <v>52</v>
      </c>
      <c r="M941" s="6" t="s">
        <v>53</v>
      </c>
      <c r="N941" s="6">
        <v>1.95</v>
      </c>
      <c r="O941" s="6">
        <v>116</v>
      </c>
    </row>
    <row r="942" spans="1:15" ht="14.25" customHeight="1" x14ac:dyDescent="0.3">
      <c r="A942" s="6" t="s">
        <v>1936</v>
      </c>
      <c r="B942" s="6">
        <v>48</v>
      </c>
      <c r="C942" s="6" t="s">
        <v>16</v>
      </c>
      <c r="D942" s="6" t="s">
        <v>55</v>
      </c>
      <c r="E942" s="6" t="s">
        <v>18</v>
      </c>
      <c r="F942" s="6">
        <v>1941</v>
      </c>
      <c r="G942" s="6">
        <v>83062.09</v>
      </c>
      <c r="H942" s="7">
        <v>44753</v>
      </c>
      <c r="I942" s="6" t="s">
        <v>19</v>
      </c>
      <c r="J942" s="6" t="s">
        <v>1937</v>
      </c>
      <c r="K942" s="6" t="s">
        <v>21</v>
      </c>
      <c r="L942" s="6" t="s">
        <v>22</v>
      </c>
      <c r="M942" s="6" t="s">
        <v>23</v>
      </c>
      <c r="N942" s="6">
        <v>1.08</v>
      </c>
      <c r="O942" s="6">
        <v>39</v>
      </c>
    </row>
    <row r="943" spans="1:15" ht="14.25" customHeight="1" x14ac:dyDescent="0.3">
      <c r="A943" s="6" t="s">
        <v>1938</v>
      </c>
      <c r="B943" s="6">
        <v>25</v>
      </c>
      <c r="C943" s="6" t="s">
        <v>16</v>
      </c>
      <c r="D943" s="6" t="s">
        <v>17</v>
      </c>
      <c r="E943" s="6" t="s">
        <v>18</v>
      </c>
      <c r="F943" s="6">
        <v>1942</v>
      </c>
      <c r="G943" s="6">
        <v>103291.95</v>
      </c>
      <c r="H943" s="7">
        <v>43502</v>
      </c>
      <c r="I943" s="6" t="s">
        <v>28</v>
      </c>
      <c r="J943" s="6" t="s">
        <v>1939</v>
      </c>
      <c r="K943" s="6" t="s">
        <v>30</v>
      </c>
      <c r="L943" s="6" t="s">
        <v>31</v>
      </c>
      <c r="M943" s="6" t="s">
        <v>32</v>
      </c>
      <c r="N943" s="6">
        <v>2.87</v>
      </c>
      <c r="O943" s="6">
        <v>70</v>
      </c>
    </row>
    <row r="944" spans="1:15" ht="14.25" customHeight="1" x14ac:dyDescent="0.3">
      <c r="A944" s="6" t="s">
        <v>1940</v>
      </c>
      <c r="B944" s="6">
        <v>48</v>
      </c>
      <c r="C944" s="6" t="s">
        <v>16</v>
      </c>
      <c r="D944" s="6" t="s">
        <v>69</v>
      </c>
      <c r="E944" s="6" t="s">
        <v>80</v>
      </c>
      <c r="F944" s="6">
        <v>1943</v>
      </c>
      <c r="G944" s="6">
        <v>56986.21</v>
      </c>
      <c r="H944" s="7">
        <v>39369</v>
      </c>
      <c r="I944" s="6" t="s">
        <v>35</v>
      </c>
      <c r="J944" s="6" t="s">
        <v>1941</v>
      </c>
      <c r="K944" s="6" t="s">
        <v>37</v>
      </c>
      <c r="L944" s="6" t="s">
        <v>38</v>
      </c>
      <c r="M944" s="6" t="s">
        <v>39</v>
      </c>
      <c r="N944" s="6">
        <v>1.91</v>
      </c>
      <c r="O944" s="6">
        <v>82</v>
      </c>
    </row>
    <row r="945" spans="1:15" ht="14.25" customHeight="1" x14ac:dyDescent="0.3">
      <c r="A945" s="6" t="s">
        <v>1942</v>
      </c>
      <c r="B945" s="6">
        <v>51</v>
      </c>
      <c r="C945" s="6" t="s">
        <v>62</v>
      </c>
      <c r="D945" s="6" t="s">
        <v>69</v>
      </c>
      <c r="E945" s="6" t="s">
        <v>80</v>
      </c>
      <c r="F945" s="6">
        <v>1944</v>
      </c>
      <c r="G945" s="6">
        <v>95924.43</v>
      </c>
      <c r="H945" s="7">
        <v>44348</v>
      </c>
      <c r="I945" s="6" t="s">
        <v>41</v>
      </c>
      <c r="J945" s="6" t="s">
        <v>1943</v>
      </c>
      <c r="K945" s="6" t="s">
        <v>43</v>
      </c>
      <c r="L945" s="6" t="s">
        <v>44</v>
      </c>
      <c r="M945" s="6" t="s">
        <v>45</v>
      </c>
      <c r="N945" s="6">
        <v>3.93</v>
      </c>
      <c r="O945" s="6">
        <v>137</v>
      </c>
    </row>
    <row r="946" spans="1:15" ht="14.25" customHeight="1" x14ac:dyDescent="0.3">
      <c r="A946" s="6" t="s">
        <v>1944</v>
      </c>
      <c r="B946" s="6">
        <v>24</v>
      </c>
      <c r="C946" s="6" t="s">
        <v>62</v>
      </c>
      <c r="D946" s="6" t="s">
        <v>55</v>
      </c>
      <c r="E946" s="6" t="s">
        <v>48</v>
      </c>
      <c r="F946" s="6">
        <v>1945</v>
      </c>
      <c r="G946" s="6">
        <v>61971.86</v>
      </c>
      <c r="H946" s="7">
        <v>38668</v>
      </c>
      <c r="I946" s="6" t="s">
        <v>49</v>
      </c>
      <c r="J946" s="6" t="s">
        <v>1945</v>
      </c>
      <c r="K946" s="6" t="s">
        <v>51</v>
      </c>
      <c r="L946" s="6" t="s">
        <v>52</v>
      </c>
      <c r="M946" s="6" t="s">
        <v>53</v>
      </c>
      <c r="N946" s="6">
        <v>4.99</v>
      </c>
      <c r="O946" s="6">
        <v>175</v>
      </c>
    </row>
    <row r="947" spans="1:15" ht="14.25" customHeight="1" x14ac:dyDescent="0.3">
      <c r="A947" s="6" t="s">
        <v>1946</v>
      </c>
      <c r="B947" s="6">
        <v>27</v>
      </c>
      <c r="C947" s="6" t="s">
        <v>62</v>
      </c>
      <c r="D947" s="6" t="s">
        <v>69</v>
      </c>
      <c r="E947" s="6" t="s">
        <v>34</v>
      </c>
      <c r="F947" s="6">
        <v>1946</v>
      </c>
      <c r="G947" s="6">
        <v>92700.92</v>
      </c>
      <c r="H947" s="7">
        <v>42295</v>
      </c>
      <c r="I947" s="6" t="s">
        <v>56</v>
      </c>
      <c r="J947" s="6" t="s">
        <v>1947</v>
      </c>
      <c r="K947" s="6" t="s">
        <v>21</v>
      </c>
      <c r="L947" s="6" t="s">
        <v>22</v>
      </c>
      <c r="M947" s="6" t="s">
        <v>23</v>
      </c>
      <c r="N947" s="6">
        <v>3.51</v>
      </c>
      <c r="O947" s="6">
        <v>96</v>
      </c>
    </row>
    <row r="948" spans="1:15" ht="14.25" customHeight="1" x14ac:dyDescent="0.3">
      <c r="A948" s="6" t="s">
        <v>1948</v>
      </c>
      <c r="B948" s="6">
        <v>29</v>
      </c>
      <c r="C948" s="6" t="s">
        <v>16</v>
      </c>
      <c r="D948" s="6" t="s">
        <v>55</v>
      </c>
      <c r="E948" s="6" t="s">
        <v>34</v>
      </c>
      <c r="F948" s="6">
        <v>1947</v>
      </c>
      <c r="G948" s="6">
        <v>136291.26</v>
      </c>
      <c r="H948" s="7">
        <v>37433</v>
      </c>
      <c r="I948" s="6" t="s">
        <v>63</v>
      </c>
      <c r="J948" s="6" t="s">
        <v>1949</v>
      </c>
      <c r="K948" s="6" t="s">
        <v>30</v>
      </c>
      <c r="L948" s="6" t="s">
        <v>31</v>
      </c>
      <c r="M948" s="6" t="s">
        <v>32</v>
      </c>
      <c r="N948" s="6">
        <v>3.28</v>
      </c>
      <c r="O948" s="6">
        <v>108</v>
      </c>
    </row>
    <row r="949" spans="1:15" ht="14.25" customHeight="1" x14ac:dyDescent="0.3">
      <c r="A949" s="6" t="s">
        <v>1950</v>
      </c>
      <c r="B949" s="6">
        <v>37</v>
      </c>
      <c r="C949" s="6" t="s">
        <v>62</v>
      </c>
      <c r="D949" s="6" t="s">
        <v>55</v>
      </c>
      <c r="E949" s="6" t="s">
        <v>27</v>
      </c>
      <c r="F949" s="6">
        <v>1948</v>
      </c>
      <c r="G949" s="6">
        <v>89416.53</v>
      </c>
      <c r="H949" s="7">
        <v>37511</v>
      </c>
      <c r="I949" s="6" t="s">
        <v>66</v>
      </c>
      <c r="J949" s="6" t="s">
        <v>1951</v>
      </c>
      <c r="K949" s="6" t="s">
        <v>37</v>
      </c>
      <c r="L949" s="6" t="s">
        <v>38</v>
      </c>
      <c r="M949" s="6" t="s">
        <v>39</v>
      </c>
      <c r="N949" s="6">
        <v>4.1500000000000004</v>
      </c>
      <c r="O949" s="6">
        <v>95</v>
      </c>
    </row>
    <row r="950" spans="1:15" ht="14.25" customHeight="1" x14ac:dyDescent="0.3">
      <c r="A950" s="6" t="s">
        <v>1952</v>
      </c>
      <c r="B950" s="6">
        <v>36</v>
      </c>
      <c r="C950" s="6" t="s">
        <v>16</v>
      </c>
      <c r="D950" s="6" t="s">
        <v>55</v>
      </c>
      <c r="E950" s="6" t="s">
        <v>34</v>
      </c>
      <c r="F950" s="6">
        <v>1949</v>
      </c>
      <c r="G950" s="6">
        <v>143808.74</v>
      </c>
      <c r="H950" s="7">
        <v>36613</v>
      </c>
      <c r="I950" s="6" t="s">
        <v>70</v>
      </c>
      <c r="J950" s="6" t="s">
        <v>1953</v>
      </c>
      <c r="K950" s="6" t="s">
        <v>43</v>
      </c>
      <c r="L950" s="6" t="s">
        <v>44</v>
      </c>
      <c r="M950" s="6" t="s">
        <v>45</v>
      </c>
      <c r="N950" s="6">
        <v>1.23</v>
      </c>
      <c r="O950" s="6">
        <v>86</v>
      </c>
    </row>
    <row r="951" spans="1:15" ht="14.25" customHeight="1" x14ac:dyDescent="0.3">
      <c r="A951" s="6" t="s">
        <v>1954</v>
      </c>
      <c r="B951" s="6">
        <v>57</v>
      </c>
      <c r="C951" s="6" t="s">
        <v>16</v>
      </c>
      <c r="D951" s="6" t="s">
        <v>55</v>
      </c>
      <c r="E951" s="6" t="s">
        <v>48</v>
      </c>
      <c r="F951" s="6">
        <v>1950</v>
      </c>
      <c r="G951" s="6">
        <v>147998.56</v>
      </c>
      <c r="H951" s="7">
        <v>38434</v>
      </c>
      <c r="I951" s="6" t="s">
        <v>73</v>
      </c>
      <c r="J951" s="6" t="s">
        <v>1955</v>
      </c>
      <c r="K951" s="6" t="s">
        <v>51</v>
      </c>
      <c r="L951" s="6" t="s">
        <v>52</v>
      </c>
      <c r="M951" s="6" t="s">
        <v>53</v>
      </c>
      <c r="N951" s="6">
        <v>2.66</v>
      </c>
      <c r="O951" s="6">
        <v>166</v>
      </c>
    </row>
    <row r="952" spans="1:15" ht="14.25" customHeight="1" x14ac:dyDescent="0.3">
      <c r="A952" s="6" t="s">
        <v>1956</v>
      </c>
      <c r="B952" s="6">
        <v>61</v>
      </c>
      <c r="C952" s="6" t="s">
        <v>62</v>
      </c>
      <c r="D952" s="6" t="s">
        <v>69</v>
      </c>
      <c r="E952" s="6" t="s">
        <v>48</v>
      </c>
      <c r="F952" s="6">
        <v>1951</v>
      </c>
      <c r="G952" s="6">
        <v>136616.25</v>
      </c>
      <c r="H952" s="7">
        <v>41229</v>
      </c>
      <c r="I952" s="6" t="s">
        <v>19</v>
      </c>
      <c r="J952" s="6" t="s">
        <v>1957</v>
      </c>
      <c r="K952" s="6" t="s">
        <v>21</v>
      </c>
      <c r="L952" s="6" t="s">
        <v>22</v>
      </c>
      <c r="M952" s="6" t="s">
        <v>23</v>
      </c>
      <c r="N952" s="6">
        <v>2.46</v>
      </c>
      <c r="O952" s="6">
        <v>48</v>
      </c>
    </row>
    <row r="953" spans="1:15" ht="14.25" customHeight="1" x14ac:dyDescent="0.3">
      <c r="A953" s="6" t="s">
        <v>1958</v>
      </c>
      <c r="B953" s="6">
        <v>29</v>
      </c>
      <c r="C953" s="6" t="s">
        <v>25</v>
      </c>
      <c r="D953" s="6" t="s">
        <v>69</v>
      </c>
      <c r="E953" s="6" t="s">
        <v>18</v>
      </c>
      <c r="F953" s="6">
        <v>1952</v>
      </c>
      <c r="G953" s="6">
        <v>117086.02</v>
      </c>
      <c r="H953" s="7">
        <v>44662</v>
      </c>
      <c r="I953" s="6" t="s">
        <v>28</v>
      </c>
      <c r="J953" s="6" t="s">
        <v>1959</v>
      </c>
      <c r="K953" s="6" t="s">
        <v>30</v>
      </c>
      <c r="L953" s="6" t="s">
        <v>31</v>
      </c>
      <c r="M953" s="6" t="s">
        <v>32</v>
      </c>
      <c r="N953" s="6">
        <v>4.99</v>
      </c>
      <c r="O953" s="6">
        <v>119</v>
      </c>
    </row>
    <row r="954" spans="1:15" ht="14.25" customHeight="1" x14ac:dyDescent="0.3">
      <c r="A954" s="6" t="s">
        <v>1960</v>
      </c>
      <c r="B954" s="6">
        <v>60</v>
      </c>
      <c r="C954" s="6" t="s">
        <v>16</v>
      </c>
      <c r="D954" s="6" t="s">
        <v>17</v>
      </c>
      <c r="E954" s="6" t="s">
        <v>34</v>
      </c>
      <c r="F954" s="6">
        <v>1953</v>
      </c>
      <c r="G954" s="6">
        <v>89340.12</v>
      </c>
      <c r="H954" s="7">
        <v>38208</v>
      </c>
      <c r="I954" s="6" t="s">
        <v>35</v>
      </c>
      <c r="J954" s="6" t="s">
        <v>1961</v>
      </c>
      <c r="K954" s="6" t="s">
        <v>37</v>
      </c>
      <c r="L954" s="6" t="s">
        <v>38</v>
      </c>
      <c r="M954" s="6" t="s">
        <v>39</v>
      </c>
      <c r="N954" s="6">
        <v>3.79</v>
      </c>
      <c r="O954" s="6">
        <v>55</v>
      </c>
    </row>
    <row r="955" spans="1:15" ht="14.25" customHeight="1" x14ac:dyDescent="0.3">
      <c r="A955" s="6" t="s">
        <v>1962</v>
      </c>
      <c r="B955" s="6">
        <v>51</v>
      </c>
      <c r="C955" s="6" t="s">
        <v>16</v>
      </c>
      <c r="D955" s="6" t="s">
        <v>26</v>
      </c>
      <c r="E955" s="6" t="s">
        <v>48</v>
      </c>
      <c r="F955" s="6">
        <v>1954</v>
      </c>
      <c r="G955" s="6">
        <v>72062.789999999994</v>
      </c>
      <c r="H955" s="7">
        <v>42302</v>
      </c>
      <c r="I955" s="6" t="s">
        <v>41</v>
      </c>
      <c r="J955" s="6" t="s">
        <v>1963</v>
      </c>
      <c r="K955" s="6" t="s">
        <v>43</v>
      </c>
      <c r="L955" s="6" t="s">
        <v>44</v>
      </c>
      <c r="M955" s="6" t="s">
        <v>45</v>
      </c>
      <c r="N955" s="6">
        <v>3.83</v>
      </c>
      <c r="O955" s="6">
        <v>51</v>
      </c>
    </row>
    <row r="956" spans="1:15" ht="14.25" customHeight="1" x14ac:dyDescent="0.3">
      <c r="A956" s="6" t="s">
        <v>1964</v>
      </c>
      <c r="B956" s="6">
        <v>33</v>
      </c>
      <c r="C956" s="6" t="s">
        <v>62</v>
      </c>
      <c r="D956" s="6" t="s">
        <v>17</v>
      </c>
      <c r="E956" s="6" t="s">
        <v>18</v>
      </c>
      <c r="F956" s="6">
        <v>1955</v>
      </c>
      <c r="G956" s="6">
        <v>119140.06</v>
      </c>
      <c r="H956" s="7">
        <v>36924</v>
      </c>
      <c r="I956" s="6" t="s">
        <v>49</v>
      </c>
      <c r="J956" s="6" t="s">
        <v>1965</v>
      </c>
      <c r="K956" s="6" t="s">
        <v>51</v>
      </c>
      <c r="L956" s="6" t="s">
        <v>52</v>
      </c>
      <c r="M956" s="6" t="s">
        <v>53</v>
      </c>
      <c r="N956" s="6">
        <v>2.5</v>
      </c>
      <c r="O956" s="6">
        <v>4</v>
      </c>
    </row>
    <row r="957" spans="1:15" ht="14.25" customHeight="1" x14ac:dyDescent="0.3">
      <c r="A957" s="6" t="s">
        <v>1966</v>
      </c>
      <c r="B957" s="6">
        <v>25</v>
      </c>
      <c r="C957" s="6" t="s">
        <v>16</v>
      </c>
      <c r="D957" s="6" t="s">
        <v>55</v>
      </c>
      <c r="E957" s="6" t="s">
        <v>48</v>
      </c>
      <c r="F957" s="6">
        <v>1956</v>
      </c>
      <c r="G957" s="6">
        <v>142279.82999999999</v>
      </c>
      <c r="H957" s="7">
        <v>40879</v>
      </c>
      <c r="I957" s="6" t="s">
        <v>56</v>
      </c>
      <c r="J957" s="6" t="s">
        <v>1967</v>
      </c>
      <c r="K957" s="6" t="s">
        <v>21</v>
      </c>
      <c r="L957" s="6" t="s">
        <v>22</v>
      </c>
      <c r="M957" s="6" t="s">
        <v>23</v>
      </c>
      <c r="N957" s="6">
        <v>4.29</v>
      </c>
      <c r="O957" s="6">
        <v>140</v>
      </c>
    </row>
    <row r="958" spans="1:15" ht="14.25" customHeight="1" x14ac:dyDescent="0.3">
      <c r="A958" s="6" t="s">
        <v>1968</v>
      </c>
      <c r="B958" s="6">
        <v>35</v>
      </c>
      <c r="C958" s="6" t="s">
        <v>16</v>
      </c>
      <c r="D958" s="6" t="s">
        <v>47</v>
      </c>
      <c r="E958" s="6" t="s">
        <v>34</v>
      </c>
      <c r="F958" s="6">
        <v>1957</v>
      </c>
      <c r="G958" s="6">
        <v>67202.83</v>
      </c>
      <c r="H958" s="7">
        <v>40169</v>
      </c>
      <c r="I958" s="6" t="s">
        <v>63</v>
      </c>
      <c r="J958" s="6" t="s">
        <v>1969</v>
      </c>
      <c r="K958" s="6" t="s">
        <v>30</v>
      </c>
      <c r="L958" s="6" t="s">
        <v>31</v>
      </c>
      <c r="M958" s="6" t="s">
        <v>32</v>
      </c>
      <c r="N958" s="6">
        <v>2.41</v>
      </c>
      <c r="O958" s="6">
        <v>128</v>
      </c>
    </row>
    <row r="959" spans="1:15" ht="14.25" customHeight="1" x14ac:dyDescent="0.3">
      <c r="A959" s="6" t="s">
        <v>1970</v>
      </c>
      <c r="B959" s="6">
        <v>46</v>
      </c>
      <c r="C959" s="6" t="s">
        <v>16</v>
      </c>
      <c r="D959" s="6" t="s">
        <v>17</v>
      </c>
      <c r="E959" s="6" t="s">
        <v>34</v>
      </c>
      <c r="F959" s="6">
        <v>1958</v>
      </c>
      <c r="G959" s="6">
        <v>82251.240000000005</v>
      </c>
      <c r="H959" s="7">
        <v>43136</v>
      </c>
      <c r="I959" s="6" t="s">
        <v>66</v>
      </c>
      <c r="J959" s="6" t="s">
        <v>1971</v>
      </c>
      <c r="K959" s="6" t="s">
        <v>37</v>
      </c>
      <c r="L959" s="6" t="s">
        <v>38</v>
      </c>
      <c r="M959" s="6" t="s">
        <v>39</v>
      </c>
      <c r="N959" s="6">
        <v>1.17</v>
      </c>
      <c r="O959" s="6">
        <v>160</v>
      </c>
    </row>
    <row r="960" spans="1:15" ht="14.25" customHeight="1" x14ac:dyDescent="0.3">
      <c r="A960" s="6" t="s">
        <v>1972</v>
      </c>
      <c r="B960" s="6">
        <v>26</v>
      </c>
      <c r="C960" s="6" t="s">
        <v>62</v>
      </c>
      <c r="D960" s="6" t="s">
        <v>47</v>
      </c>
      <c r="E960" s="6" t="s">
        <v>18</v>
      </c>
      <c r="F960" s="6">
        <v>1959</v>
      </c>
      <c r="G960" s="6">
        <v>76865.22</v>
      </c>
      <c r="H960" s="7">
        <v>41544</v>
      </c>
      <c r="I960" s="6" t="s">
        <v>70</v>
      </c>
      <c r="J960" s="6" t="s">
        <v>1973</v>
      </c>
      <c r="K960" s="6" t="s">
        <v>43</v>
      </c>
      <c r="L960" s="6" t="s">
        <v>44</v>
      </c>
      <c r="M960" s="6" t="s">
        <v>45</v>
      </c>
      <c r="N960" s="6">
        <v>2.3199999999999998</v>
      </c>
      <c r="O960" s="6">
        <v>112</v>
      </c>
    </row>
    <row r="961" spans="1:15" ht="14.25" customHeight="1" x14ac:dyDescent="0.3">
      <c r="A961" s="6" t="s">
        <v>1974</v>
      </c>
      <c r="B961" s="6">
        <v>44</v>
      </c>
      <c r="C961" s="6" t="s">
        <v>25</v>
      </c>
      <c r="D961" s="6" t="s">
        <v>47</v>
      </c>
      <c r="E961" s="6" t="s">
        <v>34</v>
      </c>
      <c r="F961" s="6">
        <v>1960</v>
      </c>
      <c r="G961" s="6">
        <v>84546.02</v>
      </c>
      <c r="H961" s="7">
        <v>42019</v>
      </c>
      <c r="I961" s="6" t="s">
        <v>73</v>
      </c>
      <c r="J961" s="6" t="s">
        <v>1975</v>
      </c>
      <c r="K961" s="6" t="s">
        <v>51</v>
      </c>
      <c r="L961" s="6" t="s">
        <v>52</v>
      </c>
      <c r="M961" s="6" t="s">
        <v>53</v>
      </c>
      <c r="N961" s="6">
        <v>2.41</v>
      </c>
      <c r="O961" s="6">
        <v>147</v>
      </c>
    </row>
    <row r="962" spans="1:15" ht="14.25" customHeight="1" x14ac:dyDescent="0.3">
      <c r="A962" s="6" t="s">
        <v>1976</v>
      </c>
      <c r="B962" s="6">
        <v>51</v>
      </c>
      <c r="C962" s="6" t="s">
        <v>25</v>
      </c>
      <c r="D962" s="6" t="s">
        <v>69</v>
      </c>
      <c r="E962" s="6" t="s">
        <v>18</v>
      </c>
      <c r="F962" s="6">
        <v>1961</v>
      </c>
      <c r="G962" s="6">
        <v>67489.210000000006</v>
      </c>
      <c r="H962" s="7">
        <v>39895</v>
      </c>
      <c r="I962" s="6" t="s">
        <v>19</v>
      </c>
      <c r="J962" s="6" t="s">
        <v>1977</v>
      </c>
      <c r="K962" s="6" t="s">
        <v>21</v>
      </c>
      <c r="L962" s="6" t="s">
        <v>22</v>
      </c>
      <c r="M962" s="6" t="s">
        <v>23</v>
      </c>
      <c r="N962" s="6">
        <v>3.95</v>
      </c>
      <c r="O962" s="6">
        <v>27</v>
      </c>
    </row>
    <row r="963" spans="1:15" ht="14.25" customHeight="1" x14ac:dyDescent="0.3">
      <c r="A963" s="6" t="s">
        <v>1978</v>
      </c>
      <c r="B963" s="6">
        <v>60</v>
      </c>
      <c r="C963" s="6" t="s">
        <v>62</v>
      </c>
      <c r="D963" s="6" t="s">
        <v>55</v>
      </c>
      <c r="E963" s="6" t="s">
        <v>34</v>
      </c>
      <c r="F963" s="6">
        <v>1962</v>
      </c>
      <c r="G963" s="6">
        <v>113136.51</v>
      </c>
      <c r="H963" s="7">
        <v>41310</v>
      </c>
      <c r="I963" s="6" t="s">
        <v>28</v>
      </c>
      <c r="J963" s="6" t="s">
        <v>1979</v>
      </c>
      <c r="K963" s="6" t="s">
        <v>30</v>
      </c>
      <c r="L963" s="6" t="s">
        <v>31</v>
      </c>
      <c r="M963" s="6" t="s">
        <v>32</v>
      </c>
      <c r="N963" s="6">
        <v>4.57</v>
      </c>
      <c r="O963" s="6">
        <v>165</v>
      </c>
    </row>
    <row r="964" spans="1:15" ht="14.25" customHeight="1" x14ac:dyDescent="0.3">
      <c r="A964" s="6" t="s">
        <v>1980</v>
      </c>
      <c r="B964" s="6">
        <v>33</v>
      </c>
      <c r="C964" s="6" t="s">
        <v>16</v>
      </c>
      <c r="D964" s="6" t="s">
        <v>26</v>
      </c>
      <c r="E964" s="6" t="s">
        <v>27</v>
      </c>
      <c r="F964" s="6">
        <v>1963</v>
      </c>
      <c r="G964" s="6">
        <v>98106.89</v>
      </c>
      <c r="H964" s="7">
        <v>38784</v>
      </c>
      <c r="I964" s="6" t="s">
        <v>35</v>
      </c>
      <c r="J964" s="6" t="s">
        <v>1981</v>
      </c>
      <c r="K964" s="6" t="s">
        <v>37</v>
      </c>
      <c r="L964" s="6" t="s">
        <v>38</v>
      </c>
      <c r="M964" s="6" t="s">
        <v>39</v>
      </c>
      <c r="N964" s="6">
        <v>3.2</v>
      </c>
      <c r="O964" s="6">
        <v>123</v>
      </c>
    </row>
    <row r="965" spans="1:15" ht="14.25" customHeight="1" x14ac:dyDescent="0.3">
      <c r="A965" s="6" t="s">
        <v>1982</v>
      </c>
      <c r="B965" s="6">
        <v>36</v>
      </c>
      <c r="C965" s="6" t="s">
        <v>25</v>
      </c>
      <c r="D965" s="6" t="s">
        <v>26</v>
      </c>
      <c r="E965" s="6" t="s">
        <v>18</v>
      </c>
      <c r="F965" s="6">
        <v>1964</v>
      </c>
      <c r="G965" s="6">
        <v>141348.25</v>
      </c>
      <c r="H965" s="7">
        <v>43056</v>
      </c>
      <c r="I965" s="6" t="s">
        <v>41</v>
      </c>
      <c r="J965" s="6" t="s">
        <v>1983</v>
      </c>
      <c r="K965" s="6" t="s">
        <v>43</v>
      </c>
      <c r="L965" s="6" t="s">
        <v>44</v>
      </c>
      <c r="M965" s="6" t="s">
        <v>45</v>
      </c>
      <c r="N965" s="6">
        <v>1.68</v>
      </c>
      <c r="O965" s="6">
        <v>106</v>
      </c>
    </row>
    <row r="966" spans="1:15" ht="14.25" customHeight="1" x14ac:dyDescent="0.3">
      <c r="A966" s="6" t="s">
        <v>1984</v>
      </c>
      <c r="B966" s="6">
        <v>40</v>
      </c>
      <c r="C966" s="6" t="s">
        <v>62</v>
      </c>
      <c r="D966" s="6" t="s">
        <v>26</v>
      </c>
      <c r="E966" s="6" t="s">
        <v>27</v>
      </c>
      <c r="F966" s="6">
        <v>1965</v>
      </c>
      <c r="G966" s="6">
        <v>185568.84</v>
      </c>
      <c r="H966" s="7">
        <v>37060</v>
      </c>
      <c r="I966" s="6" t="s">
        <v>49</v>
      </c>
      <c r="J966" s="6" t="s">
        <v>1985</v>
      </c>
      <c r="K966" s="6" t="s">
        <v>51</v>
      </c>
      <c r="L966" s="6" t="s">
        <v>52</v>
      </c>
      <c r="M966" s="6" t="s">
        <v>53</v>
      </c>
      <c r="N966" s="6">
        <v>1.0900000000000001</v>
      </c>
      <c r="O966" s="6">
        <v>185</v>
      </c>
    </row>
    <row r="967" spans="1:15" ht="14.25" customHeight="1" x14ac:dyDescent="0.3">
      <c r="A967" s="6" t="s">
        <v>1986</v>
      </c>
      <c r="B967" s="6">
        <v>47</v>
      </c>
      <c r="C967" s="6" t="s">
        <v>62</v>
      </c>
      <c r="D967" s="6" t="s">
        <v>26</v>
      </c>
      <c r="E967" s="6" t="s">
        <v>34</v>
      </c>
      <c r="F967" s="6">
        <v>1966</v>
      </c>
      <c r="G967" s="6">
        <v>139735.85</v>
      </c>
      <c r="H967" s="7">
        <v>43179</v>
      </c>
      <c r="I967" s="6" t="s">
        <v>56</v>
      </c>
      <c r="J967" s="6" t="s">
        <v>1987</v>
      </c>
      <c r="K967" s="6" t="s">
        <v>21</v>
      </c>
      <c r="L967" s="6" t="s">
        <v>22</v>
      </c>
      <c r="M967" s="6" t="s">
        <v>23</v>
      </c>
      <c r="N967" s="6">
        <v>4.07</v>
      </c>
      <c r="O967" s="6">
        <v>63</v>
      </c>
    </row>
    <row r="968" spans="1:15" ht="14.25" customHeight="1" x14ac:dyDescent="0.3">
      <c r="A968" s="6" t="s">
        <v>1988</v>
      </c>
      <c r="B968" s="6">
        <v>25</v>
      </c>
      <c r="C968" s="6" t="s">
        <v>16</v>
      </c>
      <c r="D968" s="6" t="s">
        <v>26</v>
      </c>
      <c r="E968" s="6" t="s">
        <v>80</v>
      </c>
      <c r="F968" s="6">
        <v>1967</v>
      </c>
      <c r="G968" s="6">
        <v>77152.42</v>
      </c>
      <c r="H968" s="7">
        <v>42680</v>
      </c>
      <c r="I968" s="6" t="s">
        <v>63</v>
      </c>
      <c r="J968" s="6" t="s">
        <v>1989</v>
      </c>
      <c r="K968" s="6" t="s">
        <v>30</v>
      </c>
      <c r="L968" s="6" t="s">
        <v>31</v>
      </c>
      <c r="M968" s="6" t="s">
        <v>32</v>
      </c>
      <c r="N968" s="6">
        <v>3.18</v>
      </c>
      <c r="O968" s="6">
        <v>22</v>
      </c>
    </row>
    <row r="969" spans="1:15" ht="14.25" customHeight="1" x14ac:dyDescent="0.3">
      <c r="A969" s="6" t="s">
        <v>1990</v>
      </c>
      <c r="B969" s="6">
        <v>59</v>
      </c>
      <c r="C969" s="6" t="s">
        <v>16</v>
      </c>
      <c r="D969" s="6" t="s">
        <v>47</v>
      </c>
      <c r="E969" s="6" t="s">
        <v>34</v>
      </c>
      <c r="F969" s="6">
        <v>1968</v>
      </c>
      <c r="G969" s="6">
        <v>66707.75</v>
      </c>
      <c r="H969" s="7">
        <v>38234</v>
      </c>
      <c r="I969" s="6" t="s">
        <v>66</v>
      </c>
      <c r="J969" s="6" t="s">
        <v>1991</v>
      </c>
      <c r="K969" s="6" t="s">
        <v>37</v>
      </c>
      <c r="L969" s="6" t="s">
        <v>38</v>
      </c>
      <c r="M969" s="6" t="s">
        <v>39</v>
      </c>
      <c r="N969" s="6">
        <v>3.1</v>
      </c>
      <c r="O969" s="6">
        <v>95</v>
      </c>
    </row>
    <row r="970" spans="1:15" ht="14.25" customHeight="1" x14ac:dyDescent="0.3">
      <c r="A970" s="6" t="s">
        <v>1992</v>
      </c>
      <c r="B970" s="6">
        <v>29</v>
      </c>
      <c r="C970" s="6" t="s">
        <v>62</v>
      </c>
      <c r="D970" s="6" t="s">
        <v>47</v>
      </c>
      <c r="E970" s="6" t="s">
        <v>80</v>
      </c>
      <c r="F970" s="6">
        <v>1969</v>
      </c>
      <c r="G970" s="6">
        <v>148180.19</v>
      </c>
      <c r="H970" s="7">
        <v>43811</v>
      </c>
      <c r="I970" s="6" t="s">
        <v>70</v>
      </c>
      <c r="J970" s="6" t="s">
        <v>1993</v>
      </c>
      <c r="K970" s="6" t="s">
        <v>43</v>
      </c>
      <c r="L970" s="6" t="s">
        <v>44</v>
      </c>
      <c r="M970" s="6" t="s">
        <v>45</v>
      </c>
      <c r="N970" s="6">
        <v>3.72</v>
      </c>
      <c r="O970" s="6">
        <v>66</v>
      </c>
    </row>
    <row r="971" spans="1:15" ht="14.25" customHeight="1" x14ac:dyDescent="0.3">
      <c r="A971" s="6" t="s">
        <v>1994</v>
      </c>
      <c r="B971" s="6">
        <v>51</v>
      </c>
      <c r="C971" s="6" t="s">
        <v>62</v>
      </c>
      <c r="D971" s="6" t="s">
        <v>47</v>
      </c>
      <c r="E971" s="6" t="s">
        <v>34</v>
      </c>
      <c r="F971" s="6">
        <v>1970</v>
      </c>
      <c r="G971" s="6">
        <v>172973.51</v>
      </c>
      <c r="H971" s="7">
        <v>36627</v>
      </c>
      <c r="I971" s="6" t="s">
        <v>73</v>
      </c>
      <c r="J971" s="6" t="s">
        <v>1995</v>
      </c>
      <c r="K971" s="6" t="s">
        <v>51</v>
      </c>
      <c r="L971" s="6" t="s">
        <v>52</v>
      </c>
      <c r="M971" s="6" t="s">
        <v>53</v>
      </c>
      <c r="N971" s="6">
        <v>2.29</v>
      </c>
      <c r="O971" s="6">
        <v>182</v>
      </c>
    </row>
    <row r="972" spans="1:15" ht="14.25" customHeight="1" x14ac:dyDescent="0.3">
      <c r="A972" s="6" t="s">
        <v>1996</v>
      </c>
      <c r="B972" s="6">
        <v>36</v>
      </c>
      <c r="C972" s="6" t="s">
        <v>62</v>
      </c>
      <c r="D972" s="6" t="s">
        <v>55</v>
      </c>
      <c r="E972" s="6" t="s">
        <v>18</v>
      </c>
      <c r="F972" s="6">
        <v>1971</v>
      </c>
      <c r="G972" s="6">
        <v>98320.76</v>
      </c>
      <c r="H972" s="7">
        <v>43347</v>
      </c>
      <c r="I972" s="6" t="s">
        <v>19</v>
      </c>
      <c r="J972" s="6" t="s">
        <v>1997</v>
      </c>
      <c r="K972" s="6" t="s">
        <v>21</v>
      </c>
      <c r="L972" s="6" t="s">
        <v>22</v>
      </c>
      <c r="M972" s="6" t="s">
        <v>23</v>
      </c>
      <c r="N972" s="6">
        <v>4.5599999999999996</v>
      </c>
      <c r="O972" s="6">
        <v>156</v>
      </c>
    </row>
    <row r="973" spans="1:15" ht="14.25" customHeight="1" x14ac:dyDescent="0.3">
      <c r="A973" s="6" t="s">
        <v>1998</v>
      </c>
      <c r="B973" s="6">
        <v>33</v>
      </c>
      <c r="C973" s="6" t="s">
        <v>25</v>
      </c>
      <c r="D973" s="6" t="s">
        <v>17</v>
      </c>
      <c r="E973" s="6" t="s">
        <v>48</v>
      </c>
      <c r="F973" s="6">
        <v>1972</v>
      </c>
      <c r="G973" s="6">
        <v>126566.31</v>
      </c>
      <c r="H973" s="7">
        <v>37375</v>
      </c>
      <c r="I973" s="6" t="s">
        <v>28</v>
      </c>
      <c r="J973" s="6" t="s">
        <v>1999</v>
      </c>
      <c r="K973" s="6" t="s">
        <v>30</v>
      </c>
      <c r="L973" s="6" t="s">
        <v>31</v>
      </c>
      <c r="M973" s="6" t="s">
        <v>32</v>
      </c>
      <c r="N973" s="6">
        <v>1.46</v>
      </c>
      <c r="O973" s="6">
        <v>45</v>
      </c>
    </row>
    <row r="974" spans="1:15" ht="14.25" customHeight="1" x14ac:dyDescent="0.3">
      <c r="A974" s="6" t="s">
        <v>2000</v>
      </c>
      <c r="B974" s="6">
        <v>31</v>
      </c>
      <c r="C974" s="6" t="s">
        <v>16</v>
      </c>
      <c r="D974" s="6" t="s">
        <v>69</v>
      </c>
      <c r="E974" s="6" t="s">
        <v>18</v>
      </c>
      <c r="F974" s="6">
        <v>1973</v>
      </c>
      <c r="G974" s="6">
        <v>167987.33</v>
      </c>
      <c r="H974" s="7">
        <v>38127</v>
      </c>
      <c r="I974" s="6" t="s">
        <v>35</v>
      </c>
      <c r="J974" s="6" t="s">
        <v>2001</v>
      </c>
      <c r="K974" s="6" t="s">
        <v>37</v>
      </c>
      <c r="L974" s="6" t="s">
        <v>38</v>
      </c>
      <c r="M974" s="6" t="s">
        <v>39</v>
      </c>
      <c r="N974" s="6">
        <v>1.81</v>
      </c>
      <c r="O974" s="6">
        <v>14</v>
      </c>
    </row>
    <row r="975" spans="1:15" ht="14.25" customHeight="1" x14ac:dyDescent="0.3">
      <c r="A975" s="6" t="s">
        <v>2002</v>
      </c>
      <c r="B975" s="6">
        <v>33</v>
      </c>
      <c r="C975" s="6" t="s">
        <v>62</v>
      </c>
      <c r="D975" s="6" t="s">
        <v>47</v>
      </c>
      <c r="E975" s="6" t="s">
        <v>80</v>
      </c>
      <c r="F975" s="6">
        <v>1974</v>
      </c>
      <c r="G975" s="6">
        <v>52533.65</v>
      </c>
      <c r="H975" s="7">
        <v>39859</v>
      </c>
      <c r="I975" s="6" t="s">
        <v>41</v>
      </c>
      <c r="J975" s="6" t="s">
        <v>2003</v>
      </c>
      <c r="K975" s="6" t="s">
        <v>43</v>
      </c>
      <c r="L975" s="6" t="s">
        <v>44</v>
      </c>
      <c r="M975" s="6" t="s">
        <v>45</v>
      </c>
      <c r="N975" s="6">
        <v>4.24</v>
      </c>
      <c r="O975" s="6">
        <v>147</v>
      </c>
    </row>
    <row r="976" spans="1:15" ht="14.25" customHeight="1" x14ac:dyDescent="0.3">
      <c r="A976" s="6" t="s">
        <v>2004</v>
      </c>
      <c r="B976" s="6">
        <v>38</v>
      </c>
      <c r="C976" s="6" t="s">
        <v>16</v>
      </c>
      <c r="D976" s="6" t="s">
        <v>55</v>
      </c>
      <c r="E976" s="6" t="s">
        <v>34</v>
      </c>
      <c r="F976" s="6">
        <v>1975</v>
      </c>
      <c r="G976" s="6">
        <v>154489.51999999999</v>
      </c>
      <c r="H976" s="7">
        <v>43574</v>
      </c>
      <c r="I976" s="6" t="s">
        <v>49</v>
      </c>
      <c r="J976" s="6" t="s">
        <v>2005</v>
      </c>
      <c r="K976" s="6" t="s">
        <v>51</v>
      </c>
      <c r="L976" s="6" t="s">
        <v>52</v>
      </c>
      <c r="M976" s="6" t="s">
        <v>53</v>
      </c>
      <c r="N976" s="6">
        <v>4.2699999999999996</v>
      </c>
      <c r="O976" s="6">
        <v>118</v>
      </c>
    </row>
    <row r="977" spans="1:18" ht="14.25" customHeight="1" x14ac:dyDescent="0.3">
      <c r="A977" s="6" t="s">
        <v>2006</v>
      </c>
      <c r="B977" s="6">
        <v>61</v>
      </c>
      <c r="C977" s="6" t="s">
        <v>25</v>
      </c>
      <c r="D977" s="6" t="s">
        <v>55</v>
      </c>
      <c r="E977" s="6" t="s">
        <v>34</v>
      </c>
      <c r="F977" s="6">
        <v>1976</v>
      </c>
      <c r="G977" s="6">
        <v>126339.6</v>
      </c>
      <c r="H977" s="7">
        <v>38651</v>
      </c>
      <c r="I977" s="6" t="s">
        <v>56</v>
      </c>
      <c r="J977" s="6" t="s">
        <v>2007</v>
      </c>
      <c r="K977" s="6" t="s">
        <v>21</v>
      </c>
      <c r="L977" s="6" t="s">
        <v>22</v>
      </c>
      <c r="M977" s="6" t="s">
        <v>23</v>
      </c>
      <c r="N977" s="6">
        <v>1.1599999999999999</v>
      </c>
      <c r="O977" s="6">
        <v>68</v>
      </c>
      <c r="R977">
        <f>COUNTIF(M2:M1001,"USA")</f>
        <v>199</v>
      </c>
    </row>
    <row r="978" spans="1:18" ht="14.25" customHeight="1" x14ac:dyDescent="0.3">
      <c r="A978" s="6" t="s">
        <v>2008</v>
      </c>
      <c r="B978" s="6">
        <v>23</v>
      </c>
      <c r="C978" s="6" t="s">
        <v>62</v>
      </c>
      <c r="D978" s="6" t="s">
        <v>69</v>
      </c>
      <c r="E978" s="6" t="s">
        <v>34</v>
      </c>
      <c r="F978" s="6">
        <v>1977</v>
      </c>
      <c r="G978" s="6">
        <v>158961.89000000001</v>
      </c>
      <c r="H978" s="7">
        <v>44486</v>
      </c>
      <c r="I978" s="6" t="s">
        <v>63</v>
      </c>
      <c r="J978" s="6" t="s">
        <v>2009</v>
      </c>
      <c r="K978" s="6" t="s">
        <v>30</v>
      </c>
      <c r="L978" s="6" t="s">
        <v>31</v>
      </c>
      <c r="M978" s="6" t="s">
        <v>32</v>
      </c>
      <c r="N978" s="6">
        <v>3.42</v>
      </c>
      <c r="O978" s="6">
        <v>23</v>
      </c>
    </row>
    <row r="979" spans="1:18" ht="14.25" customHeight="1" x14ac:dyDescent="0.3">
      <c r="A979" s="6" t="s">
        <v>2010</v>
      </c>
      <c r="B979" s="6">
        <v>40</v>
      </c>
      <c r="C979" s="6" t="s">
        <v>16</v>
      </c>
      <c r="D979" s="6" t="s">
        <v>26</v>
      </c>
      <c r="E979" s="6" t="s">
        <v>48</v>
      </c>
      <c r="F979" s="6">
        <v>1978</v>
      </c>
      <c r="G979" s="6">
        <v>180855.63</v>
      </c>
      <c r="H979" s="7">
        <v>39715</v>
      </c>
      <c r="I979" s="6" t="s">
        <v>66</v>
      </c>
      <c r="J979" s="6" t="s">
        <v>2011</v>
      </c>
      <c r="K979" s="6" t="s">
        <v>37</v>
      </c>
      <c r="L979" s="6" t="s">
        <v>38</v>
      </c>
      <c r="M979" s="6" t="s">
        <v>39</v>
      </c>
      <c r="N979" s="6">
        <v>3.75</v>
      </c>
      <c r="O979" s="6">
        <v>124</v>
      </c>
    </row>
    <row r="980" spans="1:18" ht="14.25" customHeight="1" x14ac:dyDescent="0.3">
      <c r="A980" s="6" t="s">
        <v>2012</v>
      </c>
      <c r="B980" s="6">
        <v>50</v>
      </c>
      <c r="C980" s="6" t="s">
        <v>25</v>
      </c>
      <c r="D980" s="6" t="s">
        <v>55</v>
      </c>
      <c r="E980" s="6" t="s">
        <v>48</v>
      </c>
      <c r="F980" s="6">
        <v>1979</v>
      </c>
      <c r="G980" s="6">
        <v>124186.42</v>
      </c>
      <c r="H980" s="7">
        <v>37628</v>
      </c>
      <c r="I980" s="6" t="s">
        <v>70</v>
      </c>
      <c r="J980" s="6" t="s">
        <v>2013</v>
      </c>
      <c r="K980" s="6" t="s">
        <v>43</v>
      </c>
      <c r="L980" s="6" t="s">
        <v>44</v>
      </c>
      <c r="M980" s="6" t="s">
        <v>45</v>
      </c>
      <c r="N980" s="6">
        <v>1.72</v>
      </c>
      <c r="O980" s="6">
        <v>112</v>
      </c>
      <c r="R980" t="e" cm="1">
        <f t="array" ref="R980">Sum</f>
        <v>#NAME?</v>
      </c>
    </row>
    <row r="981" spans="1:18" ht="14.25" customHeight="1" x14ac:dyDescent="0.3">
      <c r="A981" s="6" t="s">
        <v>2014</v>
      </c>
      <c r="B981" s="6">
        <v>22</v>
      </c>
      <c r="C981" s="6" t="s">
        <v>62</v>
      </c>
      <c r="D981" s="6" t="s">
        <v>17</v>
      </c>
      <c r="E981" s="6" t="s">
        <v>18</v>
      </c>
      <c r="F981" s="6">
        <v>1980</v>
      </c>
      <c r="G981" s="6">
        <v>178381.65</v>
      </c>
      <c r="H981" s="7">
        <v>37838</v>
      </c>
      <c r="I981" s="6" t="s">
        <v>73</v>
      </c>
      <c r="J981" s="6" t="s">
        <v>2015</v>
      </c>
      <c r="K981" s="6" t="s">
        <v>51</v>
      </c>
      <c r="L981" s="6" t="s">
        <v>52</v>
      </c>
      <c r="M981" s="6" t="s">
        <v>53</v>
      </c>
      <c r="N981" s="6">
        <v>2.61</v>
      </c>
      <c r="O981" s="6">
        <v>20</v>
      </c>
    </row>
    <row r="982" spans="1:18" ht="14.25" customHeight="1" x14ac:dyDescent="0.3">
      <c r="A982" s="6" t="s">
        <v>2016</v>
      </c>
      <c r="B982" s="6">
        <v>43</v>
      </c>
      <c r="C982" s="6" t="s">
        <v>16</v>
      </c>
      <c r="D982" s="6" t="s">
        <v>17</v>
      </c>
      <c r="E982" s="6" t="s">
        <v>18</v>
      </c>
      <c r="F982" s="6">
        <v>1981</v>
      </c>
      <c r="G982" s="6">
        <v>51904.54</v>
      </c>
      <c r="H982" s="7">
        <v>40876</v>
      </c>
      <c r="I982" s="6" t="s">
        <v>19</v>
      </c>
      <c r="J982" s="6" t="s">
        <v>2017</v>
      </c>
      <c r="K982" s="6" t="s">
        <v>21</v>
      </c>
      <c r="L982" s="6" t="s">
        <v>22</v>
      </c>
      <c r="M982" s="6" t="s">
        <v>23</v>
      </c>
      <c r="N982" s="6">
        <v>3.56</v>
      </c>
      <c r="O982" s="6">
        <v>120</v>
      </c>
    </row>
    <row r="983" spans="1:18" ht="14.25" customHeight="1" x14ac:dyDescent="0.3">
      <c r="A983" s="6" t="s">
        <v>2018</v>
      </c>
      <c r="B983" s="6">
        <v>46</v>
      </c>
      <c r="C983" s="6" t="s">
        <v>62</v>
      </c>
      <c r="D983" s="6" t="s">
        <v>17</v>
      </c>
      <c r="E983" s="6" t="s">
        <v>80</v>
      </c>
      <c r="F983" s="6">
        <v>1982</v>
      </c>
      <c r="G983" s="6">
        <v>144512.17000000001</v>
      </c>
      <c r="H983" s="7">
        <v>36841</v>
      </c>
      <c r="I983" s="6" t="s">
        <v>28</v>
      </c>
      <c r="J983" s="6" t="s">
        <v>2019</v>
      </c>
      <c r="K983" s="6" t="s">
        <v>30</v>
      </c>
      <c r="L983" s="6" t="s">
        <v>31</v>
      </c>
      <c r="M983" s="6" t="s">
        <v>32</v>
      </c>
      <c r="N983" s="6">
        <v>1.29</v>
      </c>
      <c r="O983" s="6">
        <v>55</v>
      </c>
    </row>
    <row r="984" spans="1:18" ht="14.25" customHeight="1" x14ac:dyDescent="0.3">
      <c r="A984" s="6" t="s">
        <v>2020</v>
      </c>
      <c r="B984" s="6">
        <v>31</v>
      </c>
      <c r="C984" s="6" t="s">
        <v>16</v>
      </c>
      <c r="D984" s="6" t="s">
        <v>55</v>
      </c>
      <c r="E984" s="6" t="s">
        <v>48</v>
      </c>
      <c r="F984" s="6">
        <v>1983</v>
      </c>
      <c r="G984" s="6">
        <v>198036.38</v>
      </c>
      <c r="H984" s="7">
        <v>38308</v>
      </c>
      <c r="I984" s="6" t="s">
        <v>35</v>
      </c>
      <c r="J984" s="6" t="s">
        <v>2021</v>
      </c>
      <c r="K984" s="6" t="s">
        <v>37</v>
      </c>
      <c r="L984" s="6" t="s">
        <v>38</v>
      </c>
      <c r="M984" s="6" t="s">
        <v>39</v>
      </c>
      <c r="N984" s="6">
        <v>3.23</v>
      </c>
      <c r="O984" s="6">
        <v>145</v>
      </c>
    </row>
    <row r="985" spans="1:18" ht="14.25" customHeight="1" x14ac:dyDescent="0.3">
      <c r="A985" s="6" t="s">
        <v>2022</v>
      </c>
      <c r="B985" s="6">
        <v>30</v>
      </c>
      <c r="C985" s="6" t="s">
        <v>16</v>
      </c>
      <c r="D985" s="6" t="s">
        <v>55</v>
      </c>
      <c r="E985" s="6" t="s">
        <v>27</v>
      </c>
      <c r="F985" s="6">
        <v>1984</v>
      </c>
      <c r="G985" s="6">
        <v>94047.25</v>
      </c>
      <c r="H985" s="7">
        <v>37197</v>
      </c>
      <c r="I985" s="6" t="s">
        <v>41</v>
      </c>
      <c r="J985" s="6" t="s">
        <v>2023</v>
      </c>
      <c r="K985" s="6" t="s">
        <v>43</v>
      </c>
      <c r="L985" s="6" t="s">
        <v>44</v>
      </c>
      <c r="M985" s="6" t="s">
        <v>45</v>
      </c>
      <c r="N985" s="6">
        <v>2.78</v>
      </c>
      <c r="O985" s="6">
        <v>144</v>
      </c>
    </row>
    <row r="986" spans="1:18" ht="14.25" customHeight="1" x14ac:dyDescent="0.3">
      <c r="A986" s="6" t="s">
        <v>2024</v>
      </c>
      <c r="B986" s="6">
        <v>40</v>
      </c>
      <c r="C986" s="6" t="s">
        <v>25</v>
      </c>
      <c r="D986" s="6" t="s">
        <v>55</v>
      </c>
      <c r="E986" s="6" t="s">
        <v>18</v>
      </c>
      <c r="F986" s="6">
        <v>1985</v>
      </c>
      <c r="G986" s="6">
        <v>158473.84</v>
      </c>
      <c r="H986" s="7">
        <v>37123</v>
      </c>
      <c r="I986" s="6" t="s">
        <v>49</v>
      </c>
      <c r="J986" s="6" t="s">
        <v>2025</v>
      </c>
      <c r="K986" s="6" t="s">
        <v>51</v>
      </c>
      <c r="L986" s="6" t="s">
        <v>52</v>
      </c>
      <c r="M986" s="6" t="s">
        <v>53</v>
      </c>
      <c r="N986" s="6">
        <v>2.52</v>
      </c>
      <c r="O986" s="6">
        <v>176</v>
      </c>
    </row>
    <row r="987" spans="1:18" ht="14.25" customHeight="1" x14ac:dyDescent="0.3">
      <c r="A987" s="6" t="s">
        <v>2026</v>
      </c>
      <c r="B987" s="6">
        <v>33</v>
      </c>
      <c r="C987" s="6" t="s">
        <v>25</v>
      </c>
      <c r="D987" s="6" t="s">
        <v>55</v>
      </c>
      <c r="E987" s="6" t="s">
        <v>27</v>
      </c>
      <c r="F987" s="6">
        <v>1986</v>
      </c>
      <c r="G987" s="6">
        <v>83666.149999999994</v>
      </c>
      <c r="H987" s="7">
        <v>38205</v>
      </c>
      <c r="I987" s="6" t="s">
        <v>56</v>
      </c>
      <c r="J987" s="6" t="s">
        <v>2027</v>
      </c>
      <c r="K987" s="6" t="s">
        <v>21</v>
      </c>
      <c r="L987" s="6" t="s">
        <v>22</v>
      </c>
      <c r="M987" s="6" t="s">
        <v>23</v>
      </c>
      <c r="N987" s="6">
        <v>2.09</v>
      </c>
      <c r="O987" s="6">
        <v>159</v>
      </c>
    </row>
    <row r="988" spans="1:18" ht="14.25" customHeight="1" x14ac:dyDescent="0.3">
      <c r="A988" s="6" t="s">
        <v>2028</v>
      </c>
      <c r="B988" s="6">
        <v>50</v>
      </c>
      <c r="C988" s="6" t="s">
        <v>25</v>
      </c>
      <c r="D988" s="6" t="s">
        <v>17</v>
      </c>
      <c r="E988" s="6" t="s">
        <v>18</v>
      </c>
      <c r="F988" s="6">
        <v>1987</v>
      </c>
      <c r="G988" s="6">
        <v>195959.86</v>
      </c>
      <c r="H988" s="7">
        <v>39207</v>
      </c>
      <c r="I988" s="6" t="s">
        <v>63</v>
      </c>
      <c r="J988" s="6" t="s">
        <v>2029</v>
      </c>
      <c r="K988" s="6" t="s">
        <v>30</v>
      </c>
      <c r="L988" s="6" t="s">
        <v>31</v>
      </c>
      <c r="M988" s="6" t="s">
        <v>32</v>
      </c>
      <c r="N988" s="6">
        <v>4.0199999999999996</v>
      </c>
      <c r="O988" s="6">
        <v>1</v>
      </c>
    </row>
    <row r="989" spans="1:18" ht="14.25" customHeight="1" x14ac:dyDescent="0.3">
      <c r="A989" s="6" t="s">
        <v>2030</v>
      </c>
      <c r="B989" s="6">
        <v>39</v>
      </c>
      <c r="C989" s="6" t="s">
        <v>25</v>
      </c>
      <c r="D989" s="6" t="s">
        <v>69</v>
      </c>
      <c r="E989" s="6" t="s">
        <v>27</v>
      </c>
      <c r="F989" s="6">
        <v>1988</v>
      </c>
      <c r="G989" s="6">
        <v>116615.3</v>
      </c>
      <c r="H989" s="7">
        <v>41029</v>
      </c>
      <c r="I989" s="6" t="s">
        <v>66</v>
      </c>
      <c r="J989" s="6" t="s">
        <v>2031</v>
      </c>
      <c r="K989" s="6" t="s">
        <v>37</v>
      </c>
      <c r="L989" s="6" t="s">
        <v>38</v>
      </c>
      <c r="M989" s="6" t="s">
        <v>39</v>
      </c>
      <c r="N989" s="6">
        <v>3.58</v>
      </c>
      <c r="O989" s="6">
        <v>171</v>
      </c>
    </row>
    <row r="990" spans="1:18" ht="14.25" customHeight="1" x14ac:dyDescent="0.3">
      <c r="A990" s="6" t="s">
        <v>2032</v>
      </c>
      <c r="B990" s="6">
        <v>37</v>
      </c>
      <c r="C990" s="6" t="s">
        <v>25</v>
      </c>
      <c r="D990" s="6" t="s">
        <v>69</v>
      </c>
      <c r="E990" s="6" t="s">
        <v>27</v>
      </c>
      <c r="F990" s="6">
        <v>1989</v>
      </c>
      <c r="G990" s="6">
        <v>151533.74</v>
      </c>
      <c r="H990" s="7">
        <v>42997</v>
      </c>
      <c r="I990" s="6" t="s">
        <v>70</v>
      </c>
      <c r="J990" s="6" t="s">
        <v>2033</v>
      </c>
      <c r="K990" s="6" t="s">
        <v>43</v>
      </c>
      <c r="L990" s="6" t="s">
        <v>44</v>
      </c>
      <c r="M990" s="6" t="s">
        <v>45</v>
      </c>
      <c r="N990" s="6">
        <v>3.33</v>
      </c>
      <c r="O990" s="6">
        <v>124</v>
      </c>
    </row>
    <row r="991" spans="1:18" ht="14.25" customHeight="1" x14ac:dyDescent="0.3">
      <c r="A991" s="6" t="s">
        <v>2034</v>
      </c>
      <c r="B991" s="6">
        <v>25</v>
      </c>
      <c r="C991" s="6" t="s">
        <v>16</v>
      </c>
      <c r="D991" s="6" t="s">
        <v>55</v>
      </c>
      <c r="E991" s="6" t="s">
        <v>18</v>
      </c>
      <c r="F991" s="6">
        <v>1990</v>
      </c>
      <c r="G991" s="6">
        <v>126087.4</v>
      </c>
      <c r="H991" s="7">
        <v>38932</v>
      </c>
      <c r="I991" s="6" t="s">
        <v>73</v>
      </c>
      <c r="J991" s="6" t="s">
        <v>2035</v>
      </c>
      <c r="K991" s="6" t="s">
        <v>51</v>
      </c>
      <c r="L991" s="6" t="s">
        <v>52</v>
      </c>
      <c r="M991" s="6" t="s">
        <v>53</v>
      </c>
      <c r="N991" s="6">
        <v>4.04</v>
      </c>
      <c r="O991" s="6">
        <v>17</v>
      </c>
    </row>
    <row r="992" spans="1:18" ht="14.25" customHeight="1" x14ac:dyDescent="0.3">
      <c r="A992" s="6" t="s">
        <v>2036</v>
      </c>
      <c r="B992" s="6">
        <v>64</v>
      </c>
      <c r="C992" s="6" t="s">
        <v>25</v>
      </c>
      <c r="D992" s="6" t="s">
        <v>17</v>
      </c>
      <c r="E992" s="6" t="s">
        <v>48</v>
      </c>
      <c r="F992" s="6">
        <v>1991</v>
      </c>
      <c r="G992" s="6">
        <v>62115.94</v>
      </c>
      <c r="H992" s="7">
        <v>43350</v>
      </c>
      <c r="I992" s="6" t="s">
        <v>19</v>
      </c>
      <c r="J992" s="6" t="s">
        <v>2037</v>
      </c>
      <c r="K992" s="6" t="s">
        <v>21</v>
      </c>
      <c r="L992" s="6" t="s">
        <v>22</v>
      </c>
      <c r="M992" s="6" t="s">
        <v>23</v>
      </c>
      <c r="N992" s="6">
        <v>1.26</v>
      </c>
      <c r="O992" s="6">
        <v>61</v>
      </c>
    </row>
    <row r="993" spans="1:15" ht="14.25" customHeight="1" x14ac:dyDescent="0.3">
      <c r="A993" s="6" t="s">
        <v>2038</v>
      </c>
      <c r="B993" s="6">
        <v>46</v>
      </c>
      <c r="C993" s="6" t="s">
        <v>16</v>
      </c>
      <c r="D993" s="6" t="s">
        <v>69</v>
      </c>
      <c r="E993" s="6" t="s">
        <v>18</v>
      </c>
      <c r="F993" s="6">
        <v>1992</v>
      </c>
      <c r="G993" s="6">
        <v>169548.08</v>
      </c>
      <c r="H993" s="7">
        <v>42409</v>
      </c>
      <c r="I993" s="6" t="s">
        <v>28</v>
      </c>
      <c r="J993" s="6" t="s">
        <v>2039</v>
      </c>
      <c r="K993" s="6" t="s">
        <v>30</v>
      </c>
      <c r="L993" s="6" t="s">
        <v>31</v>
      </c>
      <c r="M993" s="6" t="s">
        <v>32</v>
      </c>
      <c r="N993" s="6">
        <v>1.91</v>
      </c>
      <c r="O993" s="6">
        <v>106</v>
      </c>
    </row>
    <row r="994" spans="1:15" ht="14.25" customHeight="1" x14ac:dyDescent="0.3">
      <c r="A994" s="6" t="s">
        <v>2040</v>
      </c>
      <c r="B994" s="6">
        <v>43</v>
      </c>
      <c r="C994" s="6" t="s">
        <v>16</v>
      </c>
      <c r="D994" s="6" t="s">
        <v>17</v>
      </c>
      <c r="E994" s="6" t="s">
        <v>48</v>
      </c>
      <c r="F994" s="6">
        <v>1993</v>
      </c>
      <c r="G994" s="6">
        <v>86371.92</v>
      </c>
      <c r="H994" s="7">
        <v>42112</v>
      </c>
      <c r="I994" s="6" t="s">
        <v>35</v>
      </c>
      <c r="J994" s="6" t="s">
        <v>2041</v>
      </c>
      <c r="K994" s="6" t="s">
        <v>37</v>
      </c>
      <c r="L994" s="6" t="s">
        <v>38</v>
      </c>
      <c r="M994" s="6" t="s">
        <v>39</v>
      </c>
      <c r="N994" s="6">
        <v>2.82</v>
      </c>
      <c r="O994" s="6">
        <v>128</v>
      </c>
    </row>
    <row r="995" spans="1:15" ht="14.25" customHeight="1" x14ac:dyDescent="0.3">
      <c r="A995" s="6" t="s">
        <v>2042</v>
      </c>
      <c r="B995" s="6">
        <v>50</v>
      </c>
      <c r="C995" s="6" t="s">
        <v>62</v>
      </c>
      <c r="D995" s="6" t="s">
        <v>55</v>
      </c>
      <c r="E995" s="6" t="s">
        <v>34</v>
      </c>
      <c r="F995" s="6">
        <v>1994</v>
      </c>
      <c r="G995" s="6">
        <v>91872.59</v>
      </c>
      <c r="H995" s="7">
        <v>42667</v>
      </c>
      <c r="I995" s="6" t="s">
        <v>41</v>
      </c>
      <c r="J995" s="6" t="s">
        <v>2043</v>
      </c>
      <c r="K995" s="6" t="s">
        <v>43</v>
      </c>
      <c r="L995" s="6" t="s">
        <v>44</v>
      </c>
      <c r="M995" s="6" t="s">
        <v>45</v>
      </c>
      <c r="N995" s="6">
        <v>3.1</v>
      </c>
      <c r="O995" s="6">
        <v>175</v>
      </c>
    </row>
    <row r="996" spans="1:15" ht="14.25" customHeight="1" x14ac:dyDescent="0.3">
      <c r="A996" s="6" t="s">
        <v>2044</v>
      </c>
      <c r="B996" s="6">
        <v>43</v>
      </c>
      <c r="C996" s="6" t="s">
        <v>16</v>
      </c>
      <c r="D996" s="6" t="s">
        <v>55</v>
      </c>
      <c r="E996" s="6" t="s">
        <v>34</v>
      </c>
      <c r="F996" s="6">
        <v>1995</v>
      </c>
      <c r="G996" s="6">
        <v>54564.9</v>
      </c>
      <c r="H996" s="7">
        <v>42713</v>
      </c>
      <c r="I996" s="6" t="s">
        <v>49</v>
      </c>
      <c r="J996" s="6" t="s">
        <v>2045</v>
      </c>
      <c r="K996" s="6" t="s">
        <v>51</v>
      </c>
      <c r="L996" s="6" t="s">
        <v>52</v>
      </c>
      <c r="M996" s="6" t="s">
        <v>53</v>
      </c>
      <c r="N996" s="6">
        <v>3.2</v>
      </c>
      <c r="O996" s="6">
        <v>193</v>
      </c>
    </row>
    <row r="997" spans="1:15" ht="14.25" customHeight="1" x14ac:dyDescent="0.3">
      <c r="A997" s="6" t="s">
        <v>2046</v>
      </c>
      <c r="B997" s="6">
        <v>36</v>
      </c>
      <c r="C997" s="6" t="s">
        <v>16</v>
      </c>
      <c r="D997" s="6" t="s">
        <v>47</v>
      </c>
      <c r="E997" s="6" t="s">
        <v>34</v>
      </c>
      <c r="F997" s="6">
        <v>1996</v>
      </c>
      <c r="G997" s="6">
        <v>133267.21</v>
      </c>
      <c r="H997" s="7">
        <v>41066</v>
      </c>
      <c r="I997" s="6" t="s">
        <v>56</v>
      </c>
      <c r="J997" s="6" t="s">
        <v>2047</v>
      </c>
      <c r="K997" s="6" t="s">
        <v>21</v>
      </c>
      <c r="L997" s="6" t="s">
        <v>22</v>
      </c>
      <c r="M997" s="6" t="s">
        <v>23</v>
      </c>
      <c r="N997" s="6">
        <v>3.05</v>
      </c>
      <c r="O997" s="6">
        <v>118</v>
      </c>
    </row>
    <row r="998" spans="1:15" ht="14.25" customHeight="1" x14ac:dyDescent="0.3">
      <c r="A998" s="6" t="s">
        <v>2048</v>
      </c>
      <c r="B998" s="6">
        <v>23</v>
      </c>
      <c r="C998" s="6" t="s">
        <v>25</v>
      </c>
      <c r="D998" s="6" t="s">
        <v>55</v>
      </c>
      <c r="E998" s="6" t="s">
        <v>34</v>
      </c>
      <c r="F998" s="6">
        <v>1997</v>
      </c>
      <c r="G998" s="6">
        <v>130638.55</v>
      </c>
      <c r="H998" s="7">
        <v>40787</v>
      </c>
      <c r="I998" s="6" t="s">
        <v>63</v>
      </c>
      <c r="J998" s="6" t="s">
        <v>2049</v>
      </c>
      <c r="K998" s="6" t="s">
        <v>30</v>
      </c>
      <c r="L998" s="6" t="s">
        <v>31</v>
      </c>
      <c r="M998" s="6" t="s">
        <v>32</v>
      </c>
      <c r="N998" s="6">
        <v>2.5099999999999998</v>
      </c>
      <c r="O998" s="6">
        <v>107</v>
      </c>
    </row>
    <row r="999" spans="1:15" ht="14.25" customHeight="1" x14ac:dyDescent="0.3">
      <c r="A999" s="6" t="s">
        <v>2050</v>
      </c>
      <c r="B999" s="6">
        <v>34</v>
      </c>
      <c r="C999" s="6" t="s">
        <v>16</v>
      </c>
      <c r="D999" s="6" t="s">
        <v>17</v>
      </c>
      <c r="E999" s="6" t="s">
        <v>80</v>
      </c>
      <c r="F999" s="6">
        <v>1998</v>
      </c>
      <c r="G999" s="6">
        <v>77610.61</v>
      </c>
      <c r="H999" s="7">
        <v>44814</v>
      </c>
      <c r="I999" s="6" t="s">
        <v>66</v>
      </c>
      <c r="J999" s="6" t="s">
        <v>2051</v>
      </c>
      <c r="K999" s="6" t="s">
        <v>37</v>
      </c>
      <c r="L999" s="6" t="s">
        <v>38</v>
      </c>
      <c r="M999" s="6" t="s">
        <v>39</v>
      </c>
      <c r="N999" s="6">
        <v>1.1599999999999999</v>
      </c>
      <c r="O999" s="6">
        <v>111</v>
      </c>
    </row>
    <row r="1000" spans="1:15" ht="14.25" customHeight="1" x14ac:dyDescent="0.3">
      <c r="A1000" s="6" t="s">
        <v>2052</v>
      </c>
      <c r="B1000" s="6">
        <v>33</v>
      </c>
      <c r="C1000" s="6" t="s">
        <v>25</v>
      </c>
      <c r="D1000" s="6" t="s">
        <v>55</v>
      </c>
      <c r="E1000" s="6" t="s">
        <v>80</v>
      </c>
      <c r="F1000" s="6">
        <v>1999</v>
      </c>
      <c r="G1000" s="6">
        <v>158592.57</v>
      </c>
      <c r="H1000" s="7">
        <v>44111</v>
      </c>
      <c r="I1000" s="6" t="s">
        <v>70</v>
      </c>
      <c r="J1000" s="6" t="s">
        <v>2053</v>
      </c>
      <c r="K1000" s="6" t="s">
        <v>43</v>
      </c>
      <c r="L1000" s="6" t="s">
        <v>44</v>
      </c>
      <c r="M1000" s="6" t="s">
        <v>45</v>
      </c>
      <c r="N1000" s="6">
        <v>4.47</v>
      </c>
      <c r="O1000" s="6">
        <v>1</v>
      </c>
    </row>
    <row r="1001" spans="1:15" ht="14.25" customHeight="1" x14ac:dyDescent="0.3">
      <c r="A1001" s="6" t="s">
        <v>2054</v>
      </c>
      <c r="B1001" s="6">
        <v>47</v>
      </c>
      <c r="C1001" s="6" t="s">
        <v>16</v>
      </c>
      <c r="D1001" s="6" t="s">
        <v>26</v>
      </c>
      <c r="E1001" s="6" t="s">
        <v>18</v>
      </c>
      <c r="F1001" s="6">
        <v>2000</v>
      </c>
      <c r="G1001" s="6">
        <v>56975.31</v>
      </c>
      <c r="H1001" s="7">
        <v>42509</v>
      </c>
      <c r="I1001" s="6" t="s">
        <v>73</v>
      </c>
      <c r="J1001" s="6" t="s">
        <v>2055</v>
      </c>
      <c r="K1001" s="6" t="s">
        <v>51</v>
      </c>
      <c r="L1001" s="6" t="s">
        <v>52</v>
      </c>
      <c r="M1001" s="6" t="s">
        <v>53</v>
      </c>
      <c r="N1001" s="6">
        <v>2.39</v>
      </c>
      <c r="O1001" s="6">
        <v>66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D257-143B-4DD7-A051-9A2B535E26FE}">
  <dimension ref="A1:S1001"/>
  <sheetViews>
    <sheetView workbookViewId="0">
      <selection activeCell="D6" sqref="D6"/>
    </sheetView>
  </sheetViews>
  <sheetFormatPr defaultRowHeight="14.4" x14ac:dyDescent="0.3"/>
  <cols>
    <col min="8" max="8" width="15.5546875" customWidth="1"/>
    <col min="14" max="14" width="18.5546875" customWidth="1"/>
    <col min="15" max="15" width="22.5546875" customWidth="1"/>
    <col min="16" max="16" width="15.6640625" customWidth="1"/>
  </cols>
  <sheetData>
    <row r="1" spans="1:19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3" t="s">
        <v>2060</v>
      </c>
      <c r="P1" s="3" t="s">
        <v>14</v>
      </c>
    </row>
    <row r="2" spans="1:19" x14ac:dyDescent="0.3">
      <c r="A2" s="4" t="s">
        <v>15</v>
      </c>
      <c r="B2" s="4">
        <v>22</v>
      </c>
      <c r="C2" s="4" t="s">
        <v>16</v>
      </c>
      <c r="D2" s="4" t="s">
        <v>17</v>
      </c>
      <c r="E2" s="4" t="s">
        <v>18</v>
      </c>
      <c r="F2" s="4">
        <v>1001</v>
      </c>
      <c r="G2" s="4">
        <v>186978.16</v>
      </c>
      <c r="H2" s="5">
        <v>43595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>
        <v>2.94</v>
      </c>
      <c r="O2" s="4" t="str">
        <f>IF(N2&gt;=4,"Excellent",IF(N2&gt;=3,"Good",IF(N2&gt;=2,"Average","Poor")))</f>
        <v>Average</v>
      </c>
      <c r="P2" s="4">
        <v>182</v>
      </c>
    </row>
    <row r="3" spans="1:19" x14ac:dyDescent="0.3">
      <c r="A3" s="6" t="s">
        <v>24</v>
      </c>
      <c r="B3" s="6">
        <v>25</v>
      </c>
      <c r="C3" s="6" t="s">
        <v>25</v>
      </c>
      <c r="D3" s="6" t="s">
        <v>26</v>
      </c>
      <c r="E3" s="6" t="s">
        <v>27</v>
      </c>
      <c r="F3" s="6">
        <v>1002</v>
      </c>
      <c r="G3" s="6">
        <v>180610.63</v>
      </c>
      <c r="H3" s="7">
        <v>44927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>
        <v>3.75</v>
      </c>
      <c r="O3" s="4" t="str">
        <f t="shared" ref="O3:O66" si="0">IF(N3&gt;=4,"Excellent",IF(N3&gt;=3,"Good",IF(N3&gt;=2,"Average","Poor")))</f>
        <v>Good</v>
      </c>
      <c r="P3" s="6">
        <v>86</v>
      </c>
      <c r="S3" s="18" t="s">
        <v>2072</v>
      </c>
    </row>
    <row r="4" spans="1:19" x14ac:dyDescent="0.3">
      <c r="A4" s="6" t="s">
        <v>33</v>
      </c>
      <c r="B4" s="6">
        <v>25</v>
      </c>
      <c r="C4" s="6" t="s">
        <v>25</v>
      </c>
      <c r="D4" s="6" t="s">
        <v>17</v>
      </c>
      <c r="E4" s="6" t="s">
        <v>34</v>
      </c>
      <c r="F4" s="6">
        <v>1003</v>
      </c>
      <c r="G4" s="6">
        <v>85152.37</v>
      </c>
      <c r="H4" s="7">
        <v>44012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>
        <v>3.93</v>
      </c>
      <c r="O4" s="4" t="str">
        <f t="shared" si="0"/>
        <v>Good</v>
      </c>
      <c r="P4" s="6">
        <v>49</v>
      </c>
    </row>
    <row r="5" spans="1:19" x14ac:dyDescent="0.3">
      <c r="A5" s="6" t="s">
        <v>40</v>
      </c>
      <c r="B5" s="6">
        <v>61</v>
      </c>
      <c r="C5" s="6" t="s">
        <v>25</v>
      </c>
      <c r="D5" s="6" t="s">
        <v>17</v>
      </c>
      <c r="E5" s="6" t="s">
        <v>18</v>
      </c>
      <c r="F5" s="6">
        <v>1004</v>
      </c>
      <c r="G5" s="6">
        <v>68024.81</v>
      </c>
      <c r="H5" s="7">
        <v>40924</v>
      </c>
      <c r="I5" s="6" t="s">
        <v>41</v>
      </c>
      <c r="J5" s="6" t="s">
        <v>42</v>
      </c>
      <c r="K5" s="6" t="s">
        <v>43</v>
      </c>
      <c r="L5" s="6" t="s">
        <v>44</v>
      </c>
      <c r="M5" s="6" t="s">
        <v>45</v>
      </c>
      <c r="N5" s="6">
        <v>4.38</v>
      </c>
      <c r="O5" s="4" t="str">
        <f t="shared" si="0"/>
        <v>Excellent</v>
      </c>
      <c r="P5" s="6">
        <v>165</v>
      </c>
    </row>
    <row r="6" spans="1:19" x14ac:dyDescent="0.3">
      <c r="A6" s="6" t="s">
        <v>46</v>
      </c>
      <c r="B6" s="6">
        <v>31</v>
      </c>
      <c r="C6" s="6" t="s">
        <v>25</v>
      </c>
      <c r="D6" s="6" t="s">
        <v>47</v>
      </c>
      <c r="E6" s="6" t="s">
        <v>48</v>
      </c>
      <c r="F6" s="6">
        <v>1005</v>
      </c>
      <c r="G6" s="6">
        <v>130122.92</v>
      </c>
      <c r="H6" s="7">
        <v>43338</v>
      </c>
      <c r="I6" s="6" t="s">
        <v>49</v>
      </c>
      <c r="J6" s="6" t="s">
        <v>50</v>
      </c>
      <c r="K6" s="6" t="s">
        <v>51</v>
      </c>
      <c r="L6" s="6" t="s">
        <v>52</v>
      </c>
      <c r="M6" s="6" t="s">
        <v>53</v>
      </c>
      <c r="N6" s="6">
        <v>2.77</v>
      </c>
      <c r="O6" s="4" t="str">
        <f t="shared" si="0"/>
        <v>Average</v>
      </c>
      <c r="P6" s="6">
        <v>130</v>
      </c>
    </row>
    <row r="7" spans="1:19" x14ac:dyDescent="0.3">
      <c r="A7" s="6" t="s">
        <v>54</v>
      </c>
      <c r="B7" s="6">
        <v>41</v>
      </c>
      <c r="C7" s="6" t="s">
        <v>16</v>
      </c>
      <c r="D7" s="6" t="s">
        <v>55</v>
      </c>
      <c r="E7" s="6" t="s">
        <v>48</v>
      </c>
      <c r="F7" s="6">
        <v>1006</v>
      </c>
      <c r="G7" s="6">
        <v>128330.48</v>
      </c>
      <c r="H7" s="7">
        <v>44314</v>
      </c>
      <c r="I7" s="6" t="s">
        <v>56</v>
      </c>
      <c r="J7" s="6" t="s">
        <v>57</v>
      </c>
      <c r="K7" s="6" t="s">
        <v>58</v>
      </c>
      <c r="L7" s="6" t="s">
        <v>59</v>
      </c>
      <c r="M7" s="6" t="s">
        <v>60</v>
      </c>
      <c r="N7" s="6">
        <v>1.34</v>
      </c>
      <c r="O7" s="4" t="str">
        <f t="shared" si="0"/>
        <v>Poor</v>
      </c>
      <c r="P7" s="6">
        <v>56</v>
      </c>
    </row>
    <row r="8" spans="1:19" x14ac:dyDescent="0.3">
      <c r="A8" s="6" t="s">
        <v>61</v>
      </c>
      <c r="B8" s="6">
        <v>43</v>
      </c>
      <c r="C8" s="6" t="s">
        <v>62</v>
      </c>
      <c r="D8" s="6" t="s">
        <v>26</v>
      </c>
      <c r="E8" s="6" t="s">
        <v>48</v>
      </c>
      <c r="F8" s="6">
        <v>1007</v>
      </c>
      <c r="G8" s="6">
        <v>119762.64</v>
      </c>
      <c r="H8" s="7">
        <v>39611</v>
      </c>
      <c r="I8" s="6" t="s">
        <v>63</v>
      </c>
      <c r="J8" s="6" t="s">
        <v>64</v>
      </c>
      <c r="K8" s="4" t="s">
        <v>21</v>
      </c>
      <c r="L8" s="4" t="s">
        <v>22</v>
      </c>
      <c r="M8" s="6" t="s">
        <v>23</v>
      </c>
      <c r="N8" s="6">
        <v>4.3600000000000003</v>
      </c>
      <c r="O8" s="4" t="str">
        <f t="shared" si="0"/>
        <v>Excellent</v>
      </c>
      <c r="P8" s="6">
        <v>87</v>
      </c>
    </row>
    <row r="9" spans="1:19" x14ac:dyDescent="0.3">
      <c r="A9" s="6" t="s">
        <v>65</v>
      </c>
      <c r="B9" s="6">
        <v>58</v>
      </c>
      <c r="C9" s="6" t="s">
        <v>25</v>
      </c>
      <c r="D9" s="6" t="s">
        <v>17</v>
      </c>
      <c r="E9" s="6" t="s">
        <v>27</v>
      </c>
      <c r="F9" s="6">
        <v>1008</v>
      </c>
      <c r="G9" s="6">
        <v>126188.66</v>
      </c>
      <c r="H9" s="7">
        <v>41122</v>
      </c>
      <c r="I9" s="6" t="s">
        <v>66</v>
      </c>
      <c r="J9" s="6" t="s">
        <v>67</v>
      </c>
      <c r="K9" s="6" t="s">
        <v>30</v>
      </c>
      <c r="L9" s="6" t="s">
        <v>31</v>
      </c>
      <c r="M9" s="6" t="s">
        <v>32</v>
      </c>
      <c r="N9" s="6">
        <v>4.99</v>
      </c>
      <c r="O9" s="4" t="str">
        <f t="shared" si="0"/>
        <v>Excellent</v>
      </c>
      <c r="P9" s="6">
        <v>190</v>
      </c>
    </row>
    <row r="10" spans="1:19" x14ac:dyDescent="0.3">
      <c r="A10" s="6" t="s">
        <v>68</v>
      </c>
      <c r="B10" s="6">
        <v>45</v>
      </c>
      <c r="C10" s="6" t="s">
        <v>62</v>
      </c>
      <c r="D10" s="6" t="s">
        <v>69</v>
      </c>
      <c r="E10" s="6" t="s">
        <v>34</v>
      </c>
      <c r="F10" s="6">
        <v>1009</v>
      </c>
      <c r="G10" s="6">
        <v>140463.31</v>
      </c>
      <c r="H10" s="7">
        <v>44175</v>
      </c>
      <c r="I10" s="6" t="s">
        <v>70</v>
      </c>
      <c r="J10" s="6" t="s">
        <v>71</v>
      </c>
      <c r="K10" s="6" t="s">
        <v>37</v>
      </c>
      <c r="L10" s="6" t="s">
        <v>38</v>
      </c>
      <c r="M10" s="6" t="s">
        <v>39</v>
      </c>
      <c r="N10" s="6">
        <v>2.91</v>
      </c>
      <c r="O10" s="4" t="str">
        <f t="shared" si="0"/>
        <v>Average</v>
      </c>
      <c r="P10" s="6">
        <v>175</v>
      </c>
    </row>
    <row r="11" spans="1:19" x14ac:dyDescent="0.3">
      <c r="A11" s="6" t="s">
        <v>72</v>
      </c>
      <c r="B11" s="6">
        <v>28</v>
      </c>
      <c r="C11" s="6" t="s">
        <v>25</v>
      </c>
      <c r="D11" s="6" t="s">
        <v>55</v>
      </c>
      <c r="E11" s="6" t="s">
        <v>48</v>
      </c>
      <c r="F11" s="6">
        <v>1010</v>
      </c>
      <c r="G11" s="6">
        <v>192474.29</v>
      </c>
      <c r="H11" s="7">
        <v>41994</v>
      </c>
      <c r="I11" s="6" t="s">
        <v>73</v>
      </c>
      <c r="J11" s="6" t="s">
        <v>74</v>
      </c>
      <c r="K11" s="6" t="s">
        <v>43</v>
      </c>
      <c r="L11" s="6" t="s">
        <v>44</v>
      </c>
      <c r="M11" s="6" t="s">
        <v>45</v>
      </c>
      <c r="N11" s="6">
        <v>3.14</v>
      </c>
      <c r="O11" s="4" t="str">
        <f t="shared" si="0"/>
        <v>Good</v>
      </c>
      <c r="P11" s="6">
        <v>74</v>
      </c>
    </row>
    <row r="12" spans="1:19" x14ac:dyDescent="0.3">
      <c r="A12" s="6" t="s">
        <v>75</v>
      </c>
      <c r="B12" s="6">
        <v>46</v>
      </c>
      <c r="C12" s="6" t="s">
        <v>25</v>
      </c>
      <c r="D12" s="6" t="s">
        <v>26</v>
      </c>
      <c r="E12" s="6" t="s">
        <v>34</v>
      </c>
      <c r="F12" s="6">
        <v>1011</v>
      </c>
      <c r="G12" s="6">
        <v>186296.33</v>
      </c>
      <c r="H12" s="7">
        <v>38409</v>
      </c>
      <c r="I12" s="6" t="s">
        <v>19</v>
      </c>
      <c r="J12" s="6" t="s">
        <v>76</v>
      </c>
      <c r="K12" s="6" t="s">
        <v>51</v>
      </c>
      <c r="L12" s="6" t="s">
        <v>52</v>
      </c>
      <c r="M12" s="6" t="s">
        <v>53</v>
      </c>
      <c r="N12" s="6">
        <v>4.5199999999999996</v>
      </c>
      <c r="O12" s="4" t="str">
        <f t="shared" si="0"/>
        <v>Excellent</v>
      </c>
      <c r="P12" s="6">
        <v>13</v>
      </c>
    </row>
    <row r="13" spans="1:19" x14ac:dyDescent="0.3">
      <c r="A13" s="6" t="s">
        <v>77</v>
      </c>
      <c r="B13" s="6">
        <v>46</v>
      </c>
      <c r="C13" s="6" t="s">
        <v>25</v>
      </c>
      <c r="D13" s="6" t="s">
        <v>17</v>
      </c>
      <c r="E13" s="6" t="s">
        <v>48</v>
      </c>
      <c r="F13" s="6">
        <v>1012</v>
      </c>
      <c r="G13" s="6">
        <v>155436.01999999999</v>
      </c>
      <c r="H13" s="7">
        <v>44747</v>
      </c>
      <c r="I13" s="6" t="s">
        <v>28</v>
      </c>
      <c r="J13" s="6" t="s">
        <v>78</v>
      </c>
      <c r="K13" s="6" t="s">
        <v>58</v>
      </c>
      <c r="L13" s="6" t="s">
        <v>59</v>
      </c>
      <c r="M13" s="6" t="s">
        <v>60</v>
      </c>
      <c r="N13" s="6">
        <v>4.82</v>
      </c>
      <c r="O13" s="4" t="str">
        <f t="shared" si="0"/>
        <v>Excellent</v>
      </c>
      <c r="P13" s="6">
        <v>189</v>
      </c>
    </row>
    <row r="14" spans="1:19" x14ac:dyDescent="0.3">
      <c r="A14" s="6" t="s">
        <v>79</v>
      </c>
      <c r="B14" s="6">
        <v>34</v>
      </c>
      <c r="C14" s="6" t="s">
        <v>62</v>
      </c>
      <c r="D14" s="6" t="s">
        <v>17</v>
      </c>
      <c r="E14" s="6" t="s">
        <v>80</v>
      </c>
      <c r="F14" s="6">
        <v>1013</v>
      </c>
      <c r="G14" s="6">
        <v>185303.25</v>
      </c>
      <c r="H14" s="7">
        <v>40629</v>
      </c>
      <c r="I14" s="6" t="s">
        <v>35</v>
      </c>
      <c r="J14" s="6" t="s">
        <v>81</v>
      </c>
      <c r="K14" s="4" t="s">
        <v>21</v>
      </c>
      <c r="L14" s="4" t="s">
        <v>22</v>
      </c>
      <c r="M14" s="6" t="s">
        <v>23</v>
      </c>
      <c r="N14" s="6">
        <v>2.02</v>
      </c>
      <c r="O14" s="4" t="str">
        <f t="shared" si="0"/>
        <v>Average</v>
      </c>
      <c r="P14" s="6">
        <v>92</v>
      </c>
    </row>
    <row r="15" spans="1:19" x14ac:dyDescent="0.3">
      <c r="A15" s="6" t="s">
        <v>82</v>
      </c>
      <c r="B15" s="6">
        <v>23</v>
      </c>
      <c r="C15" s="6" t="s">
        <v>62</v>
      </c>
      <c r="D15" s="6" t="s">
        <v>55</v>
      </c>
      <c r="E15" s="6" t="s">
        <v>18</v>
      </c>
      <c r="F15" s="6">
        <v>1014</v>
      </c>
      <c r="G15" s="6">
        <v>147402.04999999999</v>
      </c>
      <c r="H15" s="7">
        <v>43144</v>
      </c>
      <c r="I15" s="6" t="s">
        <v>41</v>
      </c>
      <c r="J15" s="6" t="s">
        <v>83</v>
      </c>
      <c r="K15" s="6" t="s">
        <v>30</v>
      </c>
      <c r="L15" s="6" t="s">
        <v>31</v>
      </c>
      <c r="M15" s="6" t="s">
        <v>32</v>
      </c>
      <c r="N15" s="6">
        <v>1.51</v>
      </c>
      <c r="O15" s="4" t="str">
        <f t="shared" si="0"/>
        <v>Poor</v>
      </c>
      <c r="P15" s="6">
        <v>4</v>
      </c>
    </row>
    <row r="16" spans="1:19" x14ac:dyDescent="0.3">
      <c r="A16" s="6" t="s">
        <v>84</v>
      </c>
      <c r="B16" s="6">
        <v>60</v>
      </c>
      <c r="C16" s="6" t="s">
        <v>62</v>
      </c>
      <c r="D16" s="6" t="s">
        <v>69</v>
      </c>
      <c r="E16" s="6" t="s">
        <v>27</v>
      </c>
      <c r="F16" s="6">
        <v>1015</v>
      </c>
      <c r="G16" s="6">
        <v>160358.07999999999</v>
      </c>
      <c r="H16" s="7">
        <v>36528</v>
      </c>
      <c r="I16" s="6" t="s">
        <v>49</v>
      </c>
      <c r="J16" s="6" t="s">
        <v>85</v>
      </c>
      <c r="K16" s="6" t="s">
        <v>37</v>
      </c>
      <c r="L16" s="6" t="s">
        <v>38</v>
      </c>
      <c r="M16" s="6" t="s">
        <v>39</v>
      </c>
      <c r="N16" s="6">
        <v>1.78</v>
      </c>
      <c r="O16" s="4" t="str">
        <f t="shared" si="0"/>
        <v>Poor</v>
      </c>
      <c r="P16" s="6">
        <v>150</v>
      </c>
    </row>
    <row r="17" spans="1:16" x14ac:dyDescent="0.3">
      <c r="A17" s="6" t="s">
        <v>86</v>
      </c>
      <c r="B17" s="6">
        <v>61</v>
      </c>
      <c r="C17" s="6" t="s">
        <v>16</v>
      </c>
      <c r="D17" s="6" t="s">
        <v>17</v>
      </c>
      <c r="E17" s="6" t="s">
        <v>18</v>
      </c>
      <c r="F17" s="6">
        <v>1016</v>
      </c>
      <c r="G17" s="6">
        <v>142161.03</v>
      </c>
      <c r="H17" s="7">
        <v>42104</v>
      </c>
      <c r="I17" s="6" t="s">
        <v>56</v>
      </c>
      <c r="J17" s="6" t="s">
        <v>87</v>
      </c>
      <c r="K17" s="6" t="s">
        <v>43</v>
      </c>
      <c r="L17" s="6" t="s">
        <v>44</v>
      </c>
      <c r="M17" s="6" t="s">
        <v>45</v>
      </c>
      <c r="N17" s="6">
        <v>2.2200000000000002</v>
      </c>
      <c r="O17" s="4" t="str">
        <f t="shared" si="0"/>
        <v>Average</v>
      </c>
      <c r="P17" s="6">
        <v>78</v>
      </c>
    </row>
    <row r="18" spans="1:16" x14ac:dyDescent="0.3">
      <c r="A18" s="6" t="s">
        <v>88</v>
      </c>
      <c r="B18" s="6">
        <v>45</v>
      </c>
      <c r="C18" s="6" t="s">
        <v>62</v>
      </c>
      <c r="D18" s="6" t="s">
        <v>47</v>
      </c>
      <c r="E18" s="6" t="s">
        <v>18</v>
      </c>
      <c r="F18" s="6">
        <v>1017</v>
      </c>
      <c r="G18" s="6">
        <v>106217.93</v>
      </c>
      <c r="H18" s="7">
        <v>41010</v>
      </c>
      <c r="I18" s="6" t="s">
        <v>63</v>
      </c>
      <c r="J18" s="6" t="s">
        <v>89</v>
      </c>
      <c r="K18" s="6" t="s">
        <v>51</v>
      </c>
      <c r="L18" s="6" t="s">
        <v>52</v>
      </c>
      <c r="M18" s="6" t="s">
        <v>53</v>
      </c>
      <c r="N18" s="6">
        <v>4.45</v>
      </c>
      <c r="O18" s="4" t="str">
        <f t="shared" si="0"/>
        <v>Excellent</v>
      </c>
      <c r="P18" s="6">
        <v>182</v>
      </c>
    </row>
    <row r="19" spans="1:16" x14ac:dyDescent="0.3">
      <c r="A19" s="6" t="s">
        <v>90</v>
      </c>
      <c r="B19" s="6">
        <v>46</v>
      </c>
      <c r="C19" s="6" t="s">
        <v>16</v>
      </c>
      <c r="D19" s="6" t="s">
        <v>47</v>
      </c>
      <c r="E19" s="6" t="s">
        <v>80</v>
      </c>
      <c r="F19" s="6">
        <v>1018</v>
      </c>
      <c r="G19" s="6">
        <v>114500.4</v>
      </c>
      <c r="H19" s="7">
        <v>36903</v>
      </c>
      <c r="I19" s="6" t="s">
        <v>66</v>
      </c>
      <c r="J19" s="6" t="s">
        <v>91</v>
      </c>
      <c r="K19" s="6" t="s">
        <v>58</v>
      </c>
      <c r="L19" s="6" t="s">
        <v>59</v>
      </c>
      <c r="M19" s="6" t="s">
        <v>60</v>
      </c>
      <c r="N19" s="6">
        <v>3.96</v>
      </c>
      <c r="O19" s="4" t="str">
        <f t="shared" si="0"/>
        <v>Good</v>
      </c>
      <c r="P19" s="6">
        <v>167</v>
      </c>
    </row>
    <row r="20" spans="1:16" x14ac:dyDescent="0.3">
      <c r="A20" s="6" t="s">
        <v>92</v>
      </c>
      <c r="B20" s="6">
        <v>39</v>
      </c>
      <c r="C20" s="6" t="s">
        <v>16</v>
      </c>
      <c r="D20" s="6" t="s">
        <v>55</v>
      </c>
      <c r="E20" s="6" t="s">
        <v>34</v>
      </c>
      <c r="F20" s="6">
        <v>1019</v>
      </c>
      <c r="G20" s="6">
        <v>135513.35</v>
      </c>
      <c r="H20" s="7">
        <v>41352</v>
      </c>
      <c r="I20" s="6" t="s">
        <v>70</v>
      </c>
      <c r="J20" s="6" t="s">
        <v>93</v>
      </c>
      <c r="K20" s="4" t="s">
        <v>21</v>
      </c>
      <c r="L20" s="4" t="s">
        <v>22</v>
      </c>
      <c r="M20" s="6" t="s">
        <v>23</v>
      </c>
      <c r="N20" s="6">
        <v>3.36</v>
      </c>
      <c r="O20" s="4" t="str">
        <f t="shared" si="0"/>
        <v>Good</v>
      </c>
      <c r="P20" s="6">
        <v>59</v>
      </c>
    </row>
    <row r="21" spans="1:16" x14ac:dyDescent="0.3">
      <c r="A21" s="6" t="s">
        <v>94</v>
      </c>
      <c r="B21" s="6">
        <v>59</v>
      </c>
      <c r="C21" s="6" t="s">
        <v>62</v>
      </c>
      <c r="D21" s="6" t="s">
        <v>26</v>
      </c>
      <c r="E21" s="6" t="s">
        <v>18</v>
      </c>
      <c r="F21" s="6">
        <v>1020</v>
      </c>
      <c r="G21" s="6">
        <v>86687.91</v>
      </c>
      <c r="H21" s="7">
        <v>41057</v>
      </c>
      <c r="I21" s="6" t="s">
        <v>73</v>
      </c>
      <c r="J21" s="6" t="s">
        <v>95</v>
      </c>
      <c r="K21" s="6" t="s">
        <v>30</v>
      </c>
      <c r="L21" s="6" t="s">
        <v>31</v>
      </c>
      <c r="M21" s="6" t="s">
        <v>32</v>
      </c>
      <c r="N21" s="6">
        <v>3.9</v>
      </c>
      <c r="O21" s="4" t="str">
        <f t="shared" si="0"/>
        <v>Good</v>
      </c>
      <c r="P21" s="6">
        <v>181</v>
      </c>
    </row>
    <row r="22" spans="1:16" x14ac:dyDescent="0.3">
      <c r="A22" s="6" t="s">
        <v>96</v>
      </c>
      <c r="B22" s="6">
        <v>47</v>
      </c>
      <c r="C22" s="6" t="s">
        <v>25</v>
      </c>
      <c r="D22" s="6" t="s">
        <v>55</v>
      </c>
      <c r="E22" s="6" t="s">
        <v>80</v>
      </c>
      <c r="F22" s="6">
        <v>1021</v>
      </c>
      <c r="G22" s="6">
        <v>61550.15</v>
      </c>
      <c r="H22" s="7">
        <v>38090</v>
      </c>
      <c r="I22" s="6" t="s">
        <v>19</v>
      </c>
      <c r="J22" s="6" t="s">
        <v>97</v>
      </c>
      <c r="K22" s="6" t="s">
        <v>37</v>
      </c>
      <c r="L22" s="6" t="s">
        <v>38</v>
      </c>
      <c r="M22" s="6" t="s">
        <v>39</v>
      </c>
      <c r="N22" s="6">
        <v>4.2300000000000004</v>
      </c>
      <c r="O22" s="4" t="str">
        <f t="shared" si="0"/>
        <v>Excellent</v>
      </c>
      <c r="P22" s="6">
        <v>66</v>
      </c>
    </row>
    <row r="23" spans="1:16" x14ac:dyDescent="0.3">
      <c r="A23" s="6" t="s">
        <v>98</v>
      </c>
      <c r="B23" s="6">
        <v>35</v>
      </c>
      <c r="C23" s="6" t="s">
        <v>25</v>
      </c>
      <c r="D23" s="6" t="s">
        <v>55</v>
      </c>
      <c r="E23" s="6" t="s">
        <v>34</v>
      </c>
      <c r="F23" s="6">
        <v>1022</v>
      </c>
      <c r="G23" s="6">
        <v>154481.57999999999</v>
      </c>
      <c r="H23" s="7">
        <v>38264</v>
      </c>
      <c r="I23" s="6" t="s">
        <v>28</v>
      </c>
      <c r="J23" s="6" t="s">
        <v>99</v>
      </c>
      <c r="K23" s="6" t="s">
        <v>43</v>
      </c>
      <c r="L23" s="6" t="s">
        <v>44</v>
      </c>
      <c r="M23" s="6" t="s">
        <v>45</v>
      </c>
      <c r="N23" s="6">
        <v>3.04</v>
      </c>
      <c r="O23" s="4" t="str">
        <f t="shared" si="0"/>
        <v>Good</v>
      </c>
      <c r="P23" s="6">
        <v>108</v>
      </c>
    </row>
    <row r="24" spans="1:16" x14ac:dyDescent="0.3">
      <c r="A24" s="6" t="s">
        <v>100</v>
      </c>
      <c r="B24" s="6">
        <v>30</v>
      </c>
      <c r="C24" s="6" t="s">
        <v>16</v>
      </c>
      <c r="D24" s="6" t="s">
        <v>26</v>
      </c>
      <c r="E24" s="6" t="s">
        <v>80</v>
      </c>
      <c r="F24" s="6">
        <v>1023</v>
      </c>
      <c r="G24" s="6">
        <v>123181.38</v>
      </c>
      <c r="H24" s="7">
        <v>41830</v>
      </c>
      <c r="I24" s="6" t="s">
        <v>35</v>
      </c>
      <c r="J24" s="6" t="s">
        <v>101</v>
      </c>
      <c r="K24" s="6" t="s">
        <v>51</v>
      </c>
      <c r="L24" s="6" t="s">
        <v>52</v>
      </c>
      <c r="M24" s="6" t="s">
        <v>53</v>
      </c>
      <c r="N24" s="6">
        <v>1.27</v>
      </c>
      <c r="O24" s="4" t="str">
        <f t="shared" si="0"/>
        <v>Poor</v>
      </c>
      <c r="P24" s="6">
        <v>181</v>
      </c>
    </row>
    <row r="25" spans="1:16" x14ac:dyDescent="0.3">
      <c r="A25" s="6" t="s">
        <v>102</v>
      </c>
      <c r="B25" s="6">
        <v>31</v>
      </c>
      <c r="C25" s="6" t="s">
        <v>25</v>
      </c>
      <c r="D25" s="6" t="s">
        <v>26</v>
      </c>
      <c r="E25" s="6" t="s">
        <v>34</v>
      </c>
      <c r="F25" s="6">
        <v>1024</v>
      </c>
      <c r="G25" s="6">
        <v>85790</v>
      </c>
      <c r="H25" s="7">
        <v>43176</v>
      </c>
      <c r="I25" s="6" t="s">
        <v>41</v>
      </c>
      <c r="J25" s="6" t="s">
        <v>103</v>
      </c>
      <c r="K25" s="6" t="s">
        <v>58</v>
      </c>
      <c r="L25" s="6" t="s">
        <v>59</v>
      </c>
      <c r="M25" s="6" t="s">
        <v>60</v>
      </c>
      <c r="N25" s="6">
        <v>4.3899999999999997</v>
      </c>
      <c r="O25" s="4" t="str">
        <f t="shared" si="0"/>
        <v>Excellent</v>
      </c>
      <c r="P25" s="6">
        <v>81</v>
      </c>
    </row>
    <row r="26" spans="1:16" x14ac:dyDescent="0.3">
      <c r="A26" s="6" t="s">
        <v>104</v>
      </c>
      <c r="B26" s="6">
        <v>42</v>
      </c>
      <c r="C26" s="6" t="s">
        <v>25</v>
      </c>
      <c r="D26" s="6" t="s">
        <v>26</v>
      </c>
      <c r="E26" s="6" t="s">
        <v>80</v>
      </c>
      <c r="F26" s="6">
        <v>1025</v>
      </c>
      <c r="G26" s="6">
        <v>115900.12</v>
      </c>
      <c r="H26" s="7">
        <v>42757</v>
      </c>
      <c r="I26" s="6" t="s">
        <v>49</v>
      </c>
      <c r="J26" s="6" t="s">
        <v>105</v>
      </c>
      <c r="K26" s="4" t="s">
        <v>21</v>
      </c>
      <c r="L26" s="4" t="s">
        <v>22</v>
      </c>
      <c r="M26" s="6" t="s">
        <v>23</v>
      </c>
      <c r="N26" s="6">
        <v>2.78</v>
      </c>
      <c r="O26" s="4" t="str">
        <f t="shared" si="0"/>
        <v>Average</v>
      </c>
      <c r="P26" s="6">
        <v>14</v>
      </c>
    </row>
    <row r="27" spans="1:16" x14ac:dyDescent="0.3">
      <c r="A27" s="6" t="s">
        <v>106</v>
      </c>
      <c r="B27" s="6">
        <v>38</v>
      </c>
      <c r="C27" s="6" t="s">
        <v>16</v>
      </c>
      <c r="D27" s="6" t="s">
        <v>69</v>
      </c>
      <c r="E27" s="6" t="s">
        <v>18</v>
      </c>
      <c r="F27" s="6">
        <v>1026</v>
      </c>
      <c r="G27" s="6">
        <v>54839.09</v>
      </c>
      <c r="H27" s="7">
        <v>42736</v>
      </c>
      <c r="I27" s="6" t="s">
        <v>56</v>
      </c>
      <c r="J27" s="6" t="s">
        <v>107</v>
      </c>
      <c r="K27" s="6" t="s">
        <v>30</v>
      </c>
      <c r="L27" s="6" t="s">
        <v>31</v>
      </c>
      <c r="M27" s="6" t="s">
        <v>32</v>
      </c>
      <c r="N27" s="6">
        <v>3.4</v>
      </c>
      <c r="O27" s="4" t="str">
        <f t="shared" si="0"/>
        <v>Good</v>
      </c>
      <c r="P27" s="6">
        <v>9</v>
      </c>
    </row>
    <row r="28" spans="1:16" x14ac:dyDescent="0.3">
      <c r="A28" s="6" t="s">
        <v>108</v>
      </c>
      <c r="B28" s="6">
        <v>27</v>
      </c>
      <c r="C28" s="6" t="s">
        <v>62</v>
      </c>
      <c r="D28" s="6" t="s">
        <v>17</v>
      </c>
      <c r="E28" s="6" t="s">
        <v>18</v>
      </c>
      <c r="F28" s="6">
        <v>1027</v>
      </c>
      <c r="G28" s="6">
        <v>121415.73</v>
      </c>
      <c r="H28" s="7">
        <v>43876</v>
      </c>
      <c r="I28" s="6" t="s">
        <v>63</v>
      </c>
      <c r="J28" s="6" t="s">
        <v>109</v>
      </c>
      <c r="K28" s="6" t="s">
        <v>37</v>
      </c>
      <c r="L28" s="6" t="s">
        <v>38</v>
      </c>
      <c r="M28" s="6" t="s">
        <v>39</v>
      </c>
      <c r="N28" s="6">
        <v>1.95</v>
      </c>
      <c r="O28" s="4" t="str">
        <f t="shared" si="0"/>
        <v>Poor</v>
      </c>
      <c r="P28" s="6">
        <v>115</v>
      </c>
    </row>
    <row r="29" spans="1:16" x14ac:dyDescent="0.3">
      <c r="A29" s="6" t="s">
        <v>110</v>
      </c>
      <c r="B29" s="6">
        <v>37</v>
      </c>
      <c r="C29" s="6" t="s">
        <v>16</v>
      </c>
      <c r="D29" s="6" t="s">
        <v>55</v>
      </c>
      <c r="E29" s="6" t="s">
        <v>80</v>
      </c>
      <c r="F29" s="6">
        <v>1028</v>
      </c>
      <c r="G29" s="6">
        <v>145305.42000000001</v>
      </c>
      <c r="H29" s="7">
        <v>40804</v>
      </c>
      <c r="I29" s="6" t="s">
        <v>66</v>
      </c>
      <c r="J29" s="6" t="s">
        <v>111</v>
      </c>
      <c r="K29" s="6" t="s">
        <v>43</v>
      </c>
      <c r="L29" s="6" t="s">
        <v>44</v>
      </c>
      <c r="M29" s="6" t="s">
        <v>45</v>
      </c>
      <c r="N29" s="6">
        <v>3.96</v>
      </c>
      <c r="O29" s="4" t="str">
        <f t="shared" si="0"/>
        <v>Good</v>
      </c>
      <c r="P29" s="6">
        <v>70</v>
      </c>
    </row>
    <row r="30" spans="1:16" x14ac:dyDescent="0.3">
      <c r="A30" s="6" t="s">
        <v>112</v>
      </c>
      <c r="B30" s="6">
        <v>22</v>
      </c>
      <c r="C30" s="6" t="s">
        <v>62</v>
      </c>
      <c r="D30" s="6" t="s">
        <v>47</v>
      </c>
      <c r="E30" s="6" t="s">
        <v>18</v>
      </c>
      <c r="F30" s="6">
        <v>1029</v>
      </c>
      <c r="G30" s="6">
        <v>147349.46</v>
      </c>
      <c r="H30" s="7">
        <v>43592</v>
      </c>
      <c r="I30" s="6" t="s">
        <v>70</v>
      </c>
      <c r="J30" s="6" t="s">
        <v>113</v>
      </c>
      <c r="K30" s="8" t="s">
        <v>51</v>
      </c>
      <c r="L30" s="8" t="s">
        <v>52</v>
      </c>
      <c r="M30" s="6" t="s">
        <v>53</v>
      </c>
      <c r="N30" s="6">
        <v>4.3899999999999997</v>
      </c>
      <c r="O30" s="4" t="str">
        <f t="shared" si="0"/>
        <v>Excellent</v>
      </c>
      <c r="P30" s="6">
        <v>55</v>
      </c>
    </row>
    <row r="31" spans="1:16" x14ac:dyDescent="0.3">
      <c r="A31" s="6" t="s">
        <v>114</v>
      </c>
      <c r="B31" s="6">
        <v>40</v>
      </c>
      <c r="C31" s="6" t="s">
        <v>62</v>
      </c>
      <c r="D31" s="6" t="s">
        <v>26</v>
      </c>
      <c r="E31" s="6" t="s">
        <v>80</v>
      </c>
      <c r="F31" s="6">
        <v>1030</v>
      </c>
      <c r="G31" s="6">
        <v>81651.429999999993</v>
      </c>
      <c r="H31" s="7">
        <v>41894</v>
      </c>
      <c r="I31" s="6" t="s">
        <v>73</v>
      </c>
      <c r="J31" s="6" t="s">
        <v>115</v>
      </c>
      <c r="K31" s="6" t="s">
        <v>58</v>
      </c>
      <c r="L31" s="6" t="s">
        <v>59</v>
      </c>
      <c r="M31" s="6" t="s">
        <v>60</v>
      </c>
      <c r="N31" s="6">
        <v>1.0900000000000001</v>
      </c>
      <c r="O31" s="4" t="str">
        <f t="shared" si="0"/>
        <v>Poor</v>
      </c>
      <c r="P31" s="6">
        <v>124</v>
      </c>
    </row>
    <row r="32" spans="1:16" x14ac:dyDescent="0.3">
      <c r="A32" s="6" t="s">
        <v>116</v>
      </c>
      <c r="B32" s="6">
        <v>57</v>
      </c>
      <c r="C32" s="6" t="s">
        <v>16</v>
      </c>
      <c r="D32" s="6" t="s">
        <v>26</v>
      </c>
      <c r="E32" s="6" t="s">
        <v>80</v>
      </c>
      <c r="F32" s="6">
        <v>1031</v>
      </c>
      <c r="G32" s="6">
        <v>105524.85</v>
      </c>
      <c r="H32" s="7">
        <v>39283</v>
      </c>
      <c r="I32" s="6" t="s">
        <v>19</v>
      </c>
      <c r="J32" s="6" t="s">
        <v>117</v>
      </c>
      <c r="K32" s="6" t="s">
        <v>21</v>
      </c>
      <c r="L32" s="6" t="s">
        <v>22</v>
      </c>
      <c r="M32" s="6" t="s">
        <v>23</v>
      </c>
      <c r="N32" s="6">
        <v>4.34</v>
      </c>
      <c r="O32" s="4" t="str">
        <f t="shared" si="0"/>
        <v>Excellent</v>
      </c>
      <c r="P32" s="6">
        <v>179</v>
      </c>
    </row>
    <row r="33" spans="1:16" x14ac:dyDescent="0.3">
      <c r="A33" s="6" t="s">
        <v>118</v>
      </c>
      <c r="B33" s="6">
        <v>46</v>
      </c>
      <c r="C33" s="6" t="s">
        <v>25</v>
      </c>
      <c r="D33" s="6" t="s">
        <v>26</v>
      </c>
      <c r="E33" s="6" t="s">
        <v>27</v>
      </c>
      <c r="F33" s="6">
        <v>1032</v>
      </c>
      <c r="G33" s="6">
        <v>122537.78</v>
      </c>
      <c r="H33" s="7">
        <v>39227</v>
      </c>
      <c r="I33" s="6" t="s">
        <v>28</v>
      </c>
      <c r="J33" s="6" t="s">
        <v>119</v>
      </c>
      <c r="K33" s="6" t="s">
        <v>30</v>
      </c>
      <c r="L33" s="6" t="s">
        <v>31</v>
      </c>
      <c r="M33" s="6" t="s">
        <v>32</v>
      </c>
      <c r="N33" s="6">
        <v>3.71</v>
      </c>
      <c r="O33" s="4" t="str">
        <f t="shared" si="0"/>
        <v>Good</v>
      </c>
      <c r="P33" s="6">
        <v>163</v>
      </c>
    </row>
    <row r="34" spans="1:16" x14ac:dyDescent="0.3">
      <c r="A34" s="6" t="s">
        <v>120</v>
      </c>
      <c r="B34" s="6">
        <v>51</v>
      </c>
      <c r="C34" s="6" t="s">
        <v>62</v>
      </c>
      <c r="D34" s="6" t="s">
        <v>17</v>
      </c>
      <c r="E34" s="6" t="s">
        <v>48</v>
      </c>
      <c r="F34" s="6">
        <v>1033</v>
      </c>
      <c r="G34" s="6">
        <v>193496.4</v>
      </c>
      <c r="H34" s="7">
        <v>44911</v>
      </c>
      <c r="I34" s="6" t="s">
        <v>35</v>
      </c>
      <c r="J34" s="6" t="s">
        <v>121</v>
      </c>
      <c r="K34" s="6" t="s">
        <v>37</v>
      </c>
      <c r="L34" s="6" t="s">
        <v>38</v>
      </c>
      <c r="M34" s="6" t="s">
        <v>39</v>
      </c>
      <c r="N34" s="6">
        <v>3.55</v>
      </c>
      <c r="O34" s="4" t="str">
        <f t="shared" si="0"/>
        <v>Good</v>
      </c>
      <c r="P34" s="6">
        <v>39</v>
      </c>
    </row>
    <row r="35" spans="1:16" x14ac:dyDescent="0.3">
      <c r="A35" s="6" t="s">
        <v>122</v>
      </c>
      <c r="B35" s="6">
        <v>41</v>
      </c>
      <c r="C35" s="6" t="s">
        <v>16</v>
      </c>
      <c r="D35" s="6" t="s">
        <v>47</v>
      </c>
      <c r="E35" s="6" t="s">
        <v>18</v>
      </c>
      <c r="F35" s="6">
        <v>1034</v>
      </c>
      <c r="G35" s="6">
        <v>105630.04</v>
      </c>
      <c r="H35" s="7">
        <v>40871</v>
      </c>
      <c r="I35" s="6" t="s">
        <v>41</v>
      </c>
      <c r="J35" s="6" t="s">
        <v>123</v>
      </c>
      <c r="K35" s="6" t="s">
        <v>43</v>
      </c>
      <c r="L35" s="6" t="s">
        <v>44</v>
      </c>
      <c r="M35" s="6" t="s">
        <v>45</v>
      </c>
      <c r="N35" s="6">
        <v>3.46</v>
      </c>
      <c r="O35" s="4" t="str">
        <f t="shared" si="0"/>
        <v>Good</v>
      </c>
      <c r="P35" s="6">
        <v>83</v>
      </c>
    </row>
    <row r="36" spans="1:16" x14ac:dyDescent="0.3">
      <c r="A36" s="6" t="s">
        <v>124</v>
      </c>
      <c r="B36" s="6">
        <v>41</v>
      </c>
      <c r="C36" s="6" t="s">
        <v>16</v>
      </c>
      <c r="D36" s="6" t="s">
        <v>55</v>
      </c>
      <c r="E36" s="6" t="s">
        <v>80</v>
      </c>
      <c r="F36" s="6">
        <v>1035</v>
      </c>
      <c r="G36" s="6">
        <v>118351.06</v>
      </c>
      <c r="H36" s="7">
        <v>42728</v>
      </c>
      <c r="I36" s="6" t="s">
        <v>49</v>
      </c>
      <c r="J36" s="6" t="s">
        <v>125</v>
      </c>
      <c r="K36" s="6" t="s">
        <v>51</v>
      </c>
      <c r="L36" s="6" t="s">
        <v>52</v>
      </c>
      <c r="M36" s="6" t="s">
        <v>53</v>
      </c>
      <c r="N36" s="6">
        <v>2.38</v>
      </c>
      <c r="O36" s="4" t="str">
        <f t="shared" si="0"/>
        <v>Average</v>
      </c>
      <c r="P36" s="6">
        <v>199</v>
      </c>
    </row>
    <row r="37" spans="1:16" x14ac:dyDescent="0.3">
      <c r="A37" s="6" t="s">
        <v>126</v>
      </c>
      <c r="B37" s="6">
        <v>36</v>
      </c>
      <c r="C37" s="6" t="s">
        <v>16</v>
      </c>
      <c r="D37" s="6" t="s">
        <v>17</v>
      </c>
      <c r="E37" s="6" t="s">
        <v>48</v>
      </c>
      <c r="F37" s="6">
        <v>1036</v>
      </c>
      <c r="G37" s="6">
        <v>199429.49</v>
      </c>
      <c r="H37" s="7">
        <v>41106</v>
      </c>
      <c r="I37" s="6" t="s">
        <v>56</v>
      </c>
      <c r="J37" s="6" t="s">
        <v>127</v>
      </c>
      <c r="K37" s="6" t="s">
        <v>21</v>
      </c>
      <c r="L37" s="6" t="s">
        <v>22</v>
      </c>
      <c r="M37" s="6" t="s">
        <v>23</v>
      </c>
      <c r="N37" s="6">
        <v>2.82</v>
      </c>
      <c r="O37" s="4" t="str">
        <f t="shared" si="0"/>
        <v>Average</v>
      </c>
      <c r="P37" s="6">
        <v>108</v>
      </c>
    </row>
    <row r="38" spans="1:16" x14ac:dyDescent="0.3">
      <c r="A38" s="6" t="s">
        <v>128</v>
      </c>
      <c r="B38" s="6">
        <v>61</v>
      </c>
      <c r="C38" s="6" t="s">
        <v>62</v>
      </c>
      <c r="D38" s="6" t="s">
        <v>69</v>
      </c>
      <c r="E38" s="6" t="s">
        <v>80</v>
      </c>
      <c r="F38" s="6">
        <v>1037</v>
      </c>
      <c r="G38" s="6">
        <v>63495.8</v>
      </c>
      <c r="H38" s="7">
        <v>36677</v>
      </c>
      <c r="I38" s="6" t="s">
        <v>63</v>
      </c>
      <c r="J38" s="6" t="s">
        <v>129</v>
      </c>
      <c r="K38" s="6" t="s">
        <v>30</v>
      </c>
      <c r="L38" s="6" t="s">
        <v>31</v>
      </c>
      <c r="M38" s="6" t="s">
        <v>32</v>
      </c>
      <c r="N38" s="6">
        <v>4.33</v>
      </c>
      <c r="O38" s="4" t="str">
        <f t="shared" si="0"/>
        <v>Excellent</v>
      </c>
      <c r="P38" s="6">
        <v>143</v>
      </c>
    </row>
    <row r="39" spans="1:16" x14ac:dyDescent="0.3">
      <c r="A39" s="6" t="s">
        <v>130</v>
      </c>
      <c r="B39" s="6">
        <v>54</v>
      </c>
      <c r="C39" s="6" t="s">
        <v>25</v>
      </c>
      <c r="D39" s="6" t="s">
        <v>47</v>
      </c>
      <c r="E39" s="6" t="s">
        <v>18</v>
      </c>
      <c r="F39" s="6">
        <v>1038</v>
      </c>
      <c r="G39" s="6">
        <v>50511.46</v>
      </c>
      <c r="H39" s="7">
        <v>37106</v>
      </c>
      <c r="I39" s="6" t="s">
        <v>66</v>
      </c>
      <c r="J39" s="6" t="s">
        <v>131</v>
      </c>
      <c r="K39" s="6" t="s">
        <v>37</v>
      </c>
      <c r="L39" s="6" t="s">
        <v>38</v>
      </c>
      <c r="M39" s="6" t="s">
        <v>39</v>
      </c>
      <c r="N39" s="6">
        <v>2.08</v>
      </c>
      <c r="O39" s="4" t="str">
        <f t="shared" si="0"/>
        <v>Average</v>
      </c>
      <c r="P39" s="6">
        <v>160</v>
      </c>
    </row>
    <row r="40" spans="1:16" x14ac:dyDescent="0.3">
      <c r="A40" s="6" t="s">
        <v>132</v>
      </c>
      <c r="B40" s="6">
        <v>23</v>
      </c>
      <c r="C40" s="6" t="s">
        <v>25</v>
      </c>
      <c r="D40" s="6" t="s">
        <v>47</v>
      </c>
      <c r="E40" s="6" t="s">
        <v>80</v>
      </c>
      <c r="F40" s="6">
        <v>1039</v>
      </c>
      <c r="G40" s="6">
        <v>81183.16</v>
      </c>
      <c r="H40" s="7">
        <v>41311</v>
      </c>
      <c r="I40" s="6" t="s">
        <v>70</v>
      </c>
      <c r="J40" s="6" t="s">
        <v>133</v>
      </c>
      <c r="K40" s="6" t="s">
        <v>43</v>
      </c>
      <c r="L40" s="6" t="s">
        <v>44</v>
      </c>
      <c r="M40" s="6" t="s">
        <v>45</v>
      </c>
      <c r="N40" s="6">
        <v>3.76</v>
      </c>
      <c r="O40" s="4" t="str">
        <f t="shared" si="0"/>
        <v>Good</v>
      </c>
      <c r="P40" s="6">
        <v>113</v>
      </c>
    </row>
    <row r="41" spans="1:16" x14ac:dyDescent="0.3">
      <c r="A41" s="6" t="s">
        <v>134</v>
      </c>
      <c r="B41" s="6">
        <v>31</v>
      </c>
      <c r="C41" s="6" t="s">
        <v>16</v>
      </c>
      <c r="D41" s="6" t="s">
        <v>69</v>
      </c>
      <c r="E41" s="6" t="s">
        <v>34</v>
      </c>
      <c r="F41" s="6">
        <v>1040</v>
      </c>
      <c r="G41" s="6">
        <v>62803.18</v>
      </c>
      <c r="H41" s="7">
        <v>39152</v>
      </c>
      <c r="I41" s="6" t="s">
        <v>73</v>
      </c>
      <c r="J41" s="6" t="s">
        <v>135</v>
      </c>
      <c r="K41" s="6" t="s">
        <v>51</v>
      </c>
      <c r="L41" s="6" t="s">
        <v>52</v>
      </c>
      <c r="M41" s="6" t="s">
        <v>53</v>
      </c>
      <c r="N41" s="6">
        <v>2.4900000000000002</v>
      </c>
      <c r="O41" s="4" t="str">
        <f t="shared" si="0"/>
        <v>Average</v>
      </c>
      <c r="P41" s="6">
        <v>173</v>
      </c>
    </row>
    <row r="42" spans="1:16" x14ac:dyDescent="0.3">
      <c r="A42" s="6" t="s">
        <v>136</v>
      </c>
      <c r="B42" s="6">
        <v>54</v>
      </c>
      <c r="C42" s="6" t="s">
        <v>62</v>
      </c>
      <c r="D42" s="6" t="s">
        <v>55</v>
      </c>
      <c r="E42" s="6" t="s">
        <v>34</v>
      </c>
      <c r="F42" s="6">
        <v>1041</v>
      </c>
      <c r="G42" s="6">
        <v>183849.86</v>
      </c>
      <c r="H42" s="7">
        <v>40326</v>
      </c>
      <c r="I42" s="6" t="s">
        <v>19</v>
      </c>
      <c r="J42" s="6" t="s">
        <v>137</v>
      </c>
      <c r="K42" s="6" t="s">
        <v>21</v>
      </c>
      <c r="L42" s="6" t="s">
        <v>22</v>
      </c>
      <c r="M42" s="6" t="s">
        <v>23</v>
      </c>
      <c r="N42" s="6">
        <v>4.5999999999999996</v>
      </c>
      <c r="O42" s="4" t="str">
        <f t="shared" si="0"/>
        <v>Excellent</v>
      </c>
      <c r="P42" s="6">
        <v>161</v>
      </c>
    </row>
    <row r="43" spans="1:16" x14ac:dyDescent="0.3">
      <c r="A43" s="6" t="s">
        <v>138</v>
      </c>
      <c r="B43" s="6">
        <v>53</v>
      </c>
      <c r="C43" s="6" t="s">
        <v>25</v>
      </c>
      <c r="D43" s="6" t="s">
        <v>47</v>
      </c>
      <c r="E43" s="6" t="s">
        <v>27</v>
      </c>
      <c r="F43" s="6">
        <v>1042</v>
      </c>
      <c r="G43" s="6">
        <v>125027.13</v>
      </c>
      <c r="H43" s="7">
        <v>38539</v>
      </c>
      <c r="I43" s="6" t="s">
        <v>28</v>
      </c>
      <c r="J43" s="6" t="s">
        <v>139</v>
      </c>
      <c r="K43" s="6" t="s">
        <v>30</v>
      </c>
      <c r="L43" s="6" t="s">
        <v>31</v>
      </c>
      <c r="M43" s="6" t="s">
        <v>32</v>
      </c>
      <c r="N43" s="6">
        <v>1.53</v>
      </c>
      <c r="O43" s="4" t="str">
        <f t="shared" si="0"/>
        <v>Poor</v>
      </c>
      <c r="P43" s="6">
        <v>32</v>
      </c>
    </row>
    <row r="44" spans="1:16" x14ac:dyDescent="0.3">
      <c r="A44" s="6" t="s">
        <v>140</v>
      </c>
      <c r="B44" s="6">
        <v>32</v>
      </c>
      <c r="C44" s="6" t="s">
        <v>16</v>
      </c>
      <c r="D44" s="6" t="s">
        <v>26</v>
      </c>
      <c r="E44" s="6" t="s">
        <v>18</v>
      </c>
      <c r="F44" s="6">
        <v>1043</v>
      </c>
      <c r="G44" s="6">
        <v>169114.03</v>
      </c>
      <c r="H44" s="7">
        <v>43513</v>
      </c>
      <c r="I44" s="6" t="s">
        <v>35</v>
      </c>
      <c r="J44" s="6" t="s">
        <v>141</v>
      </c>
      <c r="K44" s="6" t="s">
        <v>37</v>
      </c>
      <c r="L44" s="6" t="s">
        <v>38</v>
      </c>
      <c r="M44" s="6" t="s">
        <v>39</v>
      </c>
      <c r="N44" s="6">
        <v>1.04</v>
      </c>
      <c r="O44" s="4" t="str">
        <f t="shared" si="0"/>
        <v>Poor</v>
      </c>
      <c r="P44" s="6">
        <v>82</v>
      </c>
    </row>
    <row r="45" spans="1:16" x14ac:dyDescent="0.3">
      <c r="A45" s="6" t="s">
        <v>142</v>
      </c>
      <c r="B45" s="6">
        <v>45</v>
      </c>
      <c r="C45" s="6" t="s">
        <v>25</v>
      </c>
      <c r="D45" s="6" t="s">
        <v>55</v>
      </c>
      <c r="E45" s="6" t="s">
        <v>18</v>
      </c>
      <c r="F45" s="6">
        <v>1044</v>
      </c>
      <c r="G45" s="6">
        <v>187406.32</v>
      </c>
      <c r="H45" s="7">
        <v>40647</v>
      </c>
      <c r="I45" s="6" t="s">
        <v>41</v>
      </c>
      <c r="J45" s="6" t="s">
        <v>143</v>
      </c>
      <c r="K45" s="6" t="s">
        <v>43</v>
      </c>
      <c r="L45" s="6" t="s">
        <v>44</v>
      </c>
      <c r="M45" s="6" t="s">
        <v>45</v>
      </c>
      <c r="N45" s="6">
        <v>1.8</v>
      </c>
      <c r="O45" s="4" t="str">
        <f t="shared" si="0"/>
        <v>Poor</v>
      </c>
      <c r="P45" s="6">
        <v>65</v>
      </c>
    </row>
    <row r="46" spans="1:16" x14ac:dyDescent="0.3">
      <c r="A46" s="6" t="s">
        <v>144</v>
      </c>
      <c r="B46" s="6">
        <v>57</v>
      </c>
      <c r="C46" s="6" t="s">
        <v>25</v>
      </c>
      <c r="D46" s="6" t="s">
        <v>17</v>
      </c>
      <c r="E46" s="6" t="s">
        <v>48</v>
      </c>
      <c r="F46" s="6">
        <v>1045</v>
      </c>
      <c r="G46" s="6">
        <v>193266.69</v>
      </c>
      <c r="H46" s="7">
        <v>41093</v>
      </c>
      <c r="I46" s="6" t="s">
        <v>49</v>
      </c>
      <c r="J46" s="6" t="s">
        <v>145</v>
      </c>
      <c r="K46" s="6" t="s">
        <v>51</v>
      </c>
      <c r="L46" s="6" t="s">
        <v>52</v>
      </c>
      <c r="M46" s="6" t="s">
        <v>53</v>
      </c>
      <c r="N46" s="6">
        <v>4.79</v>
      </c>
      <c r="O46" s="4" t="str">
        <f t="shared" si="0"/>
        <v>Excellent</v>
      </c>
      <c r="P46" s="6">
        <v>124</v>
      </c>
    </row>
    <row r="47" spans="1:16" x14ac:dyDescent="0.3">
      <c r="A47" s="6" t="s">
        <v>146</v>
      </c>
      <c r="B47" s="6">
        <v>33</v>
      </c>
      <c r="C47" s="6" t="s">
        <v>62</v>
      </c>
      <c r="D47" s="6" t="s">
        <v>69</v>
      </c>
      <c r="E47" s="6" t="s">
        <v>80</v>
      </c>
      <c r="F47" s="6">
        <v>1046</v>
      </c>
      <c r="G47" s="6">
        <v>96855.19</v>
      </c>
      <c r="H47" s="7">
        <v>43097</v>
      </c>
      <c r="I47" s="6" t="s">
        <v>56</v>
      </c>
      <c r="J47" s="6" t="s">
        <v>147</v>
      </c>
      <c r="K47" s="6" t="s">
        <v>21</v>
      </c>
      <c r="L47" s="6" t="s">
        <v>22</v>
      </c>
      <c r="M47" s="6" t="s">
        <v>23</v>
      </c>
      <c r="N47" s="6">
        <v>3.12</v>
      </c>
      <c r="O47" s="4" t="str">
        <f t="shared" si="0"/>
        <v>Good</v>
      </c>
      <c r="P47" s="6">
        <v>149</v>
      </c>
    </row>
    <row r="48" spans="1:16" x14ac:dyDescent="0.3">
      <c r="A48" s="6" t="s">
        <v>148</v>
      </c>
      <c r="B48" s="6">
        <v>50</v>
      </c>
      <c r="C48" s="6" t="s">
        <v>16</v>
      </c>
      <c r="D48" s="6" t="s">
        <v>26</v>
      </c>
      <c r="E48" s="6" t="s">
        <v>18</v>
      </c>
      <c r="F48" s="6">
        <v>1047</v>
      </c>
      <c r="G48" s="6">
        <v>86845.98</v>
      </c>
      <c r="H48" s="7">
        <v>39925</v>
      </c>
      <c r="I48" s="6" t="s">
        <v>63</v>
      </c>
      <c r="J48" s="6" t="s">
        <v>149</v>
      </c>
      <c r="K48" s="6" t="s">
        <v>30</v>
      </c>
      <c r="L48" s="6" t="s">
        <v>31</v>
      </c>
      <c r="M48" s="6" t="s">
        <v>32</v>
      </c>
      <c r="N48" s="6">
        <v>3.72</v>
      </c>
      <c r="O48" s="4" t="str">
        <f t="shared" si="0"/>
        <v>Good</v>
      </c>
      <c r="P48" s="6">
        <v>11</v>
      </c>
    </row>
    <row r="49" spans="1:16" x14ac:dyDescent="0.3">
      <c r="A49" s="6" t="s">
        <v>150</v>
      </c>
      <c r="B49" s="6">
        <v>56</v>
      </c>
      <c r="C49" s="6" t="s">
        <v>25</v>
      </c>
      <c r="D49" s="6" t="s">
        <v>26</v>
      </c>
      <c r="E49" s="6" t="s">
        <v>18</v>
      </c>
      <c r="F49" s="6">
        <v>1048</v>
      </c>
      <c r="G49" s="6">
        <v>139543.64000000001</v>
      </c>
      <c r="H49" s="7">
        <v>42794</v>
      </c>
      <c r="I49" s="6" t="s">
        <v>66</v>
      </c>
      <c r="J49" s="6" t="s">
        <v>151</v>
      </c>
      <c r="K49" s="6" t="s">
        <v>37</v>
      </c>
      <c r="L49" s="6" t="s">
        <v>38</v>
      </c>
      <c r="M49" s="6" t="s">
        <v>39</v>
      </c>
      <c r="N49" s="6">
        <v>1.02</v>
      </c>
      <c r="O49" s="4" t="str">
        <f t="shared" si="0"/>
        <v>Poor</v>
      </c>
      <c r="P49" s="6">
        <v>83</v>
      </c>
    </row>
    <row r="50" spans="1:16" x14ac:dyDescent="0.3">
      <c r="A50" s="6" t="s">
        <v>152</v>
      </c>
      <c r="B50" s="6">
        <v>22</v>
      </c>
      <c r="C50" s="6" t="s">
        <v>25</v>
      </c>
      <c r="D50" s="6" t="s">
        <v>26</v>
      </c>
      <c r="E50" s="6" t="s">
        <v>48</v>
      </c>
      <c r="F50" s="6">
        <v>1049</v>
      </c>
      <c r="G50" s="6">
        <v>133726.10999999999</v>
      </c>
      <c r="H50" s="7">
        <v>37516</v>
      </c>
      <c r="I50" s="6" t="s">
        <v>70</v>
      </c>
      <c r="J50" s="6" t="s">
        <v>153</v>
      </c>
      <c r="K50" s="6" t="s">
        <v>43</v>
      </c>
      <c r="L50" s="6" t="s">
        <v>44</v>
      </c>
      <c r="M50" s="6" t="s">
        <v>45</v>
      </c>
      <c r="N50" s="6">
        <v>3.72</v>
      </c>
      <c r="O50" s="4" t="str">
        <f t="shared" si="0"/>
        <v>Good</v>
      </c>
      <c r="P50" s="6">
        <v>164</v>
      </c>
    </row>
    <row r="51" spans="1:16" x14ac:dyDescent="0.3">
      <c r="A51" s="6" t="s">
        <v>154</v>
      </c>
      <c r="B51" s="6">
        <v>22</v>
      </c>
      <c r="C51" s="6" t="s">
        <v>62</v>
      </c>
      <c r="D51" s="6" t="s">
        <v>17</v>
      </c>
      <c r="E51" s="6" t="s">
        <v>34</v>
      </c>
      <c r="F51" s="6">
        <v>1050</v>
      </c>
      <c r="G51" s="6">
        <v>184934.92</v>
      </c>
      <c r="H51" s="7">
        <v>43960</v>
      </c>
      <c r="I51" s="6" t="s">
        <v>73</v>
      </c>
      <c r="J51" s="6" t="s">
        <v>155</v>
      </c>
      <c r="K51" s="6" t="s">
        <v>51</v>
      </c>
      <c r="L51" s="6" t="s">
        <v>52</v>
      </c>
      <c r="M51" s="6" t="s">
        <v>53</v>
      </c>
      <c r="N51" s="6">
        <v>3.68</v>
      </c>
      <c r="O51" s="4" t="str">
        <f t="shared" si="0"/>
        <v>Good</v>
      </c>
      <c r="P51" s="6">
        <v>183</v>
      </c>
    </row>
    <row r="52" spans="1:16" x14ac:dyDescent="0.3">
      <c r="A52" s="6" t="s">
        <v>156</v>
      </c>
      <c r="B52" s="6">
        <v>58</v>
      </c>
      <c r="C52" s="6" t="s">
        <v>62</v>
      </c>
      <c r="D52" s="6" t="s">
        <v>26</v>
      </c>
      <c r="E52" s="6" t="s">
        <v>18</v>
      </c>
      <c r="F52" s="6">
        <v>1051</v>
      </c>
      <c r="G52" s="6">
        <v>116625.29</v>
      </c>
      <c r="H52" s="7">
        <v>44350</v>
      </c>
      <c r="I52" s="6" t="s">
        <v>19</v>
      </c>
      <c r="J52" s="6" t="s">
        <v>157</v>
      </c>
      <c r="K52" s="6" t="s">
        <v>21</v>
      </c>
      <c r="L52" s="6" t="s">
        <v>22</v>
      </c>
      <c r="M52" s="6" t="s">
        <v>23</v>
      </c>
      <c r="N52" s="6">
        <v>1.74</v>
      </c>
      <c r="O52" s="4" t="str">
        <f t="shared" si="0"/>
        <v>Poor</v>
      </c>
      <c r="P52" s="6">
        <v>117</v>
      </c>
    </row>
    <row r="53" spans="1:16" x14ac:dyDescent="0.3">
      <c r="A53" s="6" t="s">
        <v>158</v>
      </c>
      <c r="B53" s="6">
        <v>27</v>
      </c>
      <c r="C53" s="6" t="s">
        <v>25</v>
      </c>
      <c r="D53" s="6" t="s">
        <v>47</v>
      </c>
      <c r="E53" s="6" t="s">
        <v>48</v>
      </c>
      <c r="F53" s="6">
        <v>1052</v>
      </c>
      <c r="G53" s="6">
        <v>198684.03</v>
      </c>
      <c r="H53" s="7">
        <v>41840</v>
      </c>
      <c r="I53" s="6" t="s">
        <v>28</v>
      </c>
      <c r="J53" s="6" t="s">
        <v>159</v>
      </c>
      <c r="K53" s="6" t="s">
        <v>30</v>
      </c>
      <c r="L53" s="6" t="s">
        <v>31</v>
      </c>
      <c r="M53" s="6" t="s">
        <v>32</v>
      </c>
      <c r="N53" s="6">
        <v>1.76</v>
      </c>
      <c r="O53" s="4" t="str">
        <f t="shared" si="0"/>
        <v>Poor</v>
      </c>
      <c r="P53" s="6">
        <v>30</v>
      </c>
    </row>
    <row r="54" spans="1:16" x14ac:dyDescent="0.3">
      <c r="A54" s="6" t="s">
        <v>160</v>
      </c>
      <c r="B54" s="6">
        <v>60</v>
      </c>
      <c r="C54" s="6" t="s">
        <v>62</v>
      </c>
      <c r="D54" s="6" t="s">
        <v>26</v>
      </c>
      <c r="E54" s="6" t="s">
        <v>34</v>
      </c>
      <c r="F54" s="6">
        <v>1053</v>
      </c>
      <c r="G54" s="6">
        <v>162065.97</v>
      </c>
      <c r="H54" s="7">
        <v>43659</v>
      </c>
      <c r="I54" s="6" t="s">
        <v>35</v>
      </c>
      <c r="J54" s="6" t="s">
        <v>161</v>
      </c>
      <c r="K54" s="6" t="s">
        <v>37</v>
      </c>
      <c r="L54" s="6" t="s">
        <v>38</v>
      </c>
      <c r="M54" s="6" t="s">
        <v>39</v>
      </c>
      <c r="N54" s="6">
        <v>3.97</v>
      </c>
      <c r="O54" s="4" t="str">
        <f t="shared" si="0"/>
        <v>Good</v>
      </c>
      <c r="P54" s="6">
        <v>173</v>
      </c>
    </row>
    <row r="55" spans="1:16" x14ac:dyDescent="0.3">
      <c r="A55" s="6" t="s">
        <v>162</v>
      </c>
      <c r="B55" s="6">
        <v>62</v>
      </c>
      <c r="C55" s="6" t="s">
        <v>62</v>
      </c>
      <c r="D55" s="6" t="s">
        <v>55</v>
      </c>
      <c r="E55" s="6" t="s">
        <v>18</v>
      </c>
      <c r="F55" s="6">
        <v>1054</v>
      </c>
      <c r="G55" s="6">
        <v>180376.54</v>
      </c>
      <c r="H55" s="7">
        <v>39403</v>
      </c>
      <c r="I55" s="6" t="s">
        <v>41</v>
      </c>
      <c r="J55" s="6" t="s">
        <v>163</v>
      </c>
      <c r="K55" s="6" t="s">
        <v>43</v>
      </c>
      <c r="L55" s="6" t="s">
        <v>44</v>
      </c>
      <c r="M55" s="6" t="s">
        <v>45</v>
      </c>
      <c r="N55" s="6">
        <v>2.11</v>
      </c>
      <c r="O55" s="4" t="str">
        <f t="shared" si="0"/>
        <v>Average</v>
      </c>
      <c r="P55" s="6">
        <v>143</v>
      </c>
    </row>
    <row r="56" spans="1:16" x14ac:dyDescent="0.3">
      <c r="A56" s="6" t="s">
        <v>164</v>
      </c>
      <c r="B56" s="6">
        <v>39</v>
      </c>
      <c r="C56" s="6" t="s">
        <v>16</v>
      </c>
      <c r="D56" s="6" t="s">
        <v>47</v>
      </c>
      <c r="E56" s="6" t="s">
        <v>34</v>
      </c>
      <c r="F56" s="6">
        <v>1055</v>
      </c>
      <c r="G56" s="6">
        <v>139521.15</v>
      </c>
      <c r="H56" s="7">
        <v>41431</v>
      </c>
      <c r="I56" s="6" t="s">
        <v>49</v>
      </c>
      <c r="J56" s="6" t="s">
        <v>165</v>
      </c>
      <c r="K56" s="6" t="s">
        <v>51</v>
      </c>
      <c r="L56" s="6" t="s">
        <v>52</v>
      </c>
      <c r="M56" s="6" t="s">
        <v>53</v>
      </c>
      <c r="N56" s="6">
        <v>2.06</v>
      </c>
      <c r="O56" s="4" t="str">
        <f t="shared" si="0"/>
        <v>Average</v>
      </c>
      <c r="P56" s="6">
        <v>161</v>
      </c>
    </row>
    <row r="57" spans="1:16" x14ac:dyDescent="0.3">
      <c r="A57" s="6" t="s">
        <v>166</v>
      </c>
      <c r="B57" s="6">
        <v>37</v>
      </c>
      <c r="C57" s="6" t="s">
        <v>16</v>
      </c>
      <c r="D57" s="6" t="s">
        <v>26</v>
      </c>
      <c r="E57" s="6" t="s">
        <v>18</v>
      </c>
      <c r="F57" s="6">
        <v>1056</v>
      </c>
      <c r="G57" s="6">
        <v>160423.66</v>
      </c>
      <c r="H57" s="7">
        <v>43961</v>
      </c>
      <c r="I57" s="6" t="s">
        <v>56</v>
      </c>
      <c r="J57" s="6" t="s">
        <v>167</v>
      </c>
      <c r="K57" s="6" t="s">
        <v>21</v>
      </c>
      <c r="L57" s="6" t="s">
        <v>22</v>
      </c>
      <c r="M57" s="6" t="s">
        <v>23</v>
      </c>
      <c r="N57" s="6">
        <v>1.32</v>
      </c>
      <c r="O57" s="4" t="str">
        <f t="shared" si="0"/>
        <v>Poor</v>
      </c>
      <c r="P57" s="6">
        <v>183</v>
      </c>
    </row>
    <row r="58" spans="1:16" x14ac:dyDescent="0.3">
      <c r="A58" s="6" t="s">
        <v>168</v>
      </c>
      <c r="B58" s="6">
        <v>26</v>
      </c>
      <c r="C58" s="6" t="s">
        <v>25</v>
      </c>
      <c r="D58" s="6" t="s">
        <v>17</v>
      </c>
      <c r="E58" s="6" t="s">
        <v>27</v>
      </c>
      <c r="F58" s="6">
        <v>1057</v>
      </c>
      <c r="G58" s="6">
        <v>180510.58</v>
      </c>
      <c r="H58" s="7">
        <v>36706</v>
      </c>
      <c r="I58" s="6" t="s">
        <v>63</v>
      </c>
      <c r="J58" s="6" t="s">
        <v>169</v>
      </c>
      <c r="K58" s="6" t="s">
        <v>30</v>
      </c>
      <c r="L58" s="6" t="s">
        <v>31</v>
      </c>
      <c r="M58" s="6" t="s">
        <v>32</v>
      </c>
      <c r="N58" s="6">
        <v>4.3099999999999996</v>
      </c>
      <c r="O58" s="4" t="str">
        <f t="shared" si="0"/>
        <v>Excellent</v>
      </c>
      <c r="P58" s="6">
        <v>168</v>
      </c>
    </row>
    <row r="59" spans="1:16" x14ac:dyDescent="0.3">
      <c r="A59" s="6" t="s">
        <v>170</v>
      </c>
      <c r="B59" s="6">
        <v>63</v>
      </c>
      <c r="C59" s="6" t="s">
        <v>25</v>
      </c>
      <c r="D59" s="6" t="s">
        <v>26</v>
      </c>
      <c r="E59" s="6" t="s">
        <v>80</v>
      </c>
      <c r="F59" s="6">
        <v>1058</v>
      </c>
      <c r="G59" s="6">
        <v>168671.1</v>
      </c>
      <c r="H59" s="7">
        <v>40690</v>
      </c>
      <c r="I59" s="6" t="s">
        <v>66</v>
      </c>
      <c r="J59" s="6" t="s">
        <v>171</v>
      </c>
      <c r="K59" s="6" t="s">
        <v>37</v>
      </c>
      <c r="L59" s="6" t="s">
        <v>38</v>
      </c>
      <c r="M59" s="6" t="s">
        <v>39</v>
      </c>
      <c r="N59" s="6">
        <v>3.53</v>
      </c>
      <c r="O59" s="4" t="str">
        <f t="shared" si="0"/>
        <v>Good</v>
      </c>
      <c r="P59" s="6">
        <v>180</v>
      </c>
    </row>
    <row r="60" spans="1:16" x14ac:dyDescent="0.3">
      <c r="A60" s="6" t="s">
        <v>172</v>
      </c>
      <c r="B60" s="6">
        <v>64</v>
      </c>
      <c r="C60" s="6" t="s">
        <v>25</v>
      </c>
      <c r="D60" s="6" t="s">
        <v>17</v>
      </c>
      <c r="E60" s="6" t="s">
        <v>48</v>
      </c>
      <c r="F60" s="6">
        <v>1059</v>
      </c>
      <c r="G60" s="6">
        <v>132003.32999999999</v>
      </c>
      <c r="H60" s="7">
        <v>41421</v>
      </c>
      <c r="I60" s="6" t="s">
        <v>70</v>
      </c>
      <c r="J60" s="6" t="s">
        <v>173</v>
      </c>
      <c r="K60" s="6" t="s">
        <v>43</v>
      </c>
      <c r="L60" s="6" t="s">
        <v>44</v>
      </c>
      <c r="M60" s="6" t="s">
        <v>45</v>
      </c>
      <c r="N60" s="6">
        <v>1.08</v>
      </c>
      <c r="O60" s="4" t="str">
        <f t="shared" si="0"/>
        <v>Poor</v>
      </c>
      <c r="P60" s="6">
        <v>58</v>
      </c>
    </row>
    <row r="61" spans="1:16" x14ac:dyDescent="0.3">
      <c r="A61" s="6" t="s">
        <v>174</v>
      </c>
      <c r="B61" s="6">
        <v>53</v>
      </c>
      <c r="C61" s="6" t="s">
        <v>62</v>
      </c>
      <c r="D61" s="6" t="s">
        <v>47</v>
      </c>
      <c r="E61" s="6" t="s">
        <v>18</v>
      </c>
      <c r="F61" s="6">
        <v>1060</v>
      </c>
      <c r="G61" s="6">
        <v>187832.01</v>
      </c>
      <c r="H61" s="7">
        <v>39597</v>
      </c>
      <c r="I61" s="6" t="s">
        <v>73</v>
      </c>
      <c r="J61" s="6" t="s">
        <v>175</v>
      </c>
      <c r="K61" s="6" t="s">
        <v>51</v>
      </c>
      <c r="L61" s="6" t="s">
        <v>52</v>
      </c>
      <c r="M61" s="6" t="s">
        <v>53</v>
      </c>
      <c r="N61" s="6">
        <v>1.24</v>
      </c>
      <c r="O61" s="4" t="str">
        <f t="shared" si="0"/>
        <v>Poor</v>
      </c>
      <c r="P61" s="6">
        <v>153</v>
      </c>
    </row>
    <row r="62" spans="1:16" x14ac:dyDescent="0.3">
      <c r="A62" s="6" t="s">
        <v>176</v>
      </c>
      <c r="B62" s="6">
        <v>23</v>
      </c>
      <c r="C62" s="6" t="s">
        <v>16</v>
      </c>
      <c r="D62" s="6" t="s">
        <v>47</v>
      </c>
      <c r="E62" s="6" t="s">
        <v>80</v>
      </c>
      <c r="F62" s="6">
        <v>1061</v>
      </c>
      <c r="G62" s="6">
        <v>80646.55</v>
      </c>
      <c r="H62" s="7">
        <v>40004</v>
      </c>
      <c r="I62" s="6" t="s">
        <v>19</v>
      </c>
      <c r="J62" s="6" t="s">
        <v>177</v>
      </c>
      <c r="K62" s="6" t="s">
        <v>21</v>
      </c>
      <c r="L62" s="6" t="s">
        <v>22</v>
      </c>
      <c r="M62" s="6" t="s">
        <v>23</v>
      </c>
      <c r="N62" s="6">
        <v>2.35</v>
      </c>
      <c r="O62" s="4" t="str">
        <f t="shared" si="0"/>
        <v>Average</v>
      </c>
      <c r="P62" s="6">
        <v>112</v>
      </c>
    </row>
    <row r="63" spans="1:16" x14ac:dyDescent="0.3">
      <c r="A63" s="6" t="s">
        <v>178</v>
      </c>
      <c r="B63" s="6">
        <v>23</v>
      </c>
      <c r="C63" s="6" t="s">
        <v>25</v>
      </c>
      <c r="D63" s="6" t="s">
        <v>47</v>
      </c>
      <c r="E63" s="6" t="s">
        <v>27</v>
      </c>
      <c r="F63" s="6">
        <v>1062</v>
      </c>
      <c r="G63" s="6">
        <v>86216.16</v>
      </c>
      <c r="H63" s="7">
        <v>43363</v>
      </c>
      <c r="I63" s="6" t="s">
        <v>28</v>
      </c>
      <c r="J63" s="6" t="s">
        <v>179</v>
      </c>
      <c r="K63" s="6" t="s">
        <v>30</v>
      </c>
      <c r="L63" s="6" t="s">
        <v>31</v>
      </c>
      <c r="M63" s="6" t="s">
        <v>32</v>
      </c>
      <c r="N63" s="6">
        <v>2.2200000000000002</v>
      </c>
      <c r="O63" s="4" t="str">
        <f t="shared" si="0"/>
        <v>Average</v>
      </c>
      <c r="P63" s="6">
        <v>145</v>
      </c>
    </row>
    <row r="64" spans="1:16" x14ac:dyDescent="0.3">
      <c r="A64" s="6" t="s">
        <v>180</v>
      </c>
      <c r="B64" s="6">
        <v>61</v>
      </c>
      <c r="C64" s="6" t="s">
        <v>16</v>
      </c>
      <c r="D64" s="6" t="s">
        <v>47</v>
      </c>
      <c r="E64" s="6" t="s">
        <v>34</v>
      </c>
      <c r="F64" s="6">
        <v>1063</v>
      </c>
      <c r="G64" s="6">
        <v>146404.20000000001</v>
      </c>
      <c r="H64" s="7">
        <v>42445</v>
      </c>
      <c r="I64" s="6" t="s">
        <v>35</v>
      </c>
      <c r="J64" s="6" t="s">
        <v>181</v>
      </c>
      <c r="K64" s="6" t="s">
        <v>37</v>
      </c>
      <c r="L64" s="6" t="s">
        <v>38</v>
      </c>
      <c r="M64" s="6" t="s">
        <v>39</v>
      </c>
      <c r="N64" s="6">
        <v>4.5</v>
      </c>
      <c r="O64" s="4" t="str">
        <f t="shared" si="0"/>
        <v>Excellent</v>
      </c>
      <c r="P64" s="6">
        <v>107</v>
      </c>
    </row>
    <row r="65" spans="1:16" x14ac:dyDescent="0.3">
      <c r="A65" s="6" t="s">
        <v>182</v>
      </c>
      <c r="B65" s="6">
        <v>63</v>
      </c>
      <c r="C65" s="6" t="s">
        <v>62</v>
      </c>
      <c r="D65" s="6" t="s">
        <v>17</v>
      </c>
      <c r="E65" s="6" t="s">
        <v>27</v>
      </c>
      <c r="F65" s="6">
        <v>1064</v>
      </c>
      <c r="G65" s="6">
        <v>179868.67</v>
      </c>
      <c r="H65" s="7">
        <v>39366</v>
      </c>
      <c r="I65" s="6" t="s">
        <v>41</v>
      </c>
      <c r="J65" s="6" t="s">
        <v>183</v>
      </c>
      <c r="K65" s="6" t="s">
        <v>43</v>
      </c>
      <c r="L65" s="6" t="s">
        <v>44</v>
      </c>
      <c r="M65" s="6" t="s">
        <v>45</v>
      </c>
      <c r="N65" s="6">
        <v>3.28</v>
      </c>
      <c r="O65" s="4" t="str">
        <f t="shared" si="0"/>
        <v>Good</v>
      </c>
      <c r="P65" s="6">
        <v>150</v>
      </c>
    </row>
    <row r="66" spans="1:16" x14ac:dyDescent="0.3">
      <c r="A66" s="6" t="s">
        <v>184</v>
      </c>
      <c r="B66" s="6">
        <v>57</v>
      </c>
      <c r="C66" s="6" t="s">
        <v>16</v>
      </c>
      <c r="D66" s="6" t="s">
        <v>55</v>
      </c>
      <c r="E66" s="6" t="s">
        <v>80</v>
      </c>
      <c r="F66" s="6">
        <v>1065</v>
      </c>
      <c r="G66" s="6">
        <v>71229.509999999995</v>
      </c>
      <c r="H66" s="7">
        <v>39949</v>
      </c>
      <c r="I66" s="6" t="s">
        <v>49</v>
      </c>
      <c r="J66" s="6" t="s">
        <v>185</v>
      </c>
      <c r="K66" s="6" t="s">
        <v>51</v>
      </c>
      <c r="L66" s="6" t="s">
        <v>52</v>
      </c>
      <c r="M66" s="6" t="s">
        <v>53</v>
      </c>
      <c r="N66" s="6">
        <v>1.37</v>
      </c>
      <c r="O66" s="4" t="str">
        <f t="shared" si="0"/>
        <v>Poor</v>
      </c>
      <c r="P66" s="6">
        <v>12</v>
      </c>
    </row>
    <row r="67" spans="1:16" x14ac:dyDescent="0.3">
      <c r="A67" s="6" t="s">
        <v>186</v>
      </c>
      <c r="B67" s="6">
        <v>60</v>
      </c>
      <c r="C67" s="6" t="s">
        <v>62</v>
      </c>
      <c r="D67" s="6" t="s">
        <v>17</v>
      </c>
      <c r="E67" s="6" t="s">
        <v>48</v>
      </c>
      <c r="F67" s="6">
        <v>1066</v>
      </c>
      <c r="G67" s="6">
        <v>137742.38</v>
      </c>
      <c r="H67" s="7">
        <v>42676</v>
      </c>
      <c r="I67" s="6" t="s">
        <v>56</v>
      </c>
      <c r="J67" s="6" t="s">
        <v>187</v>
      </c>
      <c r="K67" s="6" t="s">
        <v>21</v>
      </c>
      <c r="L67" s="6" t="s">
        <v>22</v>
      </c>
      <c r="M67" s="6" t="s">
        <v>23</v>
      </c>
      <c r="N67" s="6">
        <v>1.38</v>
      </c>
      <c r="O67" s="4" t="str">
        <f t="shared" ref="O67:O130" si="1">IF(N67&gt;=4,"Excellent",IF(N67&gt;=3,"Good",IF(N67&gt;=2,"Average","Poor")))</f>
        <v>Poor</v>
      </c>
      <c r="P67" s="6">
        <v>38</v>
      </c>
    </row>
    <row r="68" spans="1:16" x14ac:dyDescent="0.3">
      <c r="A68" s="6" t="s">
        <v>188</v>
      </c>
      <c r="B68" s="6">
        <v>33</v>
      </c>
      <c r="C68" s="6" t="s">
        <v>25</v>
      </c>
      <c r="D68" s="6" t="s">
        <v>17</v>
      </c>
      <c r="E68" s="6" t="s">
        <v>80</v>
      </c>
      <c r="F68" s="6">
        <v>1067</v>
      </c>
      <c r="G68" s="6">
        <v>178939.88</v>
      </c>
      <c r="H68" s="7">
        <v>38303</v>
      </c>
      <c r="I68" s="6" t="s">
        <v>63</v>
      </c>
      <c r="J68" s="6" t="s">
        <v>189</v>
      </c>
      <c r="K68" s="6" t="s">
        <v>30</v>
      </c>
      <c r="L68" s="6" t="s">
        <v>31</v>
      </c>
      <c r="M68" s="6" t="s">
        <v>32</v>
      </c>
      <c r="N68" s="6">
        <v>3.57</v>
      </c>
      <c r="O68" s="4" t="str">
        <f t="shared" si="1"/>
        <v>Good</v>
      </c>
      <c r="P68" s="6">
        <v>163</v>
      </c>
    </row>
    <row r="69" spans="1:16" x14ac:dyDescent="0.3">
      <c r="A69" s="6" t="s">
        <v>190</v>
      </c>
      <c r="B69" s="6">
        <v>40</v>
      </c>
      <c r="C69" s="6" t="s">
        <v>62</v>
      </c>
      <c r="D69" s="6" t="s">
        <v>26</v>
      </c>
      <c r="E69" s="6" t="s">
        <v>34</v>
      </c>
      <c r="F69" s="6">
        <v>1068</v>
      </c>
      <c r="G69" s="6">
        <v>117411.9</v>
      </c>
      <c r="H69" s="7">
        <v>40289</v>
      </c>
      <c r="I69" s="6" t="s">
        <v>66</v>
      </c>
      <c r="J69" s="6" t="s">
        <v>191</v>
      </c>
      <c r="K69" s="6" t="s">
        <v>37</v>
      </c>
      <c r="L69" s="6" t="s">
        <v>38</v>
      </c>
      <c r="M69" s="6" t="s">
        <v>39</v>
      </c>
      <c r="N69" s="6">
        <v>2.5</v>
      </c>
      <c r="O69" s="4" t="str">
        <f t="shared" si="1"/>
        <v>Average</v>
      </c>
      <c r="P69" s="6">
        <v>34</v>
      </c>
    </row>
    <row r="70" spans="1:16" x14ac:dyDescent="0.3">
      <c r="A70" s="6" t="s">
        <v>192</v>
      </c>
      <c r="B70" s="6">
        <v>49</v>
      </c>
      <c r="C70" s="6" t="s">
        <v>62</v>
      </c>
      <c r="D70" s="6" t="s">
        <v>26</v>
      </c>
      <c r="E70" s="6" t="s">
        <v>80</v>
      </c>
      <c r="F70" s="6">
        <v>1069</v>
      </c>
      <c r="G70" s="6">
        <v>101480.08</v>
      </c>
      <c r="H70" s="7">
        <v>36773</v>
      </c>
      <c r="I70" s="6" t="s">
        <v>70</v>
      </c>
      <c r="J70" s="6" t="s">
        <v>193</v>
      </c>
      <c r="K70" s="6" t="s">
        <v>43</v>
      </c>
      <c r="L70" s="6" t="s">
        <v>44</v>
      </c>
      <c r="M70" s="6" t="s">
        <v>45</v>
      </c>
      <c r="N70" s="6">
        <v>4.76</v>
      </c>
      <c r="O70" s="4" t="str">
        <f t="shared" si="1"/>
        <v>Excellent</v>
      </c>
      <c r="P70" s="6">
        <v>23</v>
      </c>
    </row>
    <row r="71" spans="1:16" x14ac:dyDescent="0.3">
      <c r="A71" s="6" t="s">
        <v>194</v>
      </c>
      <c r="B71" s="6">
        <v>22</v>
      </c>
      <c r="C71" s="6" t="s">
        <v>62</v>
      </c>
      <c r="D71" s="6" t="s">
        <v>17</v>
      </c>
      <c r="E71" s="6" t="s">
        <v>27</v>
      </c>
      <c r="F71" s="6">
        <v>1070</v>
      </c>
      <c r="G71" s="6">
        <v>181861.73</v>
      </c>
      <c r="H71" s="7">
        <v>37264</v>
      </c>
      <c r="I71" s="6" t="s">
        <v>73</v>
      </c>
      <c r="J71" s="6" t="s">
        <v>195</v>
      </c>
      <c r="K71" s="6" t="s">
        <v>51</v>
      </c>
      <c r="L71" s="6" t="s">
        <v>52</v>
      </c>
      <c r="M71" s="6" t="s">
        <v>53</v>
      </c>
      <c r="N71" s="6">
        <v>1.64</v>
      </c>
      <c r="O71" s="4" t="str">
        <f t="shared" si="1"/>
        <v>Poor</v>
      </c>
      <c r="P71" s="6">
        <v>103</v>
      </c>
    </row>
    <row r="72" spans="1:16" x14ac:dyDescent="0.3">
      <c r="A72" s="6" t="s">
        <v>196</v>
      </c>
      <c r="B72" s="6">
        <v>36</v>
      </c>
      <c r="C72" s="6" t="s">
        <v>62</v>
      </c>
      <c r="D72" s="6" t="s">
        <v>69</v>
      </c>
      <c r="E72" s="6" t="s">
        <v>80</v>
      </c>
      <c r="F72" s="6">
        <v>1071</v>
      </c>
      <c r="G72" s="6">
        <v>190144.74</v>
      </c>
      <c r="H72" s="7">
        <v>40442</v>
      </c>
      <c r="I72" s="6" t="s">
        <v>19</v>
      </c>
      <c r="J72" s="6" t="s">
        <v>197</v>
      </c>
      <c r="K72" s="6" t="s">
        <v>21</v>
      </c>
      <c r="L72" s="6" t="s">
        <v>22</v>
      </c>
      <c r="M72" s="6" t="s">
        <v>23</v>
      </c>
      <c r="N72" s="6">
        <v>4.4000000000000004</v>
      </c>
      <c r="O72" s="4" t="str">
        <f t="shared" si="1"/>
        <v>Excellent</v>
      </c>
      <c r="P72" s="6">
        <v>17</v>
      </c>
    </row>
    <row r="73" spans="1:16" x14ac:dyDescent="0.3">
      <c r="A73" s="6" t="s">
        <v>198</v>
      </c>
      <c r="B73" s="6">
        <v>57</v>
      </c>
      <c r="C73" s="6" t="s">
        <v>25</v>
      </c>
      <c r="D73" s="6" t="s">
        <v>55</v>
      </c>
      <c r="E73" s="6" t="s">
        <v>80</v>
      </c>
      <c r="F73" s="6">
        <v>1072</v>
      </c>
      <c r="G73" s="6">
        <v>147474.16</v>
      </c>
      <c r="H73" s="7">
        <v>38789</v>
      </c>
      <c r="I73" s="6" t="s">
        <v>28</v>
      </c>
      <c r="J73" s="6" t="s">
        <v>199</v>
      </c>
      <c r="K73" s="6" t="s">
        <v>30</v>
      </c>
      <c r="L73" s="6" t="s">
        <v>31</v>
      </c>
      <c r="M73" s="6" t="s">
        <v>32</v>
      </c>
      <c r="N73" s="6">
        <v>1.73</v>
      </c>
      <c r="O73" s="4" t="str">
        <f t="shared" si="1"/>
        <v>Poor</v>
      </c>
      <c r="P73" s="6">
        <v>118</v>
      </c>
    </row>
    <row r="74" spans="1:16" x14ac:dyDescent="0.3">
      <c r="A74" s="6" t="s">
        <v>200</v>
      </c>
      <c r="B74" s="6">
        <v>34</v>
      </c>
      <c r="C74" s="6" t="s">
        <v>16</v>
      </c>
      <c r="D74" s="6" t="s">
        <v>47</v>
      </c>
      <c r="E74" s="6" t="s">
        <v>80</v>
      </c>
      <c r="F74" s="6">
        <v>1073</v>
      </c>
      <c r="G74" s="6">
        <v>182363.39</v>
      </c>
      <c r="H74" s="7">
        <v>43517</v>
      </c>
      <c r="I74" s="6" t="s">
        <v>35</v>
      </c>
      <c r="J74" s="6" t="s">
        <v>201</v>
      </c>
      <c r="K74" s="6" t="s">
        <v>37</v>
      </c>
      <c r="L74" s="6" t="s">
        <v>38</v>
      </c>
      <c r="M74" s="6" t="s">
        <v>39</v>
      </c>
      <c r="N74" s="6">
        <v>2.2400000000000002</v>
      </c>
      <c r="O74" s="4" t="str">
        <f t="shared" si="1"/>
        <v>Average</v>
      </c>
      <c r="P74" s="6">
        <v>37</v>
      </c>
    </row>
    <row r="75" spans="1:16" x14ac:dyDescent="0.3">
      <c r="A75" s="6" t="s">
        <v>202</v>
      </c>
      <c r="B75" s="6">
        <v>64</v>
      </c>
      <c r="C75" s="6" t="s">
        <v>25</v>
      </c>
      <c r="D75" s="6" t="s">
        <v>47</v>
      </c>
      <c r="E75" s="6" t="s">
        <v>80</v>
      </c>
      <c r="F75" s="6">
        <v>1074</v>
      </c>
      <c r="G75" s="6">
        <v>98636.45</v>
      </c>
      <c r="H75" s="7">
        <v>38759</v>
      </c>
      <c r="I75" s="6" t="s">
        <v>41</v>
      </c>
      <c r="J75" s="6" t="s">
        <v>203</v>
      </c>
      <c r="K75" s="6" t="s">
        <v>43</v>
      </c>
      <c r="L75" s="6" t="s">
        <v>44</v>
      </c>
      <c r="M75" s="6" t="s">
        <v>45</v>
      </c>
      <c r="N75" s="6">
        <v>3.84</v>
      </c>
      <c r="O75" s="4" t="str">
        <f t="shared" si="1"/>
        <v>Good</v>
      </c>
      <c r="P75" s="6">
        <v>193</v>
      </c>
    </row>
    <row r="76" spans="1:16" x14ac:dyDescent="0.3">
      <c r="A76" s="6" t="s">
        <v>204</v>
      </c>
      <c r="B76" s="6">
        <v>42</v>
      </c>
      <c r="C76" s="6" t="s">
        <v>25</v>
      </c>
      <c r="D76" s="6" t="s">
        <v>47</v>
      </c>
      <c r="E76" s="6" t="s">
        <v>34</v>
      </c>
      <c r="F76" s="6">
        <v>1075</v>
      </c>
      <c r="G76" s="6">
        <v>136704</v>
      </c>
      <c r="H76" s="7">
        <v>37865</v>
      </c>
      <c r="I76" s="6" t="s">
        <v>49</v>
      </c>
      <c r="J76" s="6" t="s">
        <v>205</v>
      </c>
      <c r="K76" s="6" t="s">
        <v>51</v>
      </c>
      <c r="L76" s="6" t="s">
        <v>52</v>
      </c>
      <c r="M76" s="6" t="s">
        <v>53</v>
      </c>
      <c r="N76" s="6">
        <v>1.04</v>
      </c>
      <c r="O76" s="4" t="str">
        <f t="shared" si="1"/>
        <v>Poor</v>
      </c>
      <c r="P76" s="6">
        <v>155</v>
      </c>
    </row>
    <row r="77" spans="1:16" x14ac:dyDescent="0.3">
      <c r="A77" s="6" t="s">
        <v>206</v>
      </c>
      <c r="B77" s="6">
        <v>33</v>
      </c>
      <c r="C77" s="6" t="s">
        <v>62</v>
      </c>
      <c r="D77" s="6" t="s">
        <v>26</v>
      </c>
      <c r="E77" s="6" t="s">
        <v>80</v>
      </c>
      <c r="F77" s="6">
        <v>1076</v>
      </c>
      <c r="G77" s="6">
        <v>160288.32000000001</v>
      </c>
      <c r="H77" s="7">
        <v>42144</v>
      </c>
      <c r="I77" s="6" t="s">
        <v>56</v>
      </c>
      <c r="J77" s="6" t="s">
        <v>207</v>
      </c>
      <c r="K77" s="6" t="s">
        <v>21</v>
      </c>
      <c r="L77" s="6" t="s">
        <v>22</v>
      </c>
      <c r="M77" s="6" t="s">
        <v>23</v>
      </c>
      <c r="N77" s="6">
        <v>3.3</v>
      </c>
      <c r="O77" s="4" t="str">
        <f t="shared" si="1"/>
        <v>Good</v>
      </c>
      <c r="P77" s="6">
        <v>78</v>
      </c>
    </row>
    <row r="78" spans="1:16" x14ac:dyDescent="0.3">
      <c r="A78" s="6" t="s">
        <v>208</v>
      </c>
      <c r="B78" s="6">
        <v>26</v>
      </c>
      <c r="C78" s="6" t="s">
        <v>25</v>
      </c>
      <c r="D78" s="6" t="s">
        <v>26</v>
      </c>
      <c r="E78" s="6" t="s">
        <v>48</v>
      </c>
      <c r="F78" s="6">
        <v>1077</v>
      </c>
      <c r="G78" s="6">
        <v>107907.36</v>
      </c>
      <c r="H78" s="7">
        <v>37493</v>
      </c>
      <c r="I78" s="6" t="s">
        <v>63</v>
      </c>
      <c r="J78" s="6" t="s">
        <v>209</v>
      </c>
      <c r="K78" s="6" t="s">
        <v>30</v>
      </c>
      <c r="L78" s="6" t="s">
        <v>31</v>
      </c>
      <c r="M78" s="6" t="s">
        <v>32</v>
      </c>
      <c r="N78" s="6">
        <v>1.72</v>
      </c>
      <c r="O78" s="4" t="str">
        <f t="shared" si="1"/>
        <v>Poor</v>
      </c>
      <c r="P78" s="6">
        <v>90</v>
      </c>
    </row>
    <row r="79" spans="1:16" x14ac:dyDescent="0.3">
      <c r="A79" s="6" t="s">
        <v>210</v>
      </c>
      <c r="B79" s="6">
        <v>28</v>
      </c>
      <c r="C79" s="6" t="s">
        <v>62</v>
      </c>
      <c r="D79" s="6" t="s">
        <v>55</v>
      </c>
      <c r="E79" s="6" t="s">
        <v>34</v>
      </c>
      <c r="F79" s="6">
        <v>1078</v>
      </c>
      <c r="G79" s="6">
        <v>126664.7</v>
      </c>
      <c r="H79" s="7">
        <v>38232</v>
      </c>
      <c r="I79" s="6" t="s">
        <v>66</v>
      </c>
      <c r="J79" s="6" t="s">
        <v>211</v>
      </c>
      <c r="K79" s="6" t="s">
        <v>37</v>
      </c>
      <c r="L79" s="6" t="s">
        <v>38</v>
      </c>
      <c r="M79" s="6" t="s">
        <v>39</v>
      </c>
      <c r="N79" s="6">
        <v>4.3600000000000003</v>
      </c>
      <c r="O79" s="4" t="str">
        <f t="shared" si="1"/>
        <v>Excellent</v>
      </c>
      <c r="P79" s="6">
        <v>79</v>
      </c>
    </row>
    <row r="80" spans="1:16" x14ac:dyDescent="0.3">
      <c r="A80" s="6" t="s">
        <v>212</v>
      </c>
      <c r="B80" s="6">
        <v>26</v>
      </c>
      <c r="C80" s="6" t="s">
        <v>16</v>
      </c>
      <c r="D80" s="6" t="s">
        <v>55</v>
      </c>
      <c r="E80" s="6" t="s">
        <v>34</v>
      </c>
      <c r="F80" s="6">
        <v>1079</v>
      </c>
      <c r="G80" s="6">
        <v>199972.19</v>
      </c>
      <c r="H80" s="7">
        <v>41269</v>
      </c>
      <c r="I80" s="6" t="s">
        <v>70</v>
      </c>
      <c r="J80" s="6" t="s">
        <v>213</v>
      </c>
      <c r="K80" s="6" t="s">
        <v>43</v>
      </c>
      <c r="L80" s="6" t="s">
        <v>44</v>
      </c>
      <c r="M80" s="6" t="s">
        <v>45</v>
      </c>
      <c r="N80" s="6">
        <v>3.51</v>
      </c>
      <c r="O80" s="4" t="str">
        <f t="shared" si="1"/>
        <v>Good</v>
      </c>
      <c r="P80" s="6">
        <v>160</v>
      </c>
    </row>
    <row r="81" spans="1:16" x14ac:dyDescent="0.3">
      <c r="A81" s="6" t="s">
        <v>214</v>
      </c>
      <c r="B81" s="6">
        <v>25</v>
      </c>
      <c r="C81" s="6" t="s">
        <v>62</v>
      </c>
      <c r="D81" s="6" t="s">
        <v>17</v>
      </c>
      <c r="E81" s="6" t="s">
        <v>80</v>
      </c>
      <c r="F81" s="6">
        <v>1080</v>
      </c>
      <c r="G81" s="6">
        <v>90064.11</v>
      </c>
      <c r="H81" s="7">
        <v>43281</v>
      </c>
      <c r="I81" s="6" t="s">
        <v>73</v>
      </c>
      <c r="J81" s="6" t="s">
        <v>215</v>
      </c>
      <c r="K81" s="6" t="s">
        <v>51</v>
      </c>
      <c r="L81" s="6" t="s">
        <v>52</v>
      </c>
      <c r="M81" s="6" t="s">
        <v>53</v>
      </c>
      <c r="N81" s="6">
        <v>3.54</v>
      </c>
      <c r="O81" s="4" t="str">
        <f t="shared" si="1"/>
        <v>Good</v>
      </c>
      <c r="P81" s="6">
        <v>33</v>
      </c>
    </row>
    <row r="82" spans="1:16" x14ac:dyDescent="0.3">
      <c r="A82" s="6" t="s">
        <v>216</v>
      </c>
      <c r="B82" s="6">
        <v>34</v>
      </c>
      <c r="C82" s="6" t="s">
        <v>16</v>
      </c>
      <c r="D82" s="6" t="s">
        <v>26</v>
      </c>
      <c r="E82" s="6" t="s">
        <v>27</v>
      </c>
      <c r="F82" s="6">
        <v>1081</v>
      </c>
      <c r="G82" s="6">
        <v>81638.899999999994</v>
      </c>
      <c r="H82" s="7">
        <v>38831</v>
      </c>
      <c r="I82" s="6" t="s">
        <v>19</v>
      </c>
      <c r="J82" s="6" t="s">
        <v>217</v>
      </c>
      <c r="K82" s="6" t="s">
        <v>21</v>
      </c>
      <c r="L82" s="6" t="s">
        <v>22</v>
      </c>
      <c r="M82" s="6" t="s">
        <v>23</v>
      </c>
      <c r="N82" s="6">
        <v>2.8</v>
      </c>
      <c r="O82" s="4" t="str">
        <f t="shared" si="1"/>
        <v>Average</v>
      </c>
      <c r="P82" s="6">
        <v>26</v>
      </c>
    </row>
    <row r="83" spans="1:16" x14ac:dyDescent="0.3">
      <c r="A83" s="6" t="s">
        <v>218</v>
      </c>
      <c r="B83" s="6">
        <v>58</v>
      </c>
      <c r="C83" s="6" t="s">
        <v>25</v>
      </c>
      <c r="D83" s="6" t="s">
        <v>47</v>
      </c>
      <c r="E83" s="6" t="s">
        <v>80</v>
      </c>
      <c r="F83" s="6">
        <v>1082</v>
      </c>
      <c r="G83" s="6">
        <v>77048.899999999994</v>
      </c>
      <c r="H83" s="7">
        <v>41920</v>
      </c>
      <c r="I83" s="6" t="s">
        <v>28</v>
      </c>
      <c r="J83" s="6" t="s">
        <v>219</v>
      </c>
      <c r="K83" s="6" t="s">
        <v>30</v>
      </c>
      <c r="L83" s="6" t="s">
        <v>31</v>
      </c>
      <c r="M83" s="6" t="s">
        <v>32</v>
      </c>
      <c r="N83" s="6">
        <v>3.01</v>
      </c>
      <c r="O83" s="4" t="str">
        <f t="shared" si="1"/>
        <v>Good</v>
      </c>
      <c r="P83" s="6">
        <v>136</v>
      </c>
    </row>
    <row r="84" spans="1:16" x14ac:dyDescent="0.3">
      <c r="A84" s="6" t="s">
        <v>220</v>
      </c>
      <c r="B84" s="6">
        <v>62</v>
      </c>
      <c r="C84" s="6" t="s">
        <v>62</v>
      </c>
      <c r="D84" s="6" t="s">
        <v>17</v>
      </c>
      <c r="E84" s="6" t="s">
        <v>34</v>
      </c>
      <c r="F84" s="6">
        <v>1083</v>
      </c>
      <c r="G84" s="6">
        <v>85240.26</v>
      </c>
      <c r="H84" s="7">
        <v>37213</v>
      </c>
      <c r="I84" s="6" t="s">
        <v>35</v>
      </c>
      <c r="J84" s="6" t="s">
        <v>221</v>
      </c>
      <c r="K84" s="6" t="s">
        <v>37</v>
      </c>
      <c r="L84" s="6" t="s">
        <v>38</v>
      </c>
      <c r="M84" s="6" t="s">
        <v>39</v>
      </c>
      <c r="N84" s="6">
        <v>4.88</v>
      </c>
      <c r="O84" s="4" t="str">
        <f t="shared" si="1"/>
        <v>Excellent</v>
      </c>
      <c r="P84" s="6">
        <v>64</v>
      </c>
    </row>
    <row r="85" spans="1:16" x14ac:dyDescent="0.3">
      <c r="A85" s="6" t="s">
        <v>222</v>
      </c>
      <c r="B85" s="6">
        <v>36</v>
      </c>
      <c r="C85" s="6" t="s">
        <v>16</v>
      </c>
      <c r="D85" s="6" t="s">
        <v>69</v>
      </c>
      <c r="E85" s="6" t="s">
        <v>18</v>
      </c>
      <c r="F85" s="6">
        <v>1084</v>
      </c>
      <c r="G85" s="6">
        <v>89440.43</v>
      </c>
      <c r="H85" s="7">
        <v>40620</v>
      </c>
      <c r="I85" s="6" t="s">
        <v>41</v>
      </c>
      <c r="J85" s="6" t="s">
        <v>223</v>
      </c>
      <c r="K85" s="6" t="s">
        <v>43</v>
      </c>
      <c r="L85" s="6" t="s">
        <v>44</v>
      </c>
      <c r="M85" s="6" t="s">
        <v>45</v>
      </c>
      <c r="N85" s="6">
        <v>3.85</v>
      </c>
      <c r="O85" s="4" t="str">
        <f t="shared" si="1"/>
        <v>Good</v>
      </c>
      <c r="P85" s="6">
        <v>145</v>
      </c>
    </row>
    <row r="86" spans="1:16" x14ac:dyDescent="0.3">
      <c r="A86" s="6" t="s">
        <v>224</v>
      </c>
      <c r="B86" s="6">
        <v>37</v>
      </c>
      <c r="C86" s="6" t="s">
        <v>25</v>
      </c>
      <c r="D86" s="6" t="s">
        <v>69</v>
      </c>
      <c r="E86" s="6" t="s">
        <v>48</v>
      </c>
      <c r="F86" s="6">
        <v>1085</v>
      </c>
      <c r="G86" s="6">
        <v>114399.86</v>
      </c>
      <c r="H86" s="7">
        <v>39440</v>
      </c>
      <c r="I86" s="6" t="s">
        <v>49</v>
      </c>
      <c r="J86" s="6" t="s">
        <v>225</v>
      </c>
      <c r="K86" s="6" t="s">
        <v>51</v>
      </c>
      <c r="L86" s="6" t="s">
        <v>52</v>
      </c>
      <c r="M86" s="6" t="s">
        <v>53</v>
      </c>
      <c r="N86" s="6">
        <v>3.41</v>
      </c>
      <c r="O86" s="4" t="str">
        <f t="shared" si="1"/>
        <v>Good</v>
      </c>
      <c r="P86" s="6">
        <v>41</v>
      </c>
    </row>
    <row r="87" spans="1:16" x14ac:dyDescent="0.3">
      <c r="A87" s="6" t="s">
        <v>226</v>
      </c>
      <c r="B87" s="6">
        <v>42</v>
      </c>
      <c r="C87" s="6" t="s">
        <v>16</v>
      </c>
      <c r="D87" s="6" t="s">
        <v>55</v>
      </c>
      <c r="E87" s="6" t="s">
        <v>27</v>
      </c>
      <c r="F87" s="6">
        <v>1086</v>
      </c>
      <c r="G87" s="6">
        <v>163549.73000000001</v>
      </c>
      <c r="H87" s="7">
        <v>38116</v>
      </c>
      <c r="I87" s="6" t="s">
        <v>56</v>
      </c>
      <c r="J87" s="6" t="s">
        <v>227</v>
      </c>
      <c r="K87" s="6" t="s">
        <v>21</v>
      </c>
      <c r="L87" s="6" t="s">
        <v>22</v>
      </c>
      <c r="M87" s="6" t="s">
        <v>23</v>
      </c>
      <c r="N87" s="6">
        <v>4.25</v>
      </c>
      <c r="O87" s="4" t="str">
        <f t="shared" si="1"/>
        <v>Excellent</v>
      </c>
      <c r="P87" s="6">
        <v>6</v>
      </c>
    </row>
    <row r="88" spans="1:16" x14ac:dyDescent="0.3">
      <c r="A88" s="6" t="s">
        <v>228</v>
      </c>
      <c r="B88" s="6">
        <v>57</v>
      </c>
      <c r="C88" s="6" t="s">
        <v>62</v>
      </c>
      <c r="D88" s="6" t="s">
        <v>26</v>
      </c>
      <c r="E88" s="6" t="s">
        <v>27</v>
      </c>
      <c r="F88" s="6">
        <v>1087</v>
      </c>
      <c r="G88" s="6">
        <v>130455.49</v>
      </c>
      <c r="H88" s="7">
        <v>39881</v>
      </c>
      <c r="I88" s="6" t="s">
        <v>63</v>
      </c>
      <c r="J88" s="6" t="s">
        <v>229</v>
      </c>
      <c r="K88" s="6" t="s">
        <v>30</v>
      </c>
      <c r="L88" s="6" t="s">
        <v>31</v>
      </c>
      <c r="M88" s="6" t="s">
        <v>32</v>
      </c>
      <c r="N88" s="6">
        <v>3.92</v>
      </c>
      <c r="O88" s="4" t="str">
        <f t="shared" si="1"/>
        <v>Good</v>
      </c>
      <c r="P88" s="6">
        <v>116</v>
      </c>
    </row>
    <row r="89" spans="1:16" x14ac:dyDescent="0.3">
      <c r="A89" s="6" t="s">
        <v>230</v>
      </c>
      <c r="B89" s="6">
        <v>45</v>
      </c>
      <c r="C89" s="6" t="s">
        <v>16</v>
      </c>
      <c r="D89" s="6" t="s">
        <v>26</v>
      </c>
      <c r="E89" s="6" t="s">
        <v>27</v>
      </c>
      <c r="F89" s="6">
        <v>1088</v>
      </c>
      <c r="G89" s="6">
        <v>177627.47</v>
      </c>
      <c r="H89" s="7">
        <v>40280</v>
      </c>
      <c r="I89" s="6" t="s">
        <v>66</v>
      </c>
      <c r="J89" s="6" t="s">
        <v>231</v>
      </c>
      <c r="K89" s="6" t="s">
        <v>37</v>
      </c>
      <c r="L89" s="6" t="s">
        <v>38</v>
      </c>
      <c r="M89" s="6" t="s">
        <v>39</v>
      </c>
      <c r="N89" s="6">
        <v>1.45</v>
      </c>
      <c r="O89" s="4" t="str">
        <f t="shared" si="1"/>
        <v>Poor</v>
      </c>
      <c r="P89" s="6">
        <v>170</v>
      </c>
    </row>
    <row r="90" spans="1:16" x14ac:dyDescent="0.3">
      <c r="A90" s="6" t="s">
        <v>232</v>
      </c>
      <c r="B90" s="6">
        <v>37</v>
      </c>
      <c r="C90" s="6" t="s">
        <v>16</v>
      </c>
      <c r="D90" s="6" t="s">
        <v>69</v>
      </c>
      <c r="E90" s="6" t="s">
        <v>34</v>
      </c>
      <c r="F90" s="6">
        <v>1089</v>
      </c>
      <c r="G90" s="6">
        <v>50532.9</v>
      </c>
      <c r="H90" s="7">
        <v>42641</v>
      </c>
      <c r="I90" s="6" t="s">
        <v>70</v>
      </c>
      <c r="J90" s="6" t="s">
        <v>233</v>
      </c>
      <c r="K90" s="6" t="s">
        <v>43</v>
      </c>
      <c r="L90" s="6" t="s">
        <v>44</v>
      </c>
      <c r="M90" s="6" t="s">
        <v>45</v>
      </c>
      <c r="N90" s="6">
        <v>4.95</v>
      </c>
      <c r="O90" s="4" t="str">
        <f t="shared" si="1"/>
        <v>Excellent</v>
      </c>
      <c r="P90" s="6">
        <v>174</v>
      </c>
    </row>
    <row r="91" spans="1:16" x14ac:dyDescent="0.3">
      <c r="A91" s="6" t="s">
        <v>234</v>
      </c>
      <c r="B91" s="6">
        <v>35</v>
      </c>
      <c r="C91" s="6" t="s">
        <v>16</v>
      </c>
      <c r="D91" s="6" t="s">
        <v>55</v>
      </c>
      <c r="E91" s="6" t="s">
        <v>27</v>
      </c>
      <c r="F91" s="6">
        <v>1090</v>
      </c>
      <c r="G91" s="6">
        <v>191020.43</v>
      </c>
      <c r="H91" s="7">
        <v>38526</v>
      </c>
      <c r="I91" s="6" t="s">
        <v>73</v>
      </c>
      <c r="J91" s="6" t="s">
        <v>235</v>
      </c>
      <c r="K91" s="6" t="s">
        <v>51</v>
      </c>
      <c r="L91" s="6" t="s">
        <v>52</v>
      </c>
      <c r="M91" s="6" t="s">
        <v>53</v>
      </c>
      <c r="N91" s="6">
        <v>1.47</v>
      </c>
      <c r="O91" s="4" t="str">
        <f t="shared" si="1"/>
        <v>Poor</v>
      </c>
      <c r="P91" s="6">
        <v>27</v>
      </c>
    </row>
    <row r="92" spans="1:16" x14ac:dyDescent="0.3">
      <c r="A92" s="6" t="s">
        <v>236</v>
      </c>
      <c r="B92" s="6">
        <v>43</v>
      </c>
      <c r="C92" s="6" t="s">
        <v>25</v>
      </c>
      <c r="D92" s="6" t="s">
        <v>55</v>
      </c>
      <c r="E92" s="6" t="s">
        <v>27</v>
      </c>
      <c r="F92" s="6">
        <v>1091</v>
      </c>
      <c r="G92" s="6">
        <v>75577.7</v>
      </c>
      <c r="H92" s="7">
        <v>43101</v>
      </c>
      <c r="I92" s="6" t="s">
        <v>19</v>
      </c>
      <c r="J92" s="6" t="s">
        <v>237</v>
      </c>
      <c r="K92" s="6" t="s">
        <v>21</v>
      </c>
      <c r="L92" s="6" t="s">
        <v>22</v>
      </c>
      <c r="M92" s="6" t="s">
        <v>23</v>
      </c>
      <c r="N92" s="6">
        <v>4.0599999999999996</v>
      </c>
      <c r="O92" s="4" t="str">
        <f t="shared" si="1"/>
        <v>Excellent</v>
      </c>
      <c r="P92" s="6">
        <v>74</v>
      </c>
    </row>
    <row r="93" spans="1:16" x14ac:dyDescent="0.3">
      <c r="A93" s="6" t="s">
        <v>238</v>
      </c>
      <c r="B93" s="6">
        <v>27</v>
      </c>
      <c r="C93" s="6" t="s">
        <v>16</v>
      </c>
      <c r="D93" s="6" t="s">
        <v>26</v>
      </c>
      <c r="E93" s="6" t="s">
        <v>18</v>
      </c>
      <c r="F93" s="6">
        <v>1092</v>
      </c>
      <c r="G93" s="6">
        <v>109813.63</v>
      </c>
      <c r="H93" s="7">
        <v>38861</v>
      </c>
      <c r="I93" s="6" t="s">
        <v>28</v>
      </c>
      <c r="J93" s="6" t="s">
        <v>239</v>
      </c>
      <c r="K93" s="6" t="s">
        <v>30</v>
      </c>
      <c r="L93" s="6" t="s">
        <v>31</v>
      </c>
      <c r="M93" s="6" t="s">
        <v>32</v>
      </c>
      <c r="N93" s="6">
        <v>4.43</v>
      </c>
      <c r="O93" s="4" t="str">
        <f t="shared" si="1"/>
        <v>Excellent</v>
      </c>
      <c r="P93" s="6">
        <v>183</v>
      </c>
    </row>
    <row r="94" spans="1:16" x14ac:dyDescent="0.3">
      <c r="A94" s="6" t="s">
        <v>240</v>
      </c>
      <c r="B94" s="6">
        <v>63</v>
      </c>
      <c r="C94" s="6" t="s">
        <v>16</v>
      </c>
      <c r="D94" s="6" t="s">
        <v>26</v>
      </c>
      <c r="E94" s="6" t="s">
        <v>18</v>
      </c>
      <c r="F94" s="6">
        <v>1093</v>
      </c>
      <c r="G94" s="6">
        <v>175520.46</v>
      </c>
      <c r="H94" s="7">
        <v>43031</v>
      </c>
      <c r="I94" s="6" t="s">
        <v>35</v>
      </c>
      <c r="J94" s="6" t="s">
        <v>241</v>
      </c>
      <c r="K94" s="6" t="s">
        <v>37</v>
      </c>
      <c r="L94" s="6" t="s">
        <v>38</v>
      </c>
      <c r="M94" s="6" t="s">
        <v>39</v>
      </c>
      <c r="N94" s="6">
        <v>3.08</v>
      </c>
      <c r="O94" s="4" t="str">
        <f t="shared" si="1"/>
        <v>Good</v>
      </c>
      <c r="P94" s="6">
        <v>73</v>
      </c>
    </row>
    <row r="95" spans="1:16" x14ac:dyDescent="0.3">
      <c r="A95" s="6" t="s">
        <v>242</v>
      </c>
      <c r="B95" s="6">
        <v>57</v>
      </c>
      <c r="C95" s="6" t="s">
        <v>16</v>
      </c>
      <c r="D95" s="6" t="s">
        <v>69</v>
      </c>
      <c r="E95" s="6" t="s">
        <v>18</v>
      </c>
      <c r="F95" s="6">
        <v>1094</v>
      </c>
      <c r="G95" s="6">
        <v>146799.99</v>
      </c>
      <c r="H95" s="7">
        <v>42974</v>
      </c>
      <c r="I95" s="6" t="s">
        <v>41</v>
      </c>
      <c r="J95" s="6" t="s">
        <v>243</v>
      </c>
      <c r="K95" s="6" t="s">
        <v>43</v>
      </c>
      <c r="L95" s="6" t="s">
        <v>44</v>
      </c>
      <c r="M95" s="6" t="s">
        <v>45</v>
      </c>
      <c r="N95" s="6">
        <v>1.17</v>
      </c>
      <c r="O95" s="4" t="str">
        <f t="shared" si="1"/>
        <v>Poor</v>
      </c>
      <c r="P95" s="6">
        <v>70</v>
      </c>
    </row>
    <row r="96" spans="1:16" x14ac:dyDescent="0.3">
      <c r="A96" s="6" t="s">
        <v>244</v>
      </c>
      <c r="B96" s="6">
        <v>22</v>
      </c>
      <c r="C96" s="6" t="s">
        <v>16</v>
      </c>
      <c r="D96" s="6" t="s">
        <v>47</v>
      </c>
      <c r="E96" s="6" t="s">
        <v>27</v>
      </c>
      <c r="F96" s="6">
        <v>1095</v>
      </c>
      <c r="G96" s="6">
        <v>67509.440000000002</v>
      </c>
      <c r="H96" s="7">
        <v>37040</v>
      </c>
      <c r="I96" s="6" t="s">
        <v>49</v>
      </c>
      <c r="J96" s="6" t="s">
        <v>245</v>
      </c>
      <c r="K96" s="6" t="s">
        <v>51</v>
      </c>
      <c r="L96" s="6" t="s">
        <v>52</v>
      </c>
      <c r="M96" s="6" t="s">
        <v>53</v>
      </c>
      <c r="N96" s="6">
        <v>3.95</v>
      </c>
      <c r="O96" s="4" t="str">
        <f t="shared" si="1"/>
        <v>Good</v>
      </c>
      <c r="P96" s="6">
        <v>19</v>
      </c>
    </row>
    <row r="97" spans="1:16" x14ac:dyDescent="0.3">
      <c r="A97" s="6" t="s">
        <v>246</v>
      </c>
      <c r="B97" s="6">
        <v>53</v>
      </c>
      <c r="C97" s="6" t="s">
        <v>62</v>
      </c>
      <c r="D97" s="6" t="s">
        <v>55</v>
      </c>
      <c r="E97" s="6" t="s">
        <v>27</v>
      </c>
      <c r="F97" s="6">
        <v>1096</v>
      </c>
      <c r="G97" s="6">
        <v>187066.97</v>
      </c>
      <c r="H97" s="7">
        <v>42630</v>
      </c>
      <c r="I97" s="6" t="s">
        <v>56</v>
      </c>
      <c r="J97" s="6" t="s">
        <v>247</v>
      </c>
      <c r="K97" s="6" t="s">
        <v>21</v>
      </c>
      <c r="L97" s="6" t="s">
        <v>22</v>
      </c>
      <c r="M97" s="6" t="s">
        <v>23</v>
      </c>
      <c r="N97" s="6">
        <v>1.82</v>
      </c>
      <c r="O97" s="4" t="str">
        <f t="shared" si="1"/>
        <v>Poor</v>
      </c>
      <c r="P97" s="6">
        <v>157</v>
      </c>
    </row>
    <row r="98" spans="1:16" x14ac:dyDescent="0.3">
      <c r="A98" s="6" t="s">
        <v>248</v>
      </c>
      <c r="B98" s="6">
        <v>27</v>
      </c>
      <c r="C98" s="6" t="s">
        <v>62</v>
      </c>
      <c r="D98" s="6" t="s">
        <v>26</v>
      </c>
      <c r="E98" s="6" t="s">
        <v>80</v>
      </c>
      <c r="F98" s="6">
        <v>1097</v>
      </c>
      <c r="G98" s="6">
        <v>177682.97</v>
      </c>
      <c r="H98" s="7">
        <v>39992</v>
      </c>
      <c r="I98" s="6" t="s">
        <v>63</v>
      </c>
      <c r="J98" s="6" t="s">
        <v>249</v>
      </c>
      <c r="K98" s="6" t="s">
        <v>30</v>
      </c>
      <c r="L98" s="6" t="s">
        <v>31</v>
      </c>
      <c r="M98" s="6" t="s">
        <v>32</v>
      </c>
      <c r="N98" s="6">
        <v>1.42</v>
      </c>
      <c r="O98" s="4" t="str">
        <f t="shared" si="1"/>
        <v>Poor</v>
      </c>
      <c r="P98" s="6">
        <v>37</v>
      </c>
    </row>
    <row r="99" spans="1:16" x14ac:dyDescent="0.3">
      <c r="A99" s="6" t="s">
        <v>250</v>
      </c>
      <c r="B99" s="6">
        <v>52</v>
      </c>
      <c r="C99" s="6" t="s">
        <v>25</v>
      </c>
      <c r="D99" s="6" t="s">
        <v>55</v>
      </c>
      <c r="E99" s="6" t="s">
        <v>34</v>
      </c>
      <c r="F99" s="6">
        <v>1098</v>
      </c>
      <c r="G99" s="6">
        <v>112967.08</v>
      </c>
      <c r="H99" s="7">
        <v>42154</v>
      </c>
      <c r="I99" s="6" t="s">
        <v>66</v>
      </c>
      <c r="J99" s="6" t="s">
        <v>251</v>
      </c>
      <c r="K99" s="6" t="s">
        <v>37</v>
      </c>
      <c r="L99" s="6" t="s">
        <v>38</v>
      </c>
      <c r="M99" s="6" t="s">
        <v>39</v>
      </c>
      <c r="N99" s="6">
        <v>2.44</v>
      </c>
      <c r="O99" s="4" t="str">
        <f t="shared" si="1"/>
        <v>Average</v>
      </c>
      <c r="P99" s="6">
        <v>44</v>
      </c>
    </row>
    <row r="100" spans="1:16" x14ac:dyDescent="0.3">
      <c r="A100" s="6" t="s">
        <v>252</v>
      </c>
      <c r="B100" s="6">
        <v>22</v>
      </c>
      <c r="C100" s="6" t="s">
        <v>16</v>
      </c>
      <c r="D100" s="6" t="s">
        <v>47</v>
      </c>
      <c r="E100" s="6" t="s">
        <v>80</v>
      </c>
      <c r="F100" s="6">
        <v>1099</v>
      </c>
      <c r="G100" s="6">
        <v>104824.8</v>
      </c>
      <c r="H100" s="7">
        <v>44663</v>
      </c>
      <c r="I100" s="6" t="s">
        <v>70</v>
      </c>
      <c r="J100" s="6" t="s">
        <v>253</v>
      </c>
      <c r="K100" s="6" t="s">
        <v>43</v>
      </c>
      <c r="L100" s="6" t="s">
        <v>44</v>
      </c>
      <c r="M100" s="6" t="s">
        <v>45</v>
      </c>
      <c r="N100" s="6">
        <v>4.24</v>
      </c>
      <c r="O100" s="4" t="str">
        <f t="shared" si="1"/>
        <v>Excellent</v>
      </c>
      <c r="P100" s="6">
        <v>91</v>
      </c>
    </row>
    <row r="101" spans="1:16" x14ac:dyDescent="0.3">
      <c r="A101" s="6" t="s">
        <v>254</v>
      </c>
      <c r="B101" s="6">
        <v>58</v>
      </c>
      <c r="C101" s="6" t="s">
        <v>25</v>
      </c>
      <c r="D101" s="6" t="s">
        <v>69</v>
      </c>
      <c r="E101" s="6" t="s">
        <v>34</v>
      </c>
      <c r="F101" s="6">
        <v>1100</v>
      </c>
      <c r="G101" s="6">
        <v>159929.82999999999</v>
      </c>
      <c r="H101" s="7">
        <v>40679</v>
      </c>
      <c r="I101" s="6" t="s">
        <v>73</v>
      </c>
      <c r="J101" s="6" t="s">
        <v>255</v>
      </c>
      <c r="K101" s="6" t="s">
        <v>51</v>
      </c>
      <c r="L101" s="6" t="s">
        <v>52</v>
      </c>
      <c r="M101" s="6" t="s">
        <v>53</v>
      </c>
      <c r="N101" s="6">
        <v>3.94</v>
      </c>
      <c r="O101" s="4" t="str">
        <f t="shared" si="1"/>
        <v>Good</v>
      </c>
      <c r="P101" s="6">
        <v>5</v>
      </c>
    </row>
    <row r="102" spans="1:16" x14ac:dyDescent="0.3">
      <c r="A102" s="6" t="s">
        <v>256</v>
      </c>
      <c r="B102" s="6">
        <v>56</v>
      </c>
      <c r="C102" s="6" t="s">
        <v>16</v>
      </c>
      <c r="D102" s="6" t="s">
        <v>47</v>
      </c>
      <c r="E102" s="6" t="s">
        <v>80</v>
      </c>
      <c r="F102" s="6">
        <v>1101</v>
      </c>
      <c r="G102" s="6">
        <v>135123.97</v>
      </c>
      <c r="H102" s="7">
        <v>41126</v>
      </c>
      <c r="I102" s="6" t="s">
        <v>19</v>
      </c>
      <c r="J102" s="6" t="s">
        <v>257</v>
      </c>
      <c r="K102" s="6" t="s">
        <v>21</v>
      </c>
      <c r="L102" s="6" t="s">
        <v>22</v>
      </c>
      <c r="M102" s="6" t="s">
        <v>23</v>
      </c>
      <c r="N102" s="6">
        <v>4.8099999999999996</v>
      </c>
      <c r="O102" s="4" t="str">
        <f t="shared" si="1"/>
        <v>Excellent</v>
      </c>
      <c r="P102" s="6">
        <v>102</v>
      </c>
    </row>
    <row r="103" spans="1:16" x14ac:dyDescent="0.3">
      <c r="A103" s="6" t="s">
        <v>258</v>
      </c>
      <c r="B103" s="6">
        <v>51</v>
      </c>
      <c r="C103" s="6" t="s">
        <v>62</v>
      </c>
      <c r="D103" s="6" t="s">
        <v>69</v>
      </c>
      <c r="E103" s="6" t="s">
        <v>18</v>
      </c>
      <c r="F103" s="6">
        <v>1102</v>
      </c>
      <c r="G103" s="6">
        <v>52630.1</v>
      </c>
      <c r="H103" s="7">
        <v>39046</v>
      </c>
      <c r="I103" s="6" t="s">
        <v>28</v>
      </c>
      <c r="J103" s="6" t="s">
        <v>259</v>
      </c>
      <c r="K103" s="6" t="s">
        <v>30</v>
      </c>
      <c r="L103" s="6" t="s">
        <v>31</v>
      </c>
      <c r="M103" s="6" t="s">
        <v>32</v>
      </c>
      <c r="N103" s="6">
        <v>2.21</v>
      </c>
      <c r="O103" s="4" t="str">
        <f t="shared" si="1"/>
        <v>Average</v>
      </c>
      <c r="P103" s="6">
        <v>69</v>
      </c>
    </row>
    <row r="104" spans="1:16" x14ac:dyDescent="0.3">
      <c r="A104" s="6" t="s">
        <v>260</v>
      </c>
      <c r="B104" s="6">
        <v>25</v>
      </c>
      <c r="C104" s="6" t="s">
        <v>16</v>
      </c>
      <c r="D104" s="6" t="s">
        <v>55</v>
      </c>
      <c r="E104" s="6" t="s">
        <v>27</v>
      </c>
      <c r="F104" s="6">
        <v>1103</v>
      </c>
      <c r="G104" s="6">
        <v>55964.99</v>
      </c>
      <c r="H104" s="7">
        <v>43570</v>
      </c>
      <c r="I104" s="6" t="s">
        <v>35</v>
      </c>
      <c r="J104" s="6" t="s">
        <v>261</v>
      </c>
      <c r="K104" s="6" t="s">
        <v>37</v>
      </c>
      <c r="L104" s="6" t="s">
        <v>38</v>
      </c>
      <c r="M104" s="6" t="s">
        <v>39</v>
      </c>
      <c r="N104" s="6">
        <v>4.59</v>
      </c>
      <c r="O104" s="4" t="str">
        <f t="shared" si="1"/>
        <v>Excellent</v>
      </c>
      <c r="P104" s="6">
        <v>57</v>
      </c>
    </row>
    <row r="105" spans="1:16" x14ac:dyDescent="0.3">
      <c r="A105" s="6" t="s">
        <v>262</v>
      </c>
      <c r="B105" s="6">
        <v>56</v>
      </c>
      <c r="C105" s="6" t="s">
        <v>25</v>
      </c>
      <c r="D105" s="6" t="s">
        <v>17</v>
      </c>
      <c r="E105" s="6" t="s">
        <v>18</v>
      </c>
      <c r="F105" s="6">
        <v>1104</v>
      </c>
      <c r="G105" s="6">
        <v>169848.08</v>
      </c>
      <c r="H105" s="7">
        <v>42126</v>
      </c>
      <c r="I105" s="6" t="s">
        <v>41</v>
      </c>
      <c r="J105" s="6" t="s">
        <v>263</v>
      </c>
      <c r="K105" s="6" t="s">
        <v>43</v>
      </c>
      <c r="L105" s="6" t="s">
        <v>44</v>
      </c>
      <c r="M105" s="6" t="s">
        <v>45</v>
      </c>
      <c r="N105" s="6">
        <v>3.11</v>
      </c>
      <c r="O105" s="4" t="str">
        <f t="shared" si="1"/>
        <v>Good</v>
      </c>
      <c r="P105" s="6">
        <v>195</v>
      </c>
    </row>
    <row r="106" spans="1:16" x14ac:dyDescent="0.3">
      <c r="A106" s="6" t="s">
        <v>264</v>
      </c>
      <c r="B106" s="6">
        <v>64</v>
      </c>
      <c r="C106" s="6" t="s">
        <v>16</v>
      </c>
      <c r="D106" s="6" t="s">
        <v>55</v>
      </c>
      <c r="E106" s="6" t="s">
        <v>80</v>
      </c>
      <c r="F106" s="6">
        <v>1105</v>
      </c>
      <c r="G106" s="6">
        <v>111312.24</v>
      </c>
      <c r="H106" s="7">
        <v>39609</v>
      </c>
      <c r="I106" s="6" t="s">
        <v>49</v>
      </c>
      <c r="J106" s="6" t="s">
        <v>265</v>
      </c>
      <c r="K106" s="6" t="s">
        <v>51</v>
      </c>
      <c r="L106" s="6" t="s">
        <v>52</v>
      </c>
      <c r="M106" s="6" t="s">
        <v>53</v>
      </c>
      <c r="N106" s="6">
        <v>2.21</v>
      </c>
      <c r="O106" s="4" t="str">
        <f t="shared" si="1"/>
        <v>Average</v>
      </c>
      <c r="P106" s="6">
        <v>139</v>
      </c>
    </row>
    <row r="107" spans="1:16" x14ac:dyDescent="0.3">
      <c r="A107" s="6" t="s">
        <v>266</v>
      </c>
      <c r="B107" s="6">
        <v>35</v>
      </c>
      <c r="C107" s="6" t="s">
        <v>62</v>
      </c>
      <c r="D107" s="6" t="s">
        <v>17</v>
      </c>
      <c r="E107" s="6" t="s">
        <v>34</v>
      </c>
      <c r="F107" s="6">
        <v>1106</v>
      </c>
      <c r="G107" s="6">
        <v>69669.53</v>
      </c>
      <c r="H107" s="7">
        <v>36752</v>
      </c>
      <c r="I107" s="6" t="s">
        <v>56</v>
      </c>
      <c r="J107" s="6" t="s">
        <v>267</v>
      </c>
      <c r="K107" s="6" t="s">
        <v>21</v>
      </c>
      <c r="L107" s="6" t="s">
        <v>22</v>
      </c>
      <c r="M107" s="6" t="s">
        <v>23</v>
      </c>
      <c r="N107" s="6">
        <v>4.83</v>
      </c>
      <c r="O107" s="4" t="str">
        <f t="shared" si="1"/>
        <v>Excellent</v>
      </c>
      <c r="P107" s="6">
        <v>106</v>
      </c>
    </row>
    <row r="108" spans="1:16" x14ac:dyDescent="0.3">
      <c r="A108" s="6" t="s">
        <v>268</v>
      </c>
      <c r="B108" s="6">
        <v>61</v>
      </c>
      <c r="C108" s="6" t="s">
        <v>25</v>
      </c>
      <c r="D108" s="6" t="s">
        <v>55</v>
      </c>
      <c r="E108" s="6" t="s">
        <v>48</v>
      </c>
      <c r="F108" s="6">
        <v>1107</v>
      </c>
      <c r="G108" s="6">
        <v>183950.64</v>
      </c>
      <c r="H108" s="7">
        <v>41325</v>
      </c>
      <c r="I108" s="6" t="s">
        <v>63</v>
      </c>
      <c r="J108" s="6" t="s">
        <v>269</v>
      </c>
      <c r="K108" s="6" t="s">
        <v>30</v>
      </c>
      <c r="L108" s="6" t="s">
        <v>31</v>
      </c>
      <c r="M108" s="6" t="s">
        <v>32</v>
      </c>
      <c r="N108" s="6">
        <v>1.37</v>
      </c>
      <c r="O108" s="4" t="str">
        <f t="shared" si="1"/>
        <v>Poor</v>
      </c>
      <c r="P108" s="6">
        <v>94</v>
      </c>
    </row>
    <row r="109" spans="1:16" x14ac:dyDescent="0.3">
      <c r="A109" s="6" t="s">
        <v>270</v>
      </c>
      <c r="B109" s="6">
        <v>43</v>
      </c>
      <c r="C109" s="6" t="s">
        <v>16</v>
      </c>
      <c r="D109" s="6" t="s">
        <v>47</v>
      </c>
      <c r="E109" s="6" t="s">
        <v>48</v>
      </c>
      <c r="F109" s="6">
        <v>1108</v>
      </c>
      <c r="G109" s="6">
        <v>158746.28</v>
      </c>
      <c r="H109" s="7">
        <v>43742</v>
      </c>
      <c r="I109" s="6" t="s">
        <v>66</v>
      </c>
      <c r="J109" s="6" t="s">
        <v>271</v>
      </c>
      <c r="K109" s="6" t="s">
        <v>37</v>
      </c>
      <c r="L109" s="6" t="s">
        <v>38</v>
      </c>
      <c r="M109" s="6" t="s">
        <v>39</v>
      </c>
      <c r="N109" s="6">
        <v>3.51</v>
      </c>
      <c r="O109" s="4" t="str">
        <f t="shared" si="1"/>
        <v>Good</v>
      </c>
      <c r="P109" s="6">
        <v>187</v>
      </c>
    </row>
    <row r="110" spans="1:16" x14ac:dyDescent="0.3">
      <c r="A110" s="6" t="s">
        <v>272</v>
      </c>
      <c r="B110" s="6">
        <v>31</v>
      </c>
      <c r="C110" s="6" t="s">
        <v>62</v>
      </c>
      <c r="D110" s="6" t="s">
        <v>69</v>
      </c>
      <c r="E110" s="6" t="s">
        <v>27</v>
      </c>
      <c r="F110" s="6">
        <v>1109</v>
      </c>
      <c r="G110" s="6">
        <v>106077.69</v>
      </c>
      <c r="H110" s="7">
        <v>40209</v>
      </c>
      <c r="I110" s="6" t="s">
        <v>70</v>
      </c>
      <c r="J110" s="6" t="s">
        <v>273</v>
      </c>
      <c r="K110" s="6" t="s">
        <v>43</v>
      </c>
      <c r="L110" s="6" t="s">
        <v>44</v>
      </c>
      <c r="M110" s="6" t="s">
        <v>45</v>
      </c>
      <c r="N110" s="6">
        <v>1.06</v>
      </c>
      <c r="O110" s="4" t="str">
        <f t="shared" si="1"/>
        <v>Poor</v>
      </c>
      <c r="P110" s="6">
        <v>137</v>
      </c>
    </row>
    <row r="111" spans="1:16" x14ac:dyDescent="0.3">
      <c r="A111" s="6" t="s">
        <v>274</v>
      </c>
      <c r="B111" s="6">
        <v>22</v>
      </c>
      <c r="C111" s="6" t="s">
        <v>16</v>
      </c>
      <c r="D111" s="6" t="s">
        <v>55</v>
      </c>
      <c r="E111" s="6" t="s">
        <v>27</v>
      </c>
      <c r="F111" s="6">
        <v>1110</v>
      </c>
      <c r="G111" s="6">
        <v>70223.91</v>
      </c>
      <c r="H111" s="7">
        <v>39119</v>
      </c>
      <c r="I111" s="6" t="s">
        <v>73</v>
      </c>
      <c r="J111" s="6" t="s">
        <v>275</v>
      </c>
      <c r="K111" s="6" t="s">
        <v>51</v>
      </c>
      <c r="L111" s="6" t="s">
        <v>52</v>
      </c>
      <c r="M111" s="6" t="s">
        <v>53</v>
      </c>
      <c r="N111" s="6">
        <v>3.46</v>
      </c>
      <c r="O111" s="4" t="str">
        <f t="shared" si="1"/>
        <v>Good</v>
      </c>
      <c r="P111" s="6">
        <v>26</v>
      </c>
    </row>
    <row r="112" spans="1:16" x14ac:dyDescent="0.3">
      <c r="A112" s="6" t="s">
        <v>276</v>
      </c>
      <c r="B112" s="6">
        <v>32</v>
      </c>
      <c r="C112" s="6" t="s">
        <v>62</v>
      </c>
      <c r="D112" s="6" t="s">
        <v>26</v>
      </c>
      <c r="E112" s="6" t="s">
        <v>80</v>
      </c>
      <c r="F112" s="6">
        <v>1111</v>
      </c>
      <c r="G112" s="6">
        <v>57538.97</v>
      </c>
      <c r="H112" s="7">
        <v>42154</v>
      </c>
      <c r="I112" s="6" t="s">
        <v>19</v>
      </c>
      <c r="J112" s="6" t="s">
        <v>277</v>
      </c>
      <c r="K112" s="6" t="s">
        <v>21</v>
      </c>
      <c r="L112" s="6" t="s">
        <v>22</v>
      </c>
      <c r="M112" s="6" t="s">
        <v>23</v>
      </c>
      <c r="N112" s="6">
        <v>3.93</v>
      </c>
      <c r="O112" s="4" t="str">
        <f t="shared" si="1"/>
        <v>Good</v>
      </c>
      <c r="P112" s="6">
        <v>167</v>
      </c>
    </row>
    <row r="113" spans="1:16" x14ac:dyDescent="0.3">
      <c r="A113" s="6" t="s">
        <v>278</v>
      </c>
      <c r="B113" s="6">
        <v>45</v>
      </c>
      <c r="C113" s="6" t="s">
        <v>25</v>
      </c>
      <c r="D113" s="6" t="s">
        <v>69</v>
      </c>
      <c r="E113" s="6" t="s">
        <v>34</v>
      </c>
      <c r="F113" s="6">
        <v>1112</v>
      </c>
      <c r="G113" s="6">
        <v>146054.62</v>
      </c>
      <c r="H113" s="7">
        <v>39113</v>
      </c>
      <c r="I113" s="6" t="s">
        <v>28</v>
      </c>
      <c r="J113" s="6" t="s">
        <v>279</v>
      </c>
      <c r="K113" s="6" t="s">
        <v>30</v>
      </c>
      <c r="L113" s="6" t="s">
        <v>31</v>
      </c>
      <c r="M113" s="6" t="s">
        <v>32</v>
      </c>
      <c r="N113" s="6">
        <v>4.5199999999999996</v>
      </c>
      <c r="O113" s="4" t="str">
        <f t="shared" si="1"/>
        <v>Excellent</v>
      </c>
      <c r="P113" s="6">
        <v>145</v>
      </c>
    </row>
    <row r="114" spans="1:16" x14ac:dyDescent="0.3">
      <c r="A114" s="6" t="s">
        <v>280</v>
      </c>
      <c r="B114" s="6">
        <v>24</v>
      </c>
      <c r="C114" s="6" t="s">
        <v>25</v>
      </c>
      <c r="D114" s="6" t="s">
        <v>47</v>
      </c>
      <c r="E114" s="6" t="s">
        <v>34</v>
      </c>
      <c r="F114" s="6">
        <v>1113</v>
      </c>
      <c r="G114" s="6">
        <v>143874.01</v>
      </c>
      <c r="H114" s="7">
        <v>44602</v>
      </c>
      <c r="I114" s="6" t="s">
        <v>35</v>
      </c>
      <c r="J114" s="6" t="s">
        <v>281</v>
      </c>
      <c r="K114" s="6" t="s">
        <v>37</v>
      </c>
      <c r="L114" s="6" t="s">
        <v>38</v>
      </c>
      <c r="M114" s="6" t="s">
        <v>39</v>
      </c>
      <c r="N114" s="6">
        <v>1.33</v>
      </c>
      <c r="O114" s="4" t="str">
        <f t="shared" si="1"/>
        <v>Poor</v>
      </c>
      <c r="P114" s="6">
        <v>16</v>
      </c>
    </row>
    <row r="115" spans="1:16" x14ac:dyDescent="0.3">
      <c r="A115" s="6" t="s">
        <v>282</v>
      </c>
      <c r="B115" s="6">
        <v>56</v>
      </c>
      <c r="C115" s="6" t="s">
        <v>16</v>
      </c>
      <c r="D115" s="6" t="s">
        <v>55</v>
      </c>
      <c r="E115" s="6" t="s">
        <v>18</v>
      </c>
      <c r="F115" s="6">
        <v>1114</v>
      </c>
      <c r="G115" s="6">
        <v>161261.99</v>
      </c>
      <c r="H115" s="7">
        <v>41146</v>
      </c>
      <c r="I115" s="6" t="s">
        <v>41</v>
      </c>
      <c r="J115" s="6" t="s">
        <v>283</v>
      </c>
      <c r="K115" s="6" t="s">
        <v>43</v>
      </c>
      <c r="L115" s="6" t="s">
        <v>44</v>
      </c>
      <c r="M115" s="6" t="s">
        <v>45</v>
      </c>
      <c r="N115" s="6">
        <v>1.34</v>
      </c>
      <c r="O115" s="4" t="str">
        <f t="shared" si="1"/>
        <v>Poor</v>
      </c>
      <c r="P115" s="6">
        <v>43</v>
      </c>
    </row>
    <row r="116" spans="1:16" x14ac:dyDescent="0.3">
      <c r="A116" s="6" t="s">
        <v>284</v>
      </c>
      <c r="B116" s="6">
        <v>57</v>
      </c>
      <c r="C116" s="6" t="s">
        <v>62</v>
      </c>
      <c r="D116" s="6" t="s">
        <v>69</v>
      </c>
      <c r="E116" s="6" t="s">
        <v>80</v>
      </c>
      <c r="F116" s="6">
        <v>1115</v>
      </c>
      <c r="G116" s="6">
        <v>147168.12</v>
      </c>
      <c r="H116" s="7">
        <v>44465</v>
      </c>
      <c r="I116" s="6" t="s">
        <v>49</v>
      </c>
      <c r="J116" s="6" t="s">
        <v>285</v>
      </c>
      <c r="K116" s="6" t="s">
        <v>51</v>
      </c>
      <c r="L116" s="6" t="s">
        <v>52</v>
      </c>
      <c r="M116" s="6" t="s">
        <v>53</v>
      </c>
      <c r="N116" s="6">
        <v>1.96</v>
      </c>
      <c r="O116" s="4" t="str">
        <f t="shared" si="1"/>
        <v>Poor</v>
      </c>
      <c r="P116" s="6">
        <v>132</v>
      </c>
    </row>
    <row r="117" spans="1:16" x14ac:dyDescent="0.3">
      <c r="A117" s="6" t="s">
        <v>286</v>
      </c>
      <c r="B117" s="6">
        <v>52</v>
      </c>
      <c r="C117" s="6" t="s">
        <v>25</v>
      </c>
      <c r="D117" s="6" t="s">
        <v>26</v>
      </c>
      <c r="E117" s="6" t="s">
        <v>18</v>
      </c>
      <c r="F117" s="6">
        <v>1116</v>
      </c>
      <c r="G117" s="6">
        <v>117431.74</v>
      </c>
      <c r="H117" s="7">
        <v>39569</v>
      </c>
      <c r="I117" s="6" t="s">
        <v>56</v>
      </c>
      <c r="J117" s="6" t="s">
        <v>287</v>
      </c>
      <c r="K117" s="6" t="s">
        <v>21</v>
      </c>
      <c r="L117" s="6" t="s">
        <v>22</v>
      </c>
      <c r="M117" s="6" t="s">
        <v>23</v>
      </c>
      <c r="N117" s="6">
        <v>1.21</v>
      </c>
      <c r="O117" s="4" t="str">
        <f t="shared" si="1"/>
        <v>Poor</v>
      </c>
      <c r="P117" s="6">
        <v>183</v>
      </c>
    </row>
    <row r="118" spans="1:16" x14ac:dyDescent="0.3">
      <c r="A118" s="6" t="s">
        <v>288</v>
      </c>
      <c r="B118" s="6">
        <v>25</v>
      </c>
      <c r="C118" s="6" t="s">
        <v>16</v>
      </c>
      <c r="D118" s="6" t="s">
        <v>69</v>
      </c>
      <c r="E118" s="6" t="s">
        <v>80</v>
      </c>
      <c r="F118" s="6">
        <v>1117</v>
      </c>
      <c r="G118" s="6">
        <v>67284.429999999993</v>
      </c>
      <c r="H118" s="7">
        <v>36644</v>
      </c>
      <c r="I118" s="6" t="s">
        <v>63</v>
      </c>
      <c r="J118" s="6" t="s">
        <v>289</v>
      </c>
      <c r="K118" s="6" t="s">
        <v>30</v>
      </c>
      <c r="L118" s="6" t="s">
        <v>31</v>
      </c>
      <c r="M118" s="6" t="s">
        <v>32</v>
      </c>
      <c r="N118" s="6">
        <v>3.58</v>
      </c>
      <c r="O118" s="4" t="str">
        <f t="shared" si="1"/>
        <v>Good</v>
      </c>
      <c r="P118" s="6">
        <v>21</v>
      </c>
    </row>
    <row r="119" spans="1:16" x14ac:dyDescent="0.3">
      <c r="A119" s="6" t="s">
        <v>290</v>
      </c>
      <c r="B119" s="6">
        <v>40</v>
      </c>
      <c r="C119" s="6" t="s">
        <v>16</v>
      </c>
      <c r="D119" s="6" t="s">
        <v>55</v>
      </c>
      <c r="E119" s="6" t="s">
        <v>80</v>
      </c>
      <c r="F119" s="6">
        <v>1118</v>
      </c>
      <c r="G119" s="6">
        <v>105675.72</v>
      </c>
      <c r="H119" s="7">
        <v>37778</v>
      </c>
      <c r="I119" s="6" t="s">
        <v>66</v>
      </c>
      <c r="J119" s="6" t="s">
        <v>291</v>
      </c>
      <c r="K119" s="6" t="s">
        <v>37</v>
      </c>
      <c r="L119" s="6" t="s">
        <v>38</v>
      </c>
      <c r="M119" s="6" t="s">
        <v>39</v>
      </c>
      <c r="N119" s="6">
        <v>4.46</v>
      </c>
      <c r="O119" s="4" t="str">
        <f t="shared" si="1"/>
        <v>Excellent</v>
      </c>
      <c r="P119" s="6">
        <v>31</v>
      </c>
    </row>
    <row r="120" spans="1:16" x14ac:dyDescent="0.3">
      <c r="A120" s="6" t="s">
        <v>292</v>
      </c>
      <c r="B120" s="6">
        <v>57</v>
      </c>
      <c r="C120" s="6" t="s">
        <v>16</v>
      </c>
      <c r="D120" s="6" t="s">
        <v>26</v>
      </c>
      <c r="E120" s="6" t="s">
        <v>27</v>
      </c>
      <c r="F120" s="6">
        <v>1119</v>
      </c>
      <c r="G120" s="6">
        <v>141270.35999999999</v>
      </c>
      <c r="H120" s="7">
        <v>39172</v>
      </c>
      <c r="I120" s="6" t="s">
        <v>70</v>
      </c>
      <c r="J120" s="6" t="s">
        <v>293</v>
      </c>
      <c r="K120" s="6" t="s">
        <v>43</v>
      </c>
      <c r="L120" s="6" t="s">
        <v>44</v>
      </c>
      <c r="M120" s="6" t="s">
        <v>45</v>
      </c>
      <c r="N120" s="6">
        <v>1.48</v>
      </c>
      <c r="O120" s="4" t="str">
        <f t="shared" si="1"/>
        <v>Poor</v>
      </c>
      <c r="P120" s="6">
        <v>91</v>
      </c>
    </row>
    <row r="121" spans="1:16" x14ac:dyDescent="0.3">
      <c r="A121" s="6" t="s">
        <v>294</v>
      </c>
      <c r="B121" s="6">
        <v>42</v>
      </c>
      <c r="C121" s="6" t="s">
        <v>62</v>
      </c>
      <c r="D121" s="6" t="s">
        <v>55</v>
      </c>
      <c r="E121" s="6" t="s">
        <v>27</v>
      </c>
      <c r="F121" s="6">
        <v>1120</v>
      </c>
      <c r="G121" s="6">
        <v>128756.24</v>
      </c>
      <c r="H121" s="7">
        <v>41600</v>
      </c>
      <c r="I121" s="6" t="s">
        <v>73</v>
      </c>
      <c r="J121" s="6" t="s">
        <v>295</v>
      </c>
      <c r="K121" s="6" t="s">
        <v>51</v>
      </c>
      <c r="L121" s="6" t="s">
        <v>52</v>
      </c>
      <c r="M121" s="6" t="s">
        <v>53</v>
      </c>
      <c r="N121" s="6">
        <v>1.78</v>
      </c>
      <c r="O121" s="4" t="str">
        <f t="shared" si="1"/>
        <v>Poor</v>
      </c>
      <c r="P121" s="6">
        <v>107</v>
      </c>
    </row>
    <row r="122" spans="1:16" x14ac:dyDescent="0.3">
      <c r="A122" s="6" t="s">
        <v>296</v>
      </c>
      <c r="B122" s="6">
        <v>39</v>
      </c>
      <c r="C122" s="6" t="s">
        <v>16</v>
      </c>
      <c r="D122" s="6" t="s">
        <v>17</v>
      </c>
      <c r="E122" s="6" t="s">
        <v>34</v>
      </c>
      <c r="F122" s="6">
        <v>1121</v>
      </c>
      <c r="G122" s="6">
        <v>93820.77</v>
      </c>
      <c r="H122" s="7">
        <v>37641</v>
      </c>
      <c r="I122" s="6" t="s">
        <v>19</v>
      </c>
      <c r="J122" s="6" t="s">
        <v>297</v>
      </c>
      <c r="K122" s="6" t="s">
        <v>21</v>
      </c>
      <c r="L122" s="6" t="s">
        <v>22</v>
      </c>
      <c r="M122" s="6" t="s">
        <v>23</v>
      </c>
      <c r="N122" s="6">
        <v>4.5999999999999996</v>
      </c>
      <c r="O122" s="4" t="str">
        <f t="shared" si="1"/>
        <v>Excellent</v>
      </c>
      <c r="P122" s="6">
        <v>180</v>
      </c>
    </row>
    <row r="123" spans="1:16" x14ac:dyDescent="0.3">
      <c r="A123" s="6" t="s">
        <v>298</v>
      </c>
      <c r="B123" s="6">
        <v>49</v>
      </c>
      <c r="C123" s="6" t="s">
        <v>62</v>
      </c>
      <c r="D123" s="6" t="s">
        <v>69</v>
      </c>
      <c r="E123" s="6" t="s">
        <v>34</v>
      </c>
      <c r="F123" s="6">
        <v>1122</v>
      </c>
      <c r="G123" s="6">
        <v>85363.67</v>
      </c>
      <c r="H123" s="7">
        <v>41339</v>
      </c>
      <c r="I123" s="6" t="s">
        <v>28</v>
      </c>
      <c r="J123" s="6" t="s">
        <v>299</v>
      </c>
      <c r="K123" s="6" t="s">
        <v>30</v>
      </c>
      <c r="L123" s="6" t="s">
        <v>31</v>
      </c>
      <c r="M123" s="6" t="s">
        <v>32</v>
      </c>
      <c r="N123" s="6">
        <v>4.1500000000000004</v>
      </c>
      <c r="O123" s="4" t="str">
        <f t="shared" si="1"/>
        <v>Excellent</v>
      </c>
      <c r="P123" s="6">
        <v>147</v>
      </c>
    </row>
    <row r="124" spans="1:16" x14ac:dyDescent="0.3">
      <c r="A124" s="6" t="s">
        <v>300</v>
      </c>
      <c r="B124" s="6">
        <v>36</v>
      </c>
      <c r="C124" s="6" t="s">
        <v>16</v>
      </c>
      <c r="D124" s="6" t="s">
        <v>26</v>
      </c>
      <c r="E124" s="6" t="s">
        <v>27</v>
      </c>
      <c r="F124" s="6">
        <v>1123</v>
      </c>
      <c r="G124" s="6">
        <v>95725.81</v>
      </c>
      <c r="H124" s="7">
        <v>37108</v>
      </c>
      <c r="I124" s="6" t="s">
        <v>35</v>
      </c>
      <c r="J124" s="6" t="s">
        <v>301</v>
      </c>
      <c r="K124" s="6" t="s">
        <v>37</v>
      </c>
      <c r="L124" s="6" t="s">
        <v>38</v>
      </c>
      <c r="M124" s="6" t="s">
        <v>39</v>
      </c>
      <c r="N124" s="6">
        <v>4.6900000000000004</v>
      </c>
      <c r="O124" s="4" t="str">
        <f t="shared" si="1"/>
        <v>Excellent</v>
      </c>
      <c r="P124" s="6">
        <v>157</v>
      </c>
    </row>
    <row r="125" spans="1:16" x14ac:dyDescent="0.3">
      <c r="A125" s="6" t="s">
        <v>302</v>
      </c>
      <c r="B125" s="6">
        <v>63</v>
      </c>
      <c r="C125" s="6" t="s">
        <v>62</v>
      </c>
      <c r="D125" s="6" t="s">
        <v>55</v>
      </c>
      <c r="E125" s="6" t="s">
        <v>48</v>
      </c>
      <c r="F125" s="6">
        <v>1124</v>
      </c>
      <c r="G125" s="6">
        <v>59834.07</v>
      </c>
      <c r="H125" s="7">
        <v>42568</v>
      </c>
      <c r="I125" s="6" t="s">
        <v>41</v>
      </c>
      <c r="J125" s="6" t="s">
        <v>303</v>
      </c>
      <c r="K125" s="6" t="s">
        <v>304</v>
      </c>
      <c r="L125" s="6" t="s">
        <v>44</v>
      </c>
      <c r="M125" s="6" t="s">
        <v>45</v>
      </c>
      <c r="N125" s="6">
        <v>1.55</v>
      </c>
      <c r="O125" s="4" t="str">
        <f t="shared" si="1"/>
        <v>Poor</v>
      </c>
      <c r="P125" s="6">
        <v>104</v>
      </c>
    </row>
    <row r="126" spans="1:16" x14ac:dyDescent="0.3">
      <c r="A126" s="6" t="s">
        <v>305</v>
      </c>
      <c r="B126" s="6">
        <v>23</v>
      </c>
      <c r="C126" s="6" t="s">
        <v>16</v>
      </c>
      <c r="D126" s="6" t="s">
        <v>17</v>
      </c>
      <c r="E126" s="6" t="s">
        <v>34</v>
      </c>
      <c r="F126" s="6">
        <v>1125</v>
      </c>
      <c r="G126" s="6">
        <v>152954.07</v>
      </c>
      <c r="H126" s="7">
        <v>41867</v>
      </c>
      <c r="I126" s="6" t="s">
        <v>49</v>
      </c>
      <c r="J126" s="6" t="s">
        <v>306</v>
      </c>
      <c r="K126" s="6" t="s">
        <v>51</v>
      </c>
      <c r="L126" s="6" t="s">
        <v>52</v>
      </c>
      <c r="M126" s="6" t="s">
        <v>53</v>
      </c>
      <c r="N126" s="6">
        <v>3.67</v>
      </c>
      <c r="O126" s="4" t="str">
        <f t="shared" si="1"/>
        <v>Good</v>
      </c>
      <c r="P126" s="6">
        <v>84</v>
      </c>
    </row>
    <row r="127" spans="1:16" x14ac:dyDescent="0.3">
      <c r="A127" s="6" t="s">
        <v>307</v>
      </c>
      <c r="B127" s="6">
        <v>58</v>
      </c>
      <c r="C127" s="6" t="s">
        <v>16</v>
      </c>
      <c r="D127" s="6" t="s">
        <v>55</v>
      </c>
      <c r="E127" s="6" t="s">
        <v>18</v>
      </c>
      <c r="F127" s="6">
        <v>1126</v>
      </c>
      <c r="G127" s="6">
        <v>102781.5</v>
      </c>
      <c r="H127" s="7">
        <v>37649</v>
      </c>
      <c r="I127" s="6" t="s">
        <v>56</v>
      </c>
      <c r="J127" s="6" t="s">
        <v>308</v>
      </c>
      <c r="K127" s="6" t="s">
        <v>21</v>
      </c>
      <c r="L127" s="6" t="s">
        <v>22</v>
      </c>
      <c r="M127" s="6" t="s">
        <v>23</v>
      </c>
      <c r="N127" s="6">
        <v>2.34</v>
      </c>
      <c r="O127" s="4" t="str">
        <f t="shared" si="1"/>
        <v>Average</v>
      </c>
      <c r="P127" s="6">
        <v>119</v>
      </c>
    </row>
    <row r="128" spans="1:16" x14ac:dyDescent="0.3">
      <c r="A128" s="6" t="s">
        <v>309</v>
      </c>
      <c r="B128" s="6">
        <v>32</v>
      </c>
      <c r="C128" s="6" t="s">
        <v>62</v>
      </c>
      <c r="D128" s="6" t="s">
        <v>55</v>
      </c>
      <c r="E128" s="6" t="s">
        <v>48</v>
      </c>
      <c r="F128" s="6">
        <v>1127</v>
      </c>
      <c r="G128" s="6">
        <v>95566.29</v>
      </c>
      <c r="H128" s="7">
        <v>40907</v>
      </c>
      <c r="I128" s="6" t="s">
        <v>63</v>
      </c>
      <c r="J128" s="6" t="s">
        <v>310</v>
      </c>
      <c r="K128" s="6" t="s">
        <v>30</v>
      </c>
      <c r="L128" s="6" t="s">
        <v>31</v>
      </c>
      <c r="M128" s="6" t="s">
        <v>32</v>
      </c>
      <c r="N128" s="6">
        <v>3.75</v>
      </c>
      <c r="O128" s="4" t="str">
        <f t="shared" si="1"/>
        <v>Good</v>
      </c>
      <c r="P128" s="6">
        <v>31</v>
      </c>
    </row>
    <row r="129" spans="1:16" x14ac:dyDescent="0.3">
      <c r="A129" s="6" t="s">
        <v>311</v>
      </c>
      <c r="B129" s="6">
        <v>44</v>
      </c>
      <c r="C129" s="6" t="s">
        <v>25</v>
      </c>
      <c r="D129" s="6" t="s">
        <v>69</v>
      </c>
      <c r="E129" s="6" t="s">
        <v>18</v>
      </c>
      <c r="F129" s="6">
        <v>1128</v>
      </c>
      <c r="G129" s="6">
        <v>130536.23</v>
      </c>
      <c r="H129" s="7">
        <v>38827</v>
      </c>
      <c r="I129" s="6" t="s">
        <v>66</v>
      </c>
      <c r="J129" s="6" t="s">
        <v>312</v>
      </c>
      <c r="K129" s="6" t="s">
        <v>37</v>
      </c>
      <c r="L129" s="6" t="s">
        <v>38</v>
      </c>
      <c r="M129" s="6" t="s">
        <v>39</v>
      </c>
      <c r="N129" s="6">
        <v>1.6</v>
      </c>
      <c r="O129" s="4" t="str">
        <f t="shared" si="1"/>
        <v>Poor</v>
      </c>
      <c r="P129" s="6">
        <v>116</v>
      </c>
    </row>
    <row r="130" spans="1:16" x14ac:dyDescent="0.3">
      <c r="A130" s="6" t="s">
        <v>313</v>
      </c>
      <c r="B130" s="6">
        <v>62</v>
      </c>
      <c r="C130" s="6" t="s">
        <v>25</v>
      </c>
      <c r="D130" s="6" t="s">
        <v>69</v>
      </c>
      <c r="E130" s="6" t="s">
        <v>80</v>
      </c>
      <c r="F130" s="6">
        <v>1129</v>
      </c>
      <c r="G130" s="6">
        <v>142573.92000000001</v>
      </c>
      <c r="H130" s="7">
        <v>42948</v>
      </c>
      <c r="I130" s="6" t="s">
        <v>70</v>
      </c>
      <c r="J130" s="6" t="s">
        <v>314</v>
      </c>
      <c r="K130" s="6" t="s">
        <v>43</v>
      </c>
      <c r="L130" s="6" t="s">
        <v>44</v>
      </c>
      <c r="M130" s="6" t="s">
        <v>45</v>
      </c>
      <c r="N130" s="6">
        <v>1.79</v>
      </c>
      <c r="O130" s="4" t="str">
        <f t="shared" si="1"/>
        <v>Poor</v>
      </c>
      <c r="P130" s="6">
        <v>66</v>
      </c>
    </row>
    <row r="131" spans="1:16" x14ac:dyDescent="0.3">
      <c r="A131" s="6" t="s">
        <v>315</v>
      </c>
      <c r="B131" s="6">
        <v>33</v>
      </c>
      <c r="C131" s="6" t="s">
        <v>25</v>
      </c>
      <c r="D131" s="6" t="s">
        <v>17</v>
      </c>
      <c r="E131" s="6" t="s">
        <v>80</v>
      </c>
      <c r="F131" s="6">
        <v>1130</v>
      </c>
      <c r="G131" s="6">
        <v>51482.720000000001</v>
      </c>
      <c r="H131" s="7">
        <v>38288</v>
      </c>
      <c r="I131" s="6" t="s">
        <v>73</v>
      </c>
      <c r="J131" s="6" t="s">
        <v>316</v>
      </c>
      <c r="K131" s="6" t="s">
        <v>51</v>
      </c>
      <c r="L131" s="6" t="s">
        <v>52</v>
      </c>
      <c r="M131" s="6" t="s">
        <v>53</v>
      </c>
      <c r="N131" s="6">
        <v>1.82</v>
      </c>
      <c r="O131" s="4" t="str">
        <f t="shared" ref="O131:O194" si="2">IF(N131&gt;=4,"Excellent",IF(N131&gt;=3,"Good",IF(N131&gt;=2,"Average","Poor")))</f>
        <v>Poor</v>
      </c>
      <c r="P131" s="6">
        <v>99</v>
      </c>
    </row>
    <row r="132" spans="1:16" x14ac:dyDescent="0.3">
      <c r="A132" s="6" t="s">
        <v>317</v>
      </c>
      <c r="B132" s="6">
        <v>24</v>
      </c>
      <c r="C132" s="6" t="s">
        <v>62</v>
      </c>
      <c r="D132" s="6" t="s">
        <v>69</v>
      </c>
      <c r="E132" s="6" t="s">
        <v>80</v>
      </c>
      <c r="F132" s="6">
        <v>1131</v>
      </c>
      <c r="G132" s="6">
        <v>154557.16</v>
      </c>
      <c r="H132" s="7">
        <v>39048</v>
      </c>
      <c r="I132" s="6" t="s">
        <v>19</v>
      </c>
      <c r="J132" s="6" t="s">
        <v>318</v>
      </c>
      <c r="K132" s="6" t="s">
        <v>21</v>
      </c>
      <c r="L132" s="6" t="s">
        <v>22</v>
      </c>
      <c r="M132" s="6" t="s">
        <v>23</v>
      </c>
      <c r="N132" s="6">
        <v>3.11</v>
      </c>
      <c r="O132" s="4" t="str">
        <f t="shared" si="2"/>
        <v>Good</v>
      </c>
      <c r="P132" s="6">
        <v>198</v>
      </c>
    </row>
    <row r="133" spans="1:16" x14ac:dyDescent="0.3">
      <c r="A133" s="6" t="s">
        <v>319</v>
      </c>
      <c r="B133" s="6">
        <v>38</v>
      </c>
      <c r="C133" s="6" t="s">
        <v>25</v>
      </c>
      <c r="D133" s="6" t="s">
        <v>26</v>
      </c>
      <c r="E133" s="6" t="s">
        <v>34</v>
      </c>
      <c r="F133" s="6">
        <v>1132</v>
      </c>
      <c r="G133" s="6">
        <v>154261.34</v>
      </c>
      <c r="H133" s="7">
        <v>41253</v>
      </c>
      <c r="I133" s="6" t="s">
        <v>28</v>
      </c>
      <c r="J133" s="6" t="s">
        <v>320</v>
      </c>
      <c r="K133" s="6" t="s">
        <v>30</v>
      </c>
      <c r="L133" s="6" t="s">
        <v>31</v>
      </c>
      <c r="M133" s="6" t="s">
        <v>32</v>
      </c>
      <c r="N133" s="6">
        <v>2.52</v>
      </c>
      <c r="O133" s="4" t="str">
        <f t="shared" si="2"/>
        <v>Average</v>
      </c>
      <c r="P133" s="6">
        <v>197</v>
      </c>
    </row>
    <row r="134" spans="1:16" x14ac:dyDescent="0.3">
      <c r="A134" s="6" t="s">
        <v>321</v>
      </c>
      <c r="B134" s="6">
        <v>54</v>
      </c>
      <c r="C134" s="6" t="s">
        <v>16</v>
      </c>
      <c r="D134" s="6" t="s">
        <v>17</v>
      </c>
      <c r="E134" s="6" t="s">
        <v>34</v>
      </c>
      <c r="F134" s="6">
        <v>1133</v>
      </c>
      <c r="G134" s="6">
        <v>116150.2</v>
      </c>
      <c r="H134" s="7">
        <v>37665</v>
      </c>
      <c r="I134" s="6" t="s">
        <v>35</v>
      </c>
      <c r="J134" s="6" t="s">
        <v>322</v>
      </c>
      <c r="K134" s="6" t="s">
        <v>37</v>
      </c>
      <c r="L134" s="6" t="s">
        <v>38</v>
      </c>
      <c r="M134" s="6" t="s">
        <v>39</v>
      </c>
      <c r="N134" s="6">
        <v>3.68</v>
      </c>
      <c r="O134" s="4" t="str">
        <f t="shared" si="2"/>
        <v>Good</v>
      </c>
      <c r="P134" s="6">
        <v>35</v>
      </c>
    </row>
    <row r="135" spans="1:16" x14ac:dyDescent="0.3">
      <c r="A135" s="6" t="s">
        <v>323</v>
      </c>
      <c r="B135" s="6">
        <v>22</v>
      </c>
      <c r="C135" s="6" t="s">
        <v>62</v>
      </c>
      <c r="D135" s="6" t="s">
        <v>69</v>
      </c>
      <c r="E135" s="6" t="s">
        <v>80</v>
      </c>
      <c r="F135" s="6">
        <v>1134</v>
      </c>
      <c r="G135" s="6">
        <v>137115.62</v>
      </c>
      <c r="H135" s="7">
        <v>43734</v>
      </c>
      <c r="I135" s="6" t="s">
        <v>41</v>
      </c>
      <c r="J135" s="6" t="s">
        <v>324</v>
      </c>
      <c r="K135" s="6" t="s">
        <v>43</v>
      </c>
      <c r="L135" s="6" t="s">
        <v>44</v>
      </c>
      <c r="M135" s="6" t="s">
        <v>45</v>
      </c>
      <c r="N135" s="6">
        <v>3.38</v>
      </c>
      <c r="O135" s="4" t="str">
        <f t="shared" si="2"/>
        <v>Good</v>
      </c>
      <c r="P135" s="6">
        <v>55</v>
      </c>
    </row>
    <row r="136" spans="1:16" x14ac:dyDescent="0.3">
      <c r="A136" s="6" t="s">
        <v>325</v>
      </c>
      <c r="B136" s="6">
        <v>60</v>
      </c>
      <c r="C136" s="6" t="s">
        <v>25</v>
      </c>
      <c r="D136" s="6" t="s">
        <v>47</v>
      </c>
      <c r="E136" s="6" t="s">
        <v>34</v>
      </c>
      <c r="F136" s="6">
        <v>1135</v>
      </c>
      <c r="G136" s="6">
        <v>125582.69</v>
      </c>
      <c r="H136" s="7">
        <v>36809</v>
      </c>
      <c r="I136" s="6" t="s">
        <v>49</v>
      </c>
      <c r="J136" s="6" t="s">
        <v>326</v>
      </c>
      <c r="K136" s="6" t="s">
        <v>51</v>
      </c>
      <c r="L136" s="6" t="s">
        <v>52</v>
      </c>
      <c r="M136" s="6" t="s">
        <v>53</v>
      </c>
      <c r="N136" s="6">
        <v>1.17</v>
      </c>
      <c r="O136" s="4" t="str">
        <f t="shared" si="2"/>
        <v>Poor</v>
      </c>
      <c r="P136" s="6">
        <v>91</v>
      </c>
    </row>
    <row r="137" spans="1:16" x14ac:dyDescent="0.3">
      <c r="A137" s="6" t="s">
        <v>327</v>
      </c>
      <c r="B137" s="6">
        <v>41</v>
      </c>
      <c r="C137" s="6" t="s">
        <v>16</v>
      </c>
      <c r="D137" s="6" t="s">
        <v>26</v>
      </c>
      <c r="E137" s="6" t="s">
        <v>34</v>
      </c>
      <c r="F137" s="6">
        <v>1136</v>
      </c>
      <c r="G137" s="6">
        <v>52229.94</v>
      </c>
      <c r="H137" s="7">
        <v>41248</v>
      </c>
      <c r="I137" s="6" t="s">
        <v>56</v>
      </c>
      <c r="J137" s="6" t="s">
        <v>328</v>
      </c>
      <c r="K137" s="6" t="s">
        <v>21</v>
      </c>
      <c r="L137" s="6" t="s">
        <v>22</v>
      </c>
      <c r="M137" s="6" t="s">
        <v>23</v>
      </c>
      <c r="N137" s="6">
        <v>4.41</v>
      </c>
      <c r="O137" s="4" t="str">
        <f t="shared" si="2"/>
        <v>Excellent</v>
      </c>
      <c r="P137" s="6">
        <v>178</v>
      </c>
    </row>
    <row r="138" spans="1:16" x14ac:dyDescent="0.3">
      <c r="A138" s="6" t="s">
        <v>329</v>
      </c>
      <c r="B138" s="6">
        <v>64</v>
      </c>
      <c r="C138" s="6" t="s">
        <v>16</v>
      </c>
      <c r="D138" s="6" t="s">
        <v>55</v>
      </c>
      <c r="E138" s="6" t="s">
        <v>18</v>
      </c>
      <c r="F138" s="6">
        <v>1137</v>
      </c>
      <c r="G138" s="6">
        <v>67393.98</v>
      </c>
      <c r="H138" s="7">
        <v>41720</v>
      </c>
      <c r="I138" s="6" t="s">
        <v>63</v>
      </c>
      <c r="J138" s="6" t="s">
        <v>330</v>
      </c>
      <c r="K138" s="6" t="s">
        <v>30</v>
      </c>
      <c r="L138" s="6" t="s">
        <v>31</v>
      </c>
      <c r="M138" s="6" t="s">
        <v>32</v>
      </c>
      <c r="N138" s="6">
        <v>4.4400000000000004</v>
      </c>
      <c r="O138" s="4" t="str">
        <f t="shared" si="2"/>
        <v>Excellent</v>
      </c>
      <c r="P138" s="6">
        <v>24</v>
      </c>
    </row>
    <row r="139" spans="1:16" x14ac:dyDescent="0.3">
      <c r="A139" s="6" t="s">
        <v>331</v>
      </c>
      <c r="B139" s="6">
        <v>62</v>
      </c>
      <c r="C139" s="6" t="s">
        <v>62</v>
      </c>
      <c r="D139" s="6" t="s">
        <v>26</v>
      </c>
      <c r="E139" s="6" t="s">
        <v>27</v>
      </c>
      <c r="F139" s="6">
        <v>1138</v>
      </c>
      <c r="G139" s="6">
        <v>141807.04999999999</v>
      </c>
      <c r="H139" s="7">
        <v>42063</v>
      </c>
      <c r="I139" s="6" t="s">
        <v>66</v>
      </c>
      <c r="J139" s="6" t="s">
        <v>332</v>
      </c>
      <c r="K139" s="6" t="s">
        <v>37</v>
      </c>
      <c r="L139" s="6" t="s">
        <v>38</v>
      </c>
      <c r="M139" s="6" t="s">
        <v>39</v>
      </c>
      <c r="N139" s="6">
        <v>4.25</v>
      </c>
      <c r="O139" s="4" t="str">
        <f t="shared" si="2"/>
        <v>Excellent</v>
      </c>
      <c r="P139" s="6">
        <v>104</v>
      </c>
    </row>
    <row r="140" spans="1:16" x14ac:dyDescent="0.3">
      <c r="A140" s="6" t="s">
        <v>333</v>
      </c>
      <c r="B140" s="6">
        <v>35</v>
      </c>
      <c r="C140" s="6" t="s">
        <v>25</v>
      </c>
      <c r="D140" s="6" t="s">
        <v>26</v>
      </c>
      <c r="E140" s="6" t="s">
        <v>80</v>
      </c>
      <c r="F140" s="6">
        <v>1139</v>
      </c>
      <c r="G140" s="6">
        <v>92140.25</v>
      </c>
      <c r="H140" s="7">
        <v>42243</v>
      </c>
      <c r="I140" s="6" t="s">
        <v>70</v>
      </c>
      <c r="J140" s="6" t="s">
        <v>334</v>
      </c>
      <c r="K140" s="6" t="s">
        <v>43</v>
      </c>
      <c r="L140" s="6" t="s">
        <v>44</v>
      </c>
      <c r="M140" s="6" t="s">
        <v>45</v>
      </c>
      <c r="N140" s="6">
        <v>4.3600000000000003</v>
      </c>
      <c r="O140" s="4" t="str">
        <f t="shared" si="2"/>
        <v>Excellent</v>
      </c>
      <c r="P140" s="6">
        <v>134</v>
      </c>
    </row>
    <row r="141" spans="1:16" x14ac:dyDescent="0.3">
      <c r="A141" s="6" t="s">
        <v>335</v>
      </c>
      <c r="B141" s="6">
        <v>52</v>
      </c>
      <c r="C141" s="6" t="s">
        <v>16</v>
      </c>
      <c r="D141" s="6" t="s">
        <v>26</v>
      </c>
      <c r="E141" s="6" t="s">
        <v>48</v>
      </c>
      <c r="F141" s="6">
        <v>1140</v>
      </c>
      <c r="G141" s="6">
        <v>53356.22</v>
      </c>
      <c r="H141" s="7">
        <v>39398</v>
      </c>
      <c r="I141" s="6" t="s">
        <v>73</v>
      </c>
      <c r="J141" s="6" t="s">
        <v>336</v>
      </c>
      <c r="K141" s="6" t="s">
        <v>51</v>
      </c>
      <c r="L141" s="6" t="s">
        <v>52</v>
      </c>
      <c r="M141" s="6" t="s">
        <v>53</v>
      </c>
      <c r="N141" s="6">
        <v>1.1200000000000001</v>
      </c>
      <c r="O141" s="4" t="str">
        <f t="shared" si="2"/>
        <v>Poor</v>
      </c>
      <c r="P141" s="6">
        <v>31</v>
      </c>
    </row>
    <row r="142" spans="1:16" x14ac:dyDescent="0.3">
      <c r="A142" s="6" t="s">
        <v>337</v>
      </c>
      <c r="B142" s="6">
        <v>46</v>
      </c>
      <c r="C142" s="6" t="s">
        <v>25</v>
      </c>
      <c r="D142" s="6" t="s">
        <v>47</v>
      </c>
      <c r="E142" s="6" t="s">
        <v>27</v>
      </c>
      <c r="F142" s="6">
        <v>1141</v>
      </c>
      <c r="G142" s="6">
        <v>183419.13</v>
      </c>
      <c r="H142" s="7">
        <v>42008</v>
      </c>
      <c r="I142" s="6" t="s">
        <v>19</v>
      </c>
      <c r="J142" s="6" t="s">
        <v>338</v>
      </c>
      <c r="K142" s="6" t="s">
        <v>21</v>
      </c>
      <c r="L142" s="6" t="s">
        <v>22</v>
      </c>
      <c r="M142" s="6" t="s">
        <v>23</v>
      </c>
      <c r="N142" s="6">
        <v>4.09</v>
      </c>
      <c r="O142" s="4" t="str">
        <f t="shared" si="2"/>
        <v>Excellent</v>
      </c>
      <c r="P142" s="6">
        <v>153</v>
      </c>
    </row>
    <row r="143" spans="1:16" x14ac:dyDescent="0.3">
      <c r="A143" s="6" t="s">
        <v>339</v>
      </c>
      <c r="B143" s="6">
        <v>24</v>
      </c>
      <c r="C143" s="6" t="s">
        <v>16</v>
      </c>
      <c r="D143" s="6" t="s">
        <v>26</v>
      </c>
      <c r="E143" s="6" t="s">
        <v>27</v>
      </c>
      <c r="F143" s="6">
        <v>1142</v>
      </c>
      <c r="G143" s="6">
        <v>187395.08</v>
      </c>
      <c r="H143" s="7">
        <v>43429</v>
      </c>
      <c r="I143" s="6" t="s">
        <v>28</v>
      </c>
      <c r="J143" s="6" t="s">
        <v>340</v>
      </c>
      <c r="K143" s="6" t="s">
        <v>30</v>
      </c>
      <c r="L143" s="6" t="s">
        <v>31</v>
      </c>
      <c r="M143" s="6" t="s">
        <v>32</v>
      </c>
      <c r="N143" s="6">
        <v>2.54</v>
      </c>
      <c r="O143" s="4" t="str">
        <f t="shared" si="2"/>
        <v>Average</v>
      </c>
      <c r="P143" s="6">
        <v>34</v>
      </c>
    </row>
    <row r="144" spans="1:16" x14ac:dyDescent="0.3">
      <c r="A144" s="6" t="s">
        <v>341</v>
      </c>
      <c r="B144" s="6">
        <v>25</v>
      </c>
      <c r="C144" s="6" t="s">
        <v>16</v>
      </c>
      <c r="D144" s="6" t="s">
        <v>47</v>
      </c>
      <c r="E144" s="6" t="s">
        <v>18</v>
      </c>
      <c r="F144" s="6">
        <v>1143</v>
      </c>
      <c r="G144" s="6">
        <v>136605.31</v>
      </c>
      <c r="H144" s="7">
        <v>38368</v>
      </c>
      <c r="I144" s="6" t="s">
        <v>35</v>
      </c>
      <c r="J144" s="6" t="s">
        <v>342</v>
      </c>
      <c r="K144" s="6" t="s">
        <v>37</v>
      </c>
      <c r="L144" s="6" t="s">
        <v>38</v>
      </c>
      <c r="M144" s="6" t="s">
        <v>39</v>
      </c>
      <c r="N144" s="6">
        <v>1.44</v>
      </c>
      <c r="O144" s="4" t="str">
        <f t="shared" si="2"/>
        <v>Poor</v>
      </c>
      <c r="P144" s="6">
        <v>157</v>
      </c>
    </row>
    <row r="145" spans="1:16" x14ac:dyDescent="0.3">
      <c r="A145" s="6" t="s">
        <v>343</v>
      </c>
      <c r="B145" s="6">
        <v>52</v>
      </c>
      <c r="C145" s="6" t="s">
        <v>62</v>
      </c>
      <c r="D145" s="6" t="s">
        <v>47</v>
      </c>
      <c r="E145" s="6" t="s">
        <v>80</v>
      </c>
      <c r="F145" s="6">
        <v>1144</v>
      </c>
      <c r="G145" s="6">
        <v>119278.22</v>
      </c>
      <c r="H145" s="7">
        <v>40848</v>
      </c>
      <c r="I145" s="6" t="s">
        <v>41</v>
      </c>
      <c r="J145" s="6" t="s">
        <v>344</v>
      </c>
      <c r="K145" s="6" t="s">
        <v>43</v>
      </c>
      <c r="L145" s="6" t="s">
        <v>44</v>
      </c>
      <c r="M145" s="6" t="s">
        <v>45</v>
      </c>
      <c r="N145" s="6">
        <v>5</v>
      </c>
      <c r="O145" s="4" t="str">
        <f t="shared" si="2"/>
        <v>Excellent</v>
      </c>
      <c r="P145" s="6">
        <v>9</v>
      </c>
    </row>
    <row r="146" spans="1:16" x14ac:dyDescent="0.3">
      <c r="A146" s="6" t="s">
        <v>345</v>
      </c>
      <c r="B146" s="6">
        <v>56</v>
      </c>
      <c r="C146" s="6" t="s">
        <v>25</v>
      </c>
      <c r="D146" s="6" t="s">
        <v>69</v>
      </c>
      <c r="E146" s="6" t="s">
        <v>48</v>
      </c>
      <c r="F146" s="6">
        <v>1145</v>
      </c>
      <c r="G146" s="6">
        <v>71070.22</v>
      </c>
      <c r="H146" s="7">
        <v>42693</v>
      </c>
      <c r="I146" s="6" t="s">
        <v>49</v>
      </c>
      <c r="J146" s="6" t="s">
        <v>346</v>
      </c>
      <c r="K146" s="6" t="s">
        <v>51</v>
      </c>
      <c r="L146" s="6" t="s">
        <v>52</v>
      </c>
      <c r="M146" s="6" t="s">
        <v>53</v>
      </c>
      <c r="N146" s="6">
        <v>3.63</v>
      </c>
      <c r="O146" s="4" t="str">
        <f t="shared" si="2"/>
        <v>Good</v>
      </c>
      <c r="P146" s="6">
        <v>116</v>
      </c>
    </row>
    <row r="147" spans="1:16" x14ac:dyDescent="0.3">
      <c r="A147" s="6" t="s">
        <v>347</v>
      </c>
      <c r="B147" s="6">
        <v>35</v>
      </c>
      <c r="C147" s="6" t="s">
        <v>16</v>
      </c>
      <c r="D147" s="6" t="s">
        <v>47</v>
      </c>
      <c r="E147" s="6" t="s">
        <v>48</v>
      </c>
      <c r="F147" s="6">
        <v>1146</v>
      </c>
      <c r="G147" s="6">
        <v>189565.49</v>
      </c>
      <c r="H147" s="7">
        <v>38281</v>
      </c>
      <c r="I147" s="6" t="s">
        <v>56</v>
      </c>
      <c r="J147" s="6" t="s">
        <v>348</v>
      </c>
      <c r="K147" s="6" t="s">
        <v>21</v>
      </c>
      <c r="L147" s="6" t="s">
        <v>22</v>
      </c>
      <c r="M147" s="6" t="s">
        <v>23</v>
      </c>
      <c r="N147" s="6">
        <v>4.26</v>
      </c>
      <c r="O147" s="4" t="str">
        <f t="shared" si="2"/>
        <v>Excellent</v>
      </c>
      <c r="P147" s="6">
        <v>188</v>
      </c>
    </row>
    <row r="148" spans="1:16" x14ac:dyDescent="0.3">
      <c r="A148" s="6" t="s">
        <v>349</v>
      </c>
      <c r="B148" s="6">
        <v>62</v>
      </c>
      <c r="C148" s="6" t="s">
        <v>25</v>
      </c>
      <c r="D148" s="6" t="s">
        <v>47</v>
      </c>
      <c r="E148" s="6" t="s">
        <v>18</v>
      </c>
      <c r="F148" s="6">
        <v>1147</v>
      </c>
      <c r="G148" s="6">
        <v>153919.70000000001</v>
      </c>
      <c r="H148" s="7">
        <v>43285</v>
      </c>
      <c r="I148" s="6" t="s">
        <v>63</v>
      </c>
      <c r="J148" s="6" t="s">
        <v>350</v>
      </c>
      <c r="K148" s="6" t="s">
        <v>30</v>
      </c>
      <c r="L148" s="6" t="s">
        <v>31</v>
      </c>
      <c r="M148" s="6" t="s">
        <v>32</v>
      </c>
      <c r="N148" s="6">
        <v>1.67</v>
      </c>
      <c r="O148" s="4" t="str">
        <f t="shared" si="2"/>
        <v>Poor</v>
      </c>
      <c r="P148" s="6">
        <v>97</v>
      </c>
    </row>
    <row r="149" spans="1:16" x14ac:dyDescent="0.3">
      <c r="A149" s="6" t="s">
        <v>351</v>
      </c>
      <c r="B149" s="6">
        <v>30</v>
      </c>
      <c r="C149" s="6" t="s">
        <v>25</v>
      </c>
      <c r="D149" s="6" t="s">
        <v>17</v>
      </c>
      <c r="E149" s="6" t="s">
        <v>27</v>
      </c>
      <c r="F149" s="6">
        <v>1148</v>
      </c>
      <c r="G149" s="6">
        <v>106734.88</v>
      </c>
      <c r="H149" s="7">
        <v>38381</v>
      </c>
      <c r="I149" s="6" t="s">
        <v>66</v>
      </c>
      <c r="J149" s="6" t="s">
        <v>352</v>
      </c>
      <c r="K149" s="6" t="s">
        <v>37</v>
      </c>
      <c r="L149" s="6" t="s">
        <v>38</v>
      </c>
      <c r="M149" s="6" t="s">
        <v>39</v>
      </c>
      <c r="N149" s="6">
        <v>2</v>
      </c>
      <c r="O149" s="4" t="str">
        <f t="shared" si="2"/>
        <v>Average</v>
      </c>
      <c r="P149" s="6">
        <v>111</v>
      </c>
    </row>
    <row r="150" spans="1:16" x14ac:dyDescent="0.3">
      <c r="A150" s="6" t="s">
        <v>353</v>
      </c>
      <c r="B150" s="6">
        <v>41</v>
      </c>
      <c r="C150" s="6" t="s">
        <v>25</v>
      </c>
      <c r="D150" s="6" t="s">
        <v>47</v>
      </c>
      <c r="E150" s="6" t="s">
        <v>18</v>
      </c>
      <c r="F150" s="6">
        <v>1149</v>
      </c>
      <c r="G150" s="6">
        <v>88353.35</v>
      </c>
      <c r="H150" s="7">
        <v>44467</v>
      </c>
      <c r="I150" s="6" t="s">
        <v>70</v>
      </c>
      <c r="J150" s="6" t="s">
        <v>354</v>
      </c>
      <c r="K150" s="6" t="s">
        <v>43</v>
      </c>
      <c r="L150" s="6" t="s">
        <v>44</v>
      </c>
      <c r="M150" s="6" t="s">
        <v>45</v>
      </c>
      <c r="N150" s="6">
        <v>2.63</v>
      </c>
      <c r="O150" s="4" t="str">
        <f t="shared" si="2"/>
        <v>Average</v>
      </c>
      <c r="P150" s="6">
        <v>90</v>
      </c>
    </row>
    <row r="151" spans="1:16" x14ac:dyDescent="0.3">
      <c r="A151" s="6" t="s">
        <v>355</v>
      </c>
      <c r="B151" s="6">
        <v>53</v>
      </c>
      <c r="C151" s="6" t="s">
        <v>62</v>
      </c>
      <c r="D151" s="6" t="s">
        <v>26</v>
      </c>
      <c r="E151" s="6" t="s">
        <v>48</v>
      </c>
      <c r="F151" s="6">
        <v>1150</v>
      </c>
      <c r="G151" s="6">
        <v>106234.64</v>
      </c>
      <c r="H151" s="7">
        <v>37989</v>
      </c>
      <c r="I151" s="6" t="s">
        <v>73</v>
      </c>
      <c r="J151" s="6" t="s">
        <v>356</v>
      </c>
      <c r="K151" s="6" t="s">
        <v>51</v>
      </c>
      <c r="L151" s="6" t="s">
        <v>52</v>
      </c>
      <c r="M151" s="6" t="s">
        <v>53</v>
      </c>
      <c r="N151" s="6">
        <v>3.01</v>
      </c>
      <c r="O151" s="4" t="str">
        <f t="shared" si="2"/>
        <v>Good</v>
      </c>
      <c r="P151" s="6">
        <v>137</v>
      </c>
    </row>
    <row r="152" spans="1:16" x14ac:dyDescent="0.3">
      <c r="A152" s="6" t="s">
        <v>357</v>
      </c>
      <c r="B152" s="6">
        <v>30</v>
      </c>
      <c r="C152" s="6" t="s">
        <v>16</v>
      </c>
      <c r="D152" s="6" t="s">
        <v>55</v>
      </c>
      <c r="E152" s="6" t="s">
        <v>27</v>
      </c>
      <c r="F152" s="6">
        <v>1151</v>
      </c>
      <c r="G152" s="6">
        <v>188957.26</v>
      </c>
      <c r="H152" s="7">
        <v>38219</v>
      </c>
      <c r="I152" s="6" t="s">
        <v>19</v>
      </c>
      <c r="J152" s="6" t="s">
        <v>358</v>
      </c>
      <c r="K152" s="6" t="s">
        <v>21</v>
      </c>
      <c r="L152" s="6" t="s">
        <v>22</v>
      </c>
      <c r="M152" s="6" t="s">
        <v>23</v>
      </c>
      <c r="N152" s="6">
        <v>2.76</v>
      </c>
      <c r="O152" s="4" t="str">
        <f t="shared" si="2"/>
        <v>Average</v>
      </c>
      <c r="P152" s="6">
        <v>10</v>
      </c>
    </row>
    <row r="153" spans="1:16" x14ac:dyDescent="0.3">
      <c r="A153" s="6" t="s">
        <v>359</v>
      </c>
      <c r="B153" s="6">
        <v>48</v>
      </c>
      <c r="C153" s="6" t="s">
        <v>25</v>
      </c>
      <c r="D153" s="6" t="s">
        <v>47</v>
      </c>
      <c r="E153" s="6" t="s">
        <v>27</v>
      </c>
      <c r="F153" s="6">
        <v>1152</v>
      </c>
      <c r="G153" s="6">
        <v>82479.19</v>
      </c>
      <c r="H153" s="7">
        <v>39466</v>
      </c>
      <c r="I153" s="6" t="s">
        <v>28</v>
      </c>
      <c r="J153" s="6" t="s">
        <v>360</v>
      </c>
      <c r="K153" s="6" t="s">
        <v>30</v>
      </c>
      <c r="L153" s="6" t="s">
        <v>31</v>
      </c>
      <c r="M153" s="6" t="s">
        <v>32</v>
      </c>
      <c r="N153" s="6">
        <v>2.0499999999999998</v>
      </c>
      <c r="O153" s="4" t="str">
        <f t="shared" si="2"/>
        <v>Average</v>
      </c>
      <c r="P153" s="6">
        <v>27</v>
      </c>
    </row>
    <row r="154" spans="1:16" x14ac:dyDescent="0.3">
      <c r="A154" s="6" t="s">
        <v>361</v>
      </c>
      <c r="B154" s="6">
        <v>24</v>
      </c>
      <c r="C154" s="6" t="s">
        <v>62</v>
      </c>
      <c r="D154" s="6" t="s">
        <v>47</v>
      </c>
      <c r="E154" s="6" t="s">
        <v>18</v>
      </c>
      <c r="F154" s="6">
        <v>1153</v>
      </c>
      <c r="G154" s="6">
        <v>83730.61</v>
      </c>
      <c r="H154" s="7">
        <v>42895</v>
      </c>
      <c r="I154" s="6" t="s">
        <v>35</v>
      </c>
      <c r="J154" s="6" t="s">
        <v>362</v>
      </c>
      <c r="K154" s="6" t="s">
        <v>37</v>
      </c>
      <c r="L154" s="6" t="s">
        <v>38</v>
      </c>
      <c r="M154" s="6" t="s">
        <v>39</v>
      </c>
      <c r="N154" s="6">
        <v>1.04</v>
      </c>
      <c r="O154" s="4" t="str">
        <f t="shared" si="2"/>
        <v>Poor</v>
      </c>
      <c r="P154" s="6">
        <v>199</v>
      </c>
    </row>
    <row r="155" spans="1:16" x14ac:dyDescent="0.3">
      <c r="A155" s="6" t="s">
        <v>363</v>
      </c>
      <c r="B155" s="6">
        <v>25</v>
      </c>
      <c r="C155" s="6" t="s">
        <v>25</v>
      </c>
      <c r="D155" s="6" t="s">
        <v>69</v>
      </c>
      <c r="E155" s="6" t="s">
        <v>80</v>
      </c>
      <c r="F155" s="6">
        <v>1154</v>
      </c>
      <c r="G155" s="6">
        <v>112813.36</v>
      </c>
      <c r="H155" s="7">
        <v>42173</v>
      </c>
      <c r="I155" s="6" t="s">
        <v>41</v>
      </c>
      <c r="J155" s="6" t="s">
        <v>364</v>
      </c>
      <c r="K155" s="6" t="s">
        <v>43</v>
      </c>
      <c r="L155" s="6" t="s">
        <v>44</v>
      </c>
      <c r="M155" s="6" t="s">
        <v>45</v>
      </c>
      <c r="N155" s="6">
        <v>1.1599999999999999</v>
      </c>
      <c r="O155" s="4" t="str">
        <f t="shared" si="2"/>
        <v>Poor</v>
      </c>
      <c r="P155" s="6">
        <v>109</v>
      </c>
    </row>
    <row r="156" spans="1:16" x14ac:dyDescent="0.3">
      <c r="A156" s="6" t="s">
        <v>365</v>
      </c>
      <c r="B156" s="6">
        <v>36</v>
      </c>
      <c r="C156" s="6" t="s">
        <v>62</v>
      </c>
      <c r="D156" s="6" t="s">
        <v>69</v>
      </c>
      <c r="E156" s="6" t="s">
        <v>34</v>
      </c>
      <c r="F156" s="6">
        <v>1155</v>
      </c>
      <c r="G156" s="6">
        <v>106580.85</v>
      </c>
      <c r="H156" s="7">
        <v>38675</v>
      </c>
      <c r="I156" s="6" t="s">
        <v>49</v>
      </c>
      <c r="J156" s="6" t="s">
        <v>366</v>
      </c>
      <c r="K156" s="6" t="s">
        <v>51</v>
      </c>
      <c r="L156" s="6" t="s">
        <v>52</v>
      </c>
      <c r="M156" s="6" t="s">
        <v>53</v>
      </c>
      <c r="N156" s="6">
        <v>3.65</v>
      </c>
      <c r="O156" s="4" t="str">
        <f t="shared" si="2"/>
        <v>Good</v>
      </c>
      <c r="P156" s="6">
        <v>119</v>
      </c>
    </row>
    <row r="157" spans="1:16" x14ac:dyDescent="0.3">
      <c r="A157" s="6" t="s">
        <v>367</v>
      </c>
      <c r="B157" s="6">
        <v>54</v>
      </c>
      <c r="C157" s="6" t="s">
        <v>25</v>
      </c>
      <c r="D157" s="6" t="s">
        <v>26</v>
      </c>
      <c r="E157" s="6" t="s">
        <v>27</v>
      </c>
      <c r="F157" s="6">
        <v>1156</v>
      </c>
      <c r="G157" s="6">
        <v>116570.12</v>
      </c>
      <c r="H157" s="7">
        <v>39617</v>
      </c>
      <c r="I157" s="6" t="s">
        <v>56</v>
      </c>
      <c r="J157" s="6" t="s">
        <v>368</v>
      </c>
      <c r="K157" s="6" t="s">
        <v>21</v>
      </c>
      <c r="L157" s="6" t="s">
        <v>22</v>
      </c>
      <c r="M157" s="6" t="s">
        <v>23</v>
      </c>
      <c r="N157" s="6">
        <v>3.72</v>
      </c>
      <c r="O157" s="4" t="str">
        <f t="shared" si="2"/>
        <v>Good</v>
      </c>
      <c r="P157" s="6">
        <v>88</v>
      </c>
    </row>
    <row r="158" spans="1:16" x14ac:dyDescent="0.3">
      <c r="A158" s="6" t="s">
        <v>369</v>
      </c>
      <c r="B158" s="6">
        <v>26</v>
      </c>
      <c r="C158" s="6" t="s">
        <v>25</v>
      </c>
      <c r="D158" s="6" t="s">
        <v>17</v>
      </c>
      <c r="E158" s="6" t="s">
        <v>27</v>
      </c>
      <c r="F158" s="6">
        <v>1157</v>
      </c>
      <c r="G158" s="6">
        <v>140480.73000000001</v>
      </c>
      <c r="H158" s="7">
        <v>36593</v>
      </c>
      <c r="I158" s="6" t="s">
        <v>63</v>
      </c>
      <c r="J158" s="6" t="s">
        <v>370</v>
      </c>
      <c r="K158" s="6" t="s">
        <v>30</v>
      </c>
      <c r="L158" s="6" t="s">
        <v>31</v>
      </c>
      <c r="M158" s="6" t="s">
        <v>32</v>
      </c>
      <c r="N158" s="6">
        <v>3.12</v>
      </c>
      <c r="O158" s="4" t="str">
        <f t="shared" si="2"/>
        <v>Good</v>
      </c>
      <c r="P158" s="6">
        <v>171</v>
      </c>
    </row>
    <row r="159" spans="1:16" x14ac:dyDescent="0.3">
      <c r="A159" s="6" t="s">
        <v>371</v>
      </c>
      <c r="B159" s="6">
        <v>25</v>
      </c>
      <c r="C159" s="6" t="s">
        <v>25</v>
      </c>
      <c r="D159" s="6" t="s">
        <v>47</v>
      </c>
      <c r="E159" s="6" t="s">
        <v>34</v>
      </c>
      <c r="F159" s="6">
        <v>1158</v>
      </c>
      <c r="G159" s="6">
        <v>184040.76</v>
      </c>
      <c r="H159" s="7">
        <v>44063</v>
      </c>
      <c r="I159" s="6" t="s">
        <v>66</v>
      </c>
      <c r="J159" s="6" t="s">
        <v>372</v>
      </c>
      <c r="K159" s="6" t="s">
        <v>37</v>
      </c>
      <c r="L159" s="6" t="s">
        <v>38</v>
      </c>
      <c r="M159" s="6" t="s">
        <v>39</v>
      </c>
      <c r="N159" s="6">
        <v>1.63</v>
      </c>
      <c r="O159" s="4" t="str">
        <f t="shared" si="2"/>
        <v>Poor</v>
      </c>
      <c r="P159" s="6">
        <v>160</v>
      </c>
    </row>
    <row r="160" spans="1:16" x14ac:dyDescent="0.3">
      <c r="A160" s="6" t="s">
        <v>373</v>
      </c>
      <c r="B160" s="6">
        <v>33</v>
      </c>
      <c r="C160" s="6" t="s">
        <v>62</v>
      </c>
      <c r="D160" s="6" t="s">
        <v>55</v>
      </c>
      <c r="E160" s="6" t="s">
        <v>48</v>
      </c>
      <c r="F160" s="6">
        <v>1159</v>
      </c>
      <c r="G160" s="6">
        <v>190807.87</v>
      </c>
      <c r="H160" s="7">
        <v>43898</v>
      </c>
      <c r="I160" s="6" t="s">
        <v>70</v>
      </c>
      <c r="J160" s="6" t="s">
        <v>374</v>
      </c>
      <c r="K160" s="6" t="s">
        <v>43</v>
      </c>
      <c r="L160" s="6" t="s">
        <v>44</v>
      </c>
      <c r="M160" s="6" t="s">
        <v>45</v>
      </c>
      <c r="N160" s="6">
        <v>2.59</v>
      </c>
      <c r="O160" s="4" t="str">
        <f t="shared" si="2"/>
        <v>Average</v>
      </c>
      <c r="P160" s="6">
        <v>157</v>
      </c>
    </row>
    <row r="161" spans="1:16" x14ac:dyDescent="0.3">
      <c r="A161" s="6" t="s">
        <v>375</v>
      </c>
      <c r="B161" s="6">
        <v>44</v>
      </c>
      <c r="C161" s="6" t="s">
        <v>62</v>
      </c>
      <c r="D161" s="6" t="s">
        <v>47</v>
      </c>
      <c r="E161" s="6" t="s">
        <v>34</v>
      </c>
      <c r="F161" s="6">
        <v>1160</v>
      </c>
      <c r="G161" s="6">
        <v>191072.85</v>
      </c>
      <c r="H161" s="7">
        <v>43773</v>
      </c>
      <c r="I161" s="6" t="s">
        <v>73</v>
      </c>
      <c r="J161" s="6" t="s">
        <v>376</v>
      </c>
      <c r="K161" s="6" t="s">
        <v>51</v>
      </c>
      <c r="L161" s="6" t="s">
        <v>52</v>
      </c>
      <c r="M161" s="6" t="s">
        <v>53</v>
      </c>
      <c r="N161" s="6">
        <v>4.6500000000000004</v>
      </c>
      <c r="O161" s="4" t="str">
        <f t="shared" si="2"/>
        <v>Excellent</v>
      </c>
      <c r="P161" s="6">
        <v>69</v>
      </c>
    </row>
    <row r="162" spans="1:16" x14ac:dyDescent="0.3">
      <c r="A162" s="6" t="s">
        <v>377</v>
      </c>
      <c r="B162" s="6">
        <v>35</v>
      </c>
      <c r="C162" s="6" t="s">
        <v>16</v>
      </c>
      <c r="D162" s="6" t="s">
        <v>17</v>
      </c>
      <c r="E162" s="6" t="s">
        <v>18</v>
      </c>
      <c r="F162" s="6">
        <v>1161</v>
      </c>
      <c r="G162" s="6">
        <v>50831.66</v>
      </c>
      <c r="H162" s="7">
        <v>39796</v>
      </c>
      <c r="I162" s="6" t="s">
        <v>19</v>
      </c>
      <c r="J162" s="6" t="s">
        <v>378</v>
      </c>
      <c r="K162" s="6" t="s">
        <v>21</v>
      </c>
      <c r="L162" s="6" t="s">
        <v>22</v>
      </c>
      <c r="M162" s="6" t="s">
        <v>23</v>
      </c>
      <c r="N162" s="6">
        <v>3.04</v>
      </c>
      <c r="O162" s="4" t="str">
        <f t="shared" si="2"/>
        <v>Good</v>
      </c>
      <c r="P162" s="6">
        <v>96</v>
      </c>
    </row>
    <row r="163" spans="1:16" x14ac:dyDescent="0.3">
      <c r="A163" s="6" t="s">
        <v>379</v>
      </c>
      <c r="B163" s="6">
        <v>33</v>
      </c>
      <c r="C163" s="6" t="s">
        <v>16</v>
      </c>
      <c r="D163" s="6" t="s">
        <v>17</v>
      </c>
      <c r="E163" s="6" t="s">
        <v>27</v>
      </c>
      <c r="F163" s="6">
        <v>1162</v>
      </c>
      <c r="G163" s="6">
        <v>178449.14</v>
      </c>
      <c r="H163" s="7">
        <v>41340</v>
      </c>
      <c r="I163" s="6" t="s">
        <v>28</v>
      </c>
      <c r="J163" s="6" t="s">
        <v>380</v>
      </c>
      <c r="K163" s="6" t="s">
        <v>30</v>
      </c>
      <c r="L163" s="6" t="s">
        <v>31</v>
      </c>
      <c r="M163" s="6" t="s">
        <v>32</v>
      </c>
      <c r="N163" s="6">
        <v>3.19</v>
      </c>
      <c r="O163" s="4" t="str">
        <f t="shared" si="2"/>
        <v>Good</v>
      </c>
      <c r="P163" s="6">
        <v>78</v>
      </c>
    </row>
    <row r="164" spans="1:16" x14ac:dyDescent="0.3">
      <c r="A164" s="6" t="s">
        <v>381</v>
      </c>
      <c r="B164" s="6">
        <v>38</v>
      </c>
      <c r="C164" s="6" t="s">
        <v>62</v>
      </c>
      <c r="D164" s="6" t="s">
        <v>55</v>
      </c>
      <c r="E164" s="6" t="s">
        <v>27</v>
      </c>
      <c r="F164" s="6">
        <v>1163</v>
      </c>
      <c r="G164" s="6">
        <v>137283.79999999999</v>
      </c>
      <c r="H164" s="7">
        <v>42563</v>
      </c>
      <c r="I164" s="6" t="s">
        <v>35</v>
      </c>
      <c r="J164" s="6" t="s">
        <v>382</v>
      </c>
      <c r="K164" s="6" t="s">
        <v>37</v>
      </c>
      <c r="L164" s="6" t="s">
        <v>38</v>
      </c>
      <c r="M164" s="6" t="s">
        <v>39</v>
      </c>
      <c r="N164" s="6">
        <v>4.71</v>
      </c>
      <c r="O164" s="4" t="str">
        <f t="shared" si="2"/>
        <v>Excellent</v>
      </c>
      <c r="P164" s="6">
        <v>153</v>
      </c>
    </row>
    <row r="165" spans="1:16" x14ac:dyDescent="0.3">
      <c r="A165" s="6" t="s">
        <v>383</v>
      </c>
      <c r="B165" s="6">
        <v>46</v>
      </c>
      <c r="C165" s="6" t="s">
        <v>16</v>
      </c>
      <c r="D165" s="6" t="s">
        <v>26</v>
      </c>
      <c r="E165" s="6" t="s">
        <v>80</v>
      </c>
      <c r="F165" s="6">
        <v>1164</v>
      </c>
      <c r="G165" s="6">
        <v>110179.37</v>
      </c>
      <c r="H165" s="7">
        <v>40817</v>
      </c>
      <c r="I165" s="6" t="s">
        <v>41</v>
      </c>
      <c r="J165" s="6" t="s">
        <v>384</v>
      </c>
      <c r="K165" s="6" t="s">
        <v>43</v>
      </c>
      <c r="L165" s="6" t="s">
        <v>44</v>
      </c>
      <c r="M165" s="6" t="s">
        <v>45</v>
      </c>
      <c r="N165" s="6">
        <v>4.88</v>
      </c>
      <c r="O165" s="4" t="str">
        <f t="shared" si="2"/>
        <v>Excellent</v>
      </c>
      <c r="P165" s="6">
        <v>191</v>
      </c>
    </row>
    <row r="166" spans="1:16" x14ac:dyDescent="0.3">
      <c r="A166" s="6" t="s">
        <v>385</v>
      </c>
      <c r="B166" s="6">
        <v>51</v>
      </c>
      <c r="C166" s="6" t="s">
        <v>62</v>
      </c>
      <c r="D166" s="6" t="s">
        <v>47</v>
      </c>
      <c r="E166" s="6" t="s">
        <v>48</v>
      </c>
      <c r="F166" s="6">
        <v>1165</v>
      </c>
      <c r="G166" s="6">
        <v>146244.54999999999</v>
      </c>
      <c r="H166" s="7">
        <v>39521</v>
      </c>
      <c r="I166" s="6" t="s">
        <v>49</v>
      </c>
      <c r="J166" s="6" t="s">
        <v>386</v>
      </c>
      <c r="K166" s="6" t="s">
        <v>51</v>
      </c>
      <c r="L166" s="6" t="s">
        <v>52</v>
      </c>
      <c r="M166" s="6" t="s">
        <v>53</v>
      </c>
      <c r="N166" s="6">
        <v>3.74</v>
      </c>
      <c r="O166" s="4" t="str">
        <f t="shared" si="2"/>
        <v>Good</v>
      </c>
      <c r="P166" s="6">
        <v>61</v>
      </c>
    </row>
    <row r="167" spans="1:16" x14ac:dyDescent="0.3">
      <c r="A167" s="6" t="s">
        <v>387</v>
      </c>
      <c r="B167" s="6">
        <v>43</v>
      </c>
      <c r="C167" s="6" t="s">
        <v>62</v>
      </c>
      <c r="D167" s="6" t="s">
        <v>47</v>
      </c>
      <c r="E167" s="6" t="s">
        <v>18</v>
      </c>
      <c r="F167" s="6">
        <v>1166</v>
      </c>
      <c r="G167" s="6">
        <v>135417.26</v>
      </c>
      <c r="H167" s="7">
        <v>42701</v>
      </c>
      <c r="I167" s="6" t="s">
        <v>56</v>
      </c>
      <c r="J167" s="6" t="s">
        <v>388</v>
      </c>
      <c r="K167" s="6" t="s">
        <v>21</v>
      </c>
      <c r="L167" s="6" t="s">
        <v>22</v>
      </c>
      <c r="M167" s="6" t="s">
        <v>23</v>
      </c>
      <c r="N167" s="6">
        <v>2.85</v>
      </c>
      <c r="O167" s="4" t="str">
        <f t="shared" si="2"/>
        <v>Average</v>
      </c>
      <c r="P167" s="6">
        <v>97</v>
      </c>
    </row>
    <row r="168" spans="1:16" x14ac:dyDescent="0.3">
      <c r="A168" s="6" t="s">
        <v>389</v>
      </c>
      <c r="B168" s="6">
        <v>47</v>
      </c>
      <c r="C168" s="6" t="s">
        <v>62</v>
      </c>
      <c r="D168" s="6" t="s">
        <v>69</v>
      </c>
      <c r="E168" s="6" t="s">
        <v>34</v>
      </c>
      <c r="F168" s="6">
        <v>1167</v>
      </c>
      <c r="G168" s="6">
        <v>80727.91</v>
      </c>
      <c r="H168" s="7">
        <v>41249</v>
      </c>
      <c r="I168" s="6" t="s">
        <v>63</v>
      </c>
      <c r="J168" s="6" t="s">
        <v>390</v>
      </c>
      <c r="K168" s="6" t="s">
        <v>30</v>
      </c>
      <c r="L168" s="6" t="s">
        <v>31</v>
      </c>
      <c r="M168" s="6" t="s">
        <v>32</v>
      </c>
      <c r="N168" s="6">
        <v>2.15</v>
      </c>
      <c r="O168" s="4" t="str">
        <f t="shared" si="2"/>
        <v>Average</v>
      </c>
      <c r="P168" s="6">
        <v>197</v>
      </c>
    </row>
    <row r="169" spans="1:16" x14ac:dyDescent="0.3">
      <c r="A169" s="6" t="s">
        <v>391</v>
      </c>
      <c r="B169" s="6">
        <v>38</v>
      </c>
      <c r="C169" s="6" t="s">
        <v>16</v>
      </c>
      <c r="D169" s="6" t="s">
        <v>26</v>
      </c>
      <c r="E169" s="6" t="s">
        <v>48</v>
      </c>
      <c r="F169" s="6">
        <v>1168</v>
      </c>
      <c r="G169" s="6">
        <v>62707.45</v>
      </c>
      <c r="H169" s="7">
        <v>39973</v>
      </c>
      <c r="I169" s="6" t="s">
        <v>66</v>
      </c>
      <c r="J169" s="6" t="s">
        <v>392</v>
      </c>
      <c r="K169" s="6" t="s">
        <v>37</v>
      </c>
      <c r="L169" s="6" t="s">
        <v>38</v>
      </c>
      <c r="M169" s="6" t="s">
        <v>39</v>
      </c>
      <c r="N169" s="6">
        <v>2.4500000000000002</v>
      </c>
      <c r="O169" s="4" t="str">
        <f t="shared" si="2"/>
        <v>Average</v>
      </c>
      <c r="P169" s="6">
        <v>155</v>
      </c>
    </row>
    <row r="170" spans="1:16" x14ac:dyDescent="0.3">
      <c r="A170" s="6" t="s">
        <v>393</v>
      </c>
      <c r="B170" s="6">
        <v>41</v>
      </c>
      <c r="C170" s="6" t="s">
        <v>25</v>
      </c>
      <c r="D170" s="6" t="s">
        <v>55</v>
      </c>
      <c r="E170" s="6" t="s">
        <v>48</v>
      </c>
      <c r="F170" s="6">
        <v>1169</v>
      </c>
      <c r="G170" s="6">
        <v>78835.399999999994</v>
      </c>
      <c r="H170" s="7">
        <v>40270</v>
      </c>
      <c r="I170" s="6" t="s">
        <v>70</v>
      </c>
      <c r="J170" s="6" t="s">
        <v>394</v>
      </c>
      <c r="K170" s="6" t="s">
        <v>43</v>
      </c>
      <c r="L170" s="6" t="s">
        <v>44</v>
      </c>
      <c r="M170" s="6" t="s">
        <v>45</v>
      </c>
      <c r="N170" s="6">
        <v>2.5099999999999998</v>
      </c>
      <c r="O170" s="4" t="str">
        <f t="shared" si="2"/>
        <v>Average</v>
      </c>
      <c r="P170" s="6">
        <v>101</v>
      </c>
    </row>
    <row r="171" spans="1:16" x14ac:dyDescent="0.3">
      <c r="A171" s="6" t="s">
        <v>395</v>
      </c>
      <c r="B171" s="6">
        <v>55</v>
      </c>
      <c r="C171" s="6" t="s">
        <v>16</v>
      </c>
      <c r="D171" s="6" t="s">
        <v>47</v>
      </c>
      <c r="E171" s="6" t="s">
        <v>18</v>
      </c>
      <c r="F171" s="6">
        <v>1170</v>
      </c>
      <c r="G171" s="6">
        <v>84119.27</v>
      </c>
      <c r="H171" s="7">
        <v>44643</v>
      </c>
      <c r="I171" s="6" t="s">
        <v>73</v>
      </c>
      <c r="J171" s="6" t="s">
        <v>396</v>
      </c>
      <c r="K171" s="6" t="s">
        <v>51</v>
      </c>
      <c r="L171" s="6" t="s">
        <v>52</v>
      </c>
      <c r="M171" s="6" t="s">
        <v>53</v>
      </c>
      <c r="N171" s="6">
        <v>2.42</v>
      </c>
      <c r="O171" s="4" t="str">
        <f t="shared" si="2"/>
        <v>Average</v>
      </c>
      <c r="P171" s="6">
        <v>54</v>
      </c>
    </row>
    <row r="172" spans="1:16" x14ac:dyDescent="0.3">
      <c r="A172" s="6" t="s">
        <v>397</v>
      </c>
      <c r="B172" s="6">
        <v>62</v>
      </c>
      <c r="C172" s="6" t="s">
        <v>25</v>
      </c>
      <c r="D172" s="6" t="s">
        <v>17</v>
      </c>
      <c r="E172" s="6" t="s">
        <v>80</v>
      </c>
      <c r="F172" s="6">
        <v>1171</v>
      </c>
      <c r="G172" s="6">
        <v>138503.97</v>
      </c>
      <c r="H172" s="7">
        <v>42503</v>
      </c>
      <c r="I172" s="6" t="s">
        <v>19</v>
      </c>
      <c r="J172" s="6" t="s">
        <v>398</v>
      </c>
      <c r="K172" s="6" t="s">
        <v>21</v>
      </c>
      <c r="L172" s="6" t="s">
        <v>22</v>
      </c>
      <c r="M172" s="6" t="s">
        <v>23</v>
      </c>
      <c r="N172" s="6">
        <v>3.47</v>
      </c>
      <c r="O172" s="4" t="str">
        <f t="shared" si="2"/>
        <v>Good</v>
      </c>
      <c r="P172" s="6">
        <v>148</v>
      </c>
    </row>
    <row r="173" spans="1:16" x14ac:dyDescent="0.3">
      <c r="A173" s="6" t="s">
        <v>399</v>
      </c>
      <c r="B173" s="6">
        <v>54</v>
      </c>
      <c r="C173" s="6" t="s">
        <v>16</v>
      </c>
      <c r="D173" s="6" t="s">
        <v>26</v>
      </c>
      <c r="E173" s="6" t="s">
        <v>18</v>
      </c>
      <c r="F173" s="6">
        <v>1172</v>
      </c>
      <c r="G173" s="6">
        <v>92393.52</v>
      </c>
      <c r="H173" s="7">
        <v>43552</v>
      </c>
      <c r="I173" s="6" t="s">
        <v>28</v>
      </c>
      <c r="J173" s="6" t="s">
        <v>400</v>
      </c>
      <c r="K173" s="6" t="s">
        <v>30</v>
      </c>
      <c r="L173" s="6" t="s">
        <v>31</v>
      </c>
      <c r="M173" s="6" t="s">
        <v>32</v>
      </c>
      <c r="N173" s="6">
        <v>2</v>
      </c>
      <c r="O173" s="4" t="str">
        <f t="shared" si="2"/>
        <v>Average</v>
      </c>
      <c r="P173" s="6">
        <v>67</v>
      </c>
    </row>
    <row r="174" spans="1:16" x14ac:dyDescent="0.3">
      <c r="A174" s="6" t="s">
        <v>401</v>
      </c>
      <c r="B174" s="6">
        <v>58</v>
      </c>
      <c r="C174" s="6" t="s">
        <v>25</v>
      </c>
      <c r="D174" s="6" t="s">
        <v>17</v>
      </c>
      <c r="E174" s="6" t="s">
        <v>18</v>
      </c>
      <c r="F174" s="6">
        <v>1173</v>
      </c>
      <c r="G174" s="6">
        <v>128933.96</v>
      </c>
      <c r="H174" s="7">
        <v>41511</v>
      </c>
      <c r="I174" s="6" t="s">
        <v>35</v>
      </c>
      <c r="J174" s="6" t="s">
        <v>402</v>
      </c>
      <c r="K174" s="6" t="s">
        <v>37</v>
      </c>
      <c r="L174" s="6" t="s">
        <v>38</v>
      </c>
      <c r="M174" s="6" t="s">
        <v>39</v>
      </c>
      <c r="N174" s="6">
        <v>2.0499999999999998</v>
      </c>
      <c r="O174" s="4" t="str">
        <f t="shared" si="2"/>
        <v>Average</v>
      </c>
      <c r="P174" s="6">
        <v>86</v>
      </c>
    </row>
    <row r="175" spans="1:16" x14ac:dyDescent="0.3">
      <c r="A175" s="6" t="s">
        <v>403</v>
      </c>
      <c r="B175" s="6">
        <v>28</v>
      </c>
      <c r="C175" s="6" t="s">
        <v>25</v>
      </c>
      <c r="D175" s="6" t="s">
        <v>17</v>
      </c>
      <c r="E175" s="6" t="s">
        <v>80</v>
      </c>
      <c r="F175" s="6">
        <v>1174</v>
      </c>
      <c r="G175" s="6">
        <v>117712.36</v>
      </c>
      <c r="H175" s="7">
        <v>38454</v>
      </c>
      <c r="I175" s="6" t="s">
        <v>41</v>
      </c>
      <c r="J175" s="6" t="s">
        <v>404</v>
      </c>
      <c r="K175" s="6" t="s">
        <v>43</v>
      </c>
      <c r="L175" s="6" t="s">
        <v>44</v>
      </c>
      <c r="M175" s="6" t="s">
        <v>45</v>
      </c>
      <c r="N175" s="6">
        <v>2.56</v>
      </c>
      <c r="O175" s="4" t="str">
        <f t="shared" si="2"/>
        <v>Average</v>
      </c>
      <c r="P175" s="6">
        <v>198</v>
      </c>
    </row>
    <row r="176" spans="1:16" x14ac:dyDescent="0.3">
      <c r="A176" s="6" t="s">
        <v>405</v>
      </c>
      <c r="B176" s="6">
        <v>43</v>
      </c>
      <c r="C176" s="6" t="s">
        <v>62</v>
      </c>
      <c r="D176" s="6" t="s">
        <v>47</v>
      </c>
      <c r="E176" s="6" t="s">
        <v>48</v>
      </c>
      <c r="F176" s="6">
        <v>1175</v>
      </c>
      <c r="G176" s="6">
        <v>130926.87</v>
      </c>
      <c r="H176" s="7">
        <v>43861</v>
      </c>
      <c r="I176" s="6" t="s">
        <v>49</v>
      </c>
      <c r="J176" s="6" t="s">
        <v>406</v>
      </c>
      <c r="K176" s="6" t="s">
        <v>51</v>
      </c>
      <c r="L176" s="6" t="s">
        <v>52</v>
      </c>
      <c r="M176" s="6" t="s">
        <v>53</v>
      </c>
      <c r="N176" s="6">
        <v>2.06</v>
      </c>
      <c r="O176" s="4" t="str">
        <f t="shared" si="2"/>
        <v>Average</v>
      </c>
      <c r="P176" s="6">
        <v>159</v>
      </c>
    </row>
    <row r="177" spans="1:16" x14ac:dyDescent="0.3">
      <c r="A177" s="6" t="s">
        <v>407</v>
      </c>
      <c r="B177" s="6">
        <v>53</v>
      </c>
      <c r="C177" s="6" t="s">
        <v>16</v>
      </c>
      <c r="D177" s="6" t="s">
        <v>55</v>
      </c>
      <c r="E177" s="6" t="s">
        <v>48</v>
      </c>
      <c r="F177" s="6">
        <v>1176</v>
      </c>
      <c r="G177" s="6">
        <v>77898.44</v>
      </c>
      <c r="H177" s="7">
        <v>41728</v>
      </c>
      <c r="I177" s="6" t="s">
        <v>56</v>
      </c>
      <c r="J177" s="6" t="s">
        <v>408</v>
      </c>
      <c r="K177" s="6" t="s">
        <v>21</v>
      </c>
      <c r="L177" s="6" t="s">
        <v>22</v>
      </c>
      <c r="M177" s="6" t="s">
        <v>23</v>
      </c>
      <c r="N177" s="6">
        <v>4.59</v>
      </c>
      <c r="O177" s="4" t="str">
        <f t="shared" si="2"/>
        <v>Excellent</v>
      </c>
      <c r="P177" s="6">
        <v>133</v>
      </c>
    </row>
    <row r="178" spans="1:16" x14ac:dyDescent="0.3">
      <c r="A178" s="6" t="s">
        <v>409</v>
      </c>
      <c r="B178" s="6">
        <v>35</v>
      </c>
      <c r="C178" s="6" t="s">
        <v>25</v>
      </c>
      <c r="D178" s="6" t="s">
        <v>55</v>
      </c>
      <c r="E178" s="6" t="s">
        <v>34</v>
      </c>
      <c r="F178" s="6">
        <v>1177</v>
      </c>
      <c r="G178" s="6">
        <v>178306.49</v>
      </c>
      <c r="H178" s="7">
        <v>37048</v>
      </c>
      <c r="I178" s="6" t="s">
        <v>63</v>
      </c>
      <c r="J178" s="6" t="s">
        <v>410</v>
      </c>
      <c r="K178" s="6" t="s">
        <v>30</v>
      </c>
      <c r="L178" s="6" t="s">
        <v>31</v>
      </c>
      <c r="M178" s="6" t="s">
        <v>32</v>
      </c>
      <c r="N178" s="6">
        <v>1.1200000000000001</v>
      </c>
      <c r="O178" s="4" t="str">
        <f t="shared" si="2"/>
        <v>Poor</v>
      </c>
      <c r="P178" s="6">
        <v>27</v>
      </c>
    </row>
    <row r="179" spans="1:16" x14ac:dyDescent="0.3">
      <c r="A179" s="6" t="s">
        <v>411</v>
      </c>
      <c r="B179" s="6">
        <v>29</v>
      </c>
      <c r="C179" s="6" t="s">
        <v>16</v>
      </c>
      <c r="D179" s="6" t="s">
        <v>55</v>
      </c>
      <c r="E179" s="6" t="s">
        <v>80</v>
      </c>
      <c r="F179" s="6">
        <v>1178</v>
      </c>
      <c r="G179" s="6">
        <v>160380.57999999999</v>
      </c>
      <c r="H179" s="7">
        <v>39483</v>
      </c>
      <c r="I179" s="6" t="s">
        <v>66</v>
      </c>
      <c r="J179" s="6" t="s">
        <v>412</v>
      </c>
      <c r="K179" s="6" t="s">
        <v>37</v>
      </c>
      <c r="L179" s="6" t="s">
        <v>38</v>
      </c>
      <c r="M179" s="6" t="s">
        <v>39</v>
      </c>
      <c r="N179" s="6">
        <v>3.61</v>
      </c>
      <c r="O179" s="4" t="str">
        <f t="shared" si="2"/>
        <v>Good</v>
      </c>
      <c r="P179" s="6">
        <v>144</v>
      </c>
    </row>
    <row r="180" spans="1:16" x14ac:dyDescent="0.3">
      <c r="A180" s="6" t="s">
        <v>413</v>
      </c>
      <c r="B180" s="6">
        <v>46</v>
      </c>
      <c r="C180" s="6" t="s">
        <v>62</v>
      </c>
      <c r="D180" s="6" t="s">
        <v>47</v>
      </c>
      <c r="E180" s="6" t="s">
        <v>48</v>
      </c>
      <c r="F180" s="6">
        <v>1179</v>
      </c>
      <c r="G180" s="6">
        <v>61575.01</v>
      </c>
      <c r="H180" s="7">
        <v>43226</v>
      </c>
      <c r="I180" s="6" t="s">
        <v>70</v>
      </c>
      <c r="J180" s="6" t="s">
        <v>414</v>
      </c>
      <c r="K180" s="6" t="s">
        <v>43</v>
      </c>
      <c r="L180" s="6" t="s">
        <v>44</v>
      </c>
      <c r="M180" s="6" t="s">
        <v>45</v>
      </c>
      <c r="N180" s="6">
        <v>4.28</v>
      </c>
      <c r="O180" s="4" t="str">
        <f t="shared" si="2"/>
        <v>Excellent</v>
      </c>
      <c r="P180" s="6">
        <v>12</v>
      </c>
    </row>
    <row r="181" spans="1:16" x14ac:dyDescent="0.3">
      <c r="A181" s="6" t="s">
        <v>415</v>
      </c>
      <c r="B181" s="6">
        <v>37</v>
      </c>
      <c r="C181" s="6" t="s">
        <v>62</v>
      </c>
      <c r="D181" s="6" t="s">
        <v>69</v>
      </c>
      <c r="E181" s="6" t="s">
        <v>48</v>
      </c>
      <c r="F181" s="6">
        <v>1180</v>
      </c>
      <c r="G181" s="6">
        <v>183559.83</v>
      </c>
      <c r="H181" s="7">
        <v>36878</v>
      </c>
      <c r="I181" s="6" t="s">
        <v>73</v>
      </c>
      <c r="J181" s="6" t="s">
        <v>416</v>
      </c>
      <c r="K181" s="6" t="s">
        <v>51</v>
      </c>
      <c r="L181" s="6" t="s">
        <v>52</v>
      </c>
      <c r="M181" s="6" t="s">
        <v>53</v>
      </c>
      <c r="N181" s="6">
        <v>2.61</v>
      </c>
      <c r="O181" s="4" t="str">
        <f t="shared" si="2"/>
        <v>Average</v>
      </c>
      <c r="P181" s="6">
        <v>167</v>
      </c>
    </row>
    <row r="182" spans="1:16" x14ac:dyDescent="0.3">
      <c r="A182" s="6" t="s">
        <v>417</v>
      </c>
      <c r="B182" s="6">
        <v>63</v>
      </c>
      <c r="C182" s="6" t="s">
        <v>25</v>
      </c>
      <c r="D182" s="6" t="s">
        <v>55</v>
      </c>
      <c r="E182" s="6" t="s">
        <v>80</v>
      </c>
      <c r="F182" s="6">
        <v>1181</v>
      </c>
      <c r="G182" s="6">
        <v>101829.91</v>
      </c>
      <c r="H182" s="7">
        <v>41229</v>
      </c>
      <c r="I182" s="6" t="s">
        <v>19</v>
      </c>
      <c r="J182" s="6" t="s">
        <v>418</v>
      </c>
      <c r="K182" s="6" t="s">
        <v>21</v>
      </c>
      <c r="L182" s="6" t="s">
        <v>22</v>
      </c>
      <c r="M182" s="6" t="s">
        <v>23</v>
      </c>
      <c r="N182" s="6">
        <v>1.68</v>
      </c>
      <c r="O182" s="4" t="str">
        <f t="shared" si="2"/>
        <v>Poor</v>
      </c>
      <c r="P182" s="6">
        <v>182</v>
      </c>
    </row>
    <row r="183" spans="1:16" x14ac:dyDescent="0.3">
      <c r="A183" s="6" t="s">
        <v>419</v>
      </c>
      <c r="B183" s="6">
        <v>40</v>
      </c>
      <c r="C183" s="6" t="s">
        <v>62</v>
      </c>
      <c r="D183" s="6" t="s">
        <v>17</v>
      </c>
      <c r="E183" s="6" t="s">
        <v>27</v>
      </c>
      <c r="F183" s="6">
        <v>1182</v>
      </c>
      <c r="G183" s="6">
        <v>195532.2</v>
      </c>
      <c r="H183" s="7">
        <v>43350</v>
      </c>
      <c r="I183" s="6" t="s">
        <v>28</v>
      </c>
      <c r="J183" s="6" t="s">
        <v>420</v>
      </c>
      <c r="K183" s="6" t="s">
        <v>30</v>
      </c>
      <c r="L183" s="6" t="s">
        <v>31</v>
      </c>
      <c r="M183" s="6" t="s">
        <v>32</v>
      </c>
      <c r="N183" s="6">
        <v>1.85</v>
      </c>
      <c r="O183" s="4" t="str">
        <f t="shared" si="2"/>
        <v>Poor</v>
      </c>
      <c r="P183" s="6">
        <v>107</v>
      </c>
    </row>
    <row r="184" spans="1:16" x14ac:dyDescent="0.3">
      <c r="A184" s="6" t="s">
        <v>421</v>
      </c>
      <c r="B184" s="6">
        <v>62</v>
      </c>
      <c r="C184" s="6" t="s">
        <v>16</v>
      </c>
      <c r="D184" s="6" t="s">
        <v>17</v>
      </c>
      <c r="E184" s="6" t="s">
        <v>48</v>
      </c>
      <c r="F184" s="6">
        <v>1183</v>
      </c>
      <c r="G184" s="6">
        <v>164843.44</v>
      </c>
      <c r="H184" s="7">
        <v>42091</v>
      </c>
      <c r="I184" s="6" t="s">
        <v>35</v>
      </c>
      <c r="J184" s="6" t="s">
        <v>422</v>
      </c>
      <c r="K184" s="6" t="s">
        <v>37</v>
      </c>
      <c r="L184" s="6" t="s">
        <v>38</v>
      </c>
      <c r="M184" s="6" t="s">
        <v>39</v>
      </c>
      <c r="N184" s="6">
        <v>4.09</v>
      </c>
      <c r="O184" s="4" t="str">
        <f t="shared" si="2"/>
        <v>Excellent</v>
      </c>
      <c r="P184" s="6">
        <v>123</v>
      </c>
    </row>
    <row r="185" spans="1:16" x14ac:dyDescent="0.3">
      <c r="A185" s="6" t="s">
        <v>423</v>
      </c>
      <c r="B185" s="6">
        <v>37</v>
      </c>
      <c r="C185" s="6" t="s">
        <v>62</v>
      </c>
      <c r="D185" s="6" t="s">
        <v>69</v>
      </c>
      <c r="E185" s="6" t="s">
        <v>80</v>
      </c>
      <c r="F185" s="6">
        <v>1184</v>
      </c>
      <c r="G185" s="6">
        <v>132118.04</v>
      </c>
      <c r="H185" s="7">
        <v>41638</v>
      </c>
      <c r="I185" s="6" t="s">
        <v>41</v>
      </c>
      <c r="J185" s="6" t="s">
        <v>424</v>
      </c>
      <c r="K185" s="6" t="s">
        <v>43</v>
      </c>
      <c r="L185" s="6" t="s">
        <v>44</v>
      </c>
      <c r="M185" s="6" t="s">
        <v>45</v>
      </c>
      <c r="N185" s="6">
        <v>2.46</v>
      </c>
      <c r="O185" s="4" t="str">
        <f t="shared" si="2"/>
        <v>Average</v>
      </c>
      <c r="P185" s="6">
        <v>74</v>
      </c>
    </row>
    <row r="186" spans="1:16" x14ac:dyDescent="0.3">
      <c r="A186" s="6" t="s">
        <v>425</v>
      </c>
      <c r="B186" s="6">
        <v>33</v>
      </c>
      <c r="C186" s="6" t="s">
        <v>62</v>
      </c>
      <c r="D186" s="6" t="s">
        <v>26</v>
      </c>
      <c r="E186" s="6" t="s">
        <v>27</v>
      </c>
      <c r="F186" s="6">
        <v>1185</v>
      </c>
      <c r="G186" s="6">
        <v>173839.41</v>
      </c>
      <c r="H186" s="7">
        <v>36764</v>
      </c>
      <c r="I186" s="6" t="s">
        <v>49</v>
      </c>
      <c r="J186" s="6" t="s">
        <v>426</v>
      </c>
      <c r="K186" s="6" t="s">
        <v>51</v>
      </c>
      <c r="L186" s="6" t="s">
        <v>52</v>
      </c>
      <c r="M186" s="6" t="s">
        <v>53</v>
      </c>
      <c r="N186" s="6">
        <v>3.89</v>
      </c>
      <c r="O186" s="4" t="str">
        <f t="shared" si="2"/>
        <v>Good</v>
      </c>
      <c r="P186" s="6">
        <v>25</v>
      </c>
    </row>
    <row r="187" spans="1:16" x14ac:dyDescent="0.3">
      <c r="A187" s="6" t="s">
        <v>427</v>
      </c>
      <c r="B187" s="6">
        <v>60</v>
      </c>
      <c r="C187" s="6" t="s">
        <v>62</v>
      </c>
      <c r="D187" s="6" t="s">
        <v>47</v>
      </c>
      <c r="E187" s="6" t="s">
        <v>27</v>
      </c>
      <c r="F187" s="6">
        <v>1186</v>
      </c>
      <c r="G187" s="6">
        <v>185049.93</v>
      </c>
      <c r="H187" s="7">
        <v>40329</v>
      </c>
      <c r="I187" s="6" t="s">
        <v>56</v>
      </c>
      <c r="J187" s="6" t="s">
        <v>428</v>
      </c>
      <c r="K187" s="6" t="s">
        <v>21</v>
      </c>
      <c r="L187" s="6" t="s">
        <v>22</v>
      </c>
      <c r="M187" s="6" t="s">
        <v>23</v>
      </c>
      <c r="N187" s="6">
        <v>4.75</v>
      </c>
      <c r="O187" s="4" t="str">
        <f t="shared" si="2"/>
        <v>Excellent</v>
      </c>
      <c r="P187" s="6">
        <v>90</v>
      </c>
    </row>
    <row r="188" spans="1:16" x14ac:dyDescent="0.3">
      <c r="A188" s="6" t="s">
        <v>429</v>
      </c>
      <c r="B188" s="6">
        <v>51</v>
      </c>
      <c r="C188" s="6" t="s">
        <v>62</v>
      </c>
      <c r="D188" s="6" t="s">
        <v>47</v>
      </c>
      <c r="E188" s="6" t="s">
        <v>48</v>
      </c>
      <c r="F188" s="6">
        <v>1187</v>
      </c>
      <c r="G188" s="6">
        <v>82501.289999999994</v>
      </c>
      <c r="H188" s="7">
        <v>40067</v>
      </c>
      <c r="I188" s="6" t="s">
        <v>63</v>
      </c>
      <c r="J188" s="6" t="s">
        <v>430</v>
      </c>
      <c r="K188" s="6" t="s">
        <v>30</v>
      </c>
      <c r="L188" s="6" t="s">
        <v>31</v>
      </c>
      <c r="M188" s="6" t="s">
        <v>32</v>
      </c>
      <c r="N188" s="6">
        <v>3.1</v>
      </c>
      <c r="O188" s="4" t="str">
        <f t="shared" si="2"/>
        <v>Good</v>
      </c>
      <c r="P188" s="6">
        <v>55</v>
      </c>
    </row>
    <row r="189" spans="1:16" x14ac:dyDescent="0.3">
      <c r="A189" s="6" t="s">
        <v>431</v>
      </c>
      <c r="B189" s="6">
        <v>23</v>
      </c>
      <c r="C189" s="6" t="s">
        <v>16</v>
      </c>
      <c r="D189" s="6" t="s">
        <v>17</v>
      </c>
      <c r="E189" s="6" t="s">
        <v>34</v>
      </c>
      <c r="F189" s="6">
        <v>1188</v>
      </c>
      <c r="G189" s="6">
        <v>127951.58</v>
      </c>
      <c r="H189" s="7">
        <v>38490</v>
      </c>
      <c r="I189" s="6" t="s">
        <v>66</v>
      </c>
      <c r="J189" s="6" t="s">
        <v>432</v>
      </c>
      <c r="K189" s="6" t="s">
        <v>37</v>
      </c>
      <c r="L189" s="6" t="s">
        <v>38</v>
      </c>
      <c r="M189" s="6" t="s">
        <v>39</v>
      </c>
      <c r="N189" s="6">
        <v>1.01</v>
      </c>
      <c r="O189" s="4" t="str">
        <f t="shared" si="2"/>
        <v>Poor</v>
      </c>
      <c r="P189" s="6">
        <v>196</v>
      </c>
    </row>
    <row r="190" spans="1:16" x14ac:dyDescent="0.3">
      <c r="A190" s="6" t="s">
        <v>433</v>
      </c>
      <c r="B190" s="6">
        <v>53</v>
      </c>
      <c r="C190" s="6" t="s">
        <v>16</v>
      </c>
      <c r="D190" s="6" t="s">
        <v>55</v>
      </c>
      <c r="E190" s="6" t="s">
        <v>18</v>
      </c>
      <c r="F190" s="6">
        <v>1189</v>
      </c>
      <c r="G190" s="6">
        <v>123811.86</v>
      </c>
      <c r="H190" s="7">
        <v>41225</v>
      </c>
      <c r="I190" s="6" t="s">
        <v>70</v>
      </c>
      <c r="J190" s="6" t="s">
        <v>434</v>
      </c>
      <c r="K190" s="6" t="s">
        <v>43</v>
      </c>
      <c r="L190" s="6" t="s">
        <v>44</v>
      </c>
      <c r="M190" s="6" t="s">
        <v>45</v>
      </c>
      <c r="N190" s="6">
        <v>2.3199999999999998</v>
      </c>
      <c r="O190" s="4" t="str">
        <f t="shared" si="2"/>
        <v>Average</v>
      </c>
      <c r="P190" s="6">
        <v>183</v>
      </c>
    </row>
    <row r="191" spans="1:16" x14ac:dyDescent="0.3">
      <c r="A191" s="6" t="s">
        <v>435</v>
      </c>
      <c r="B191" s="6">
        <v>46</v>
      </c>
      <c r="C191" s="6" t="s">
        <v>25</v>
      </c>
      <c r="D191" s="6" t="s">
        <v>55</v>
      </c>
      <c r="E191" s="6" t="s">
        <v>34</v>
      </c>
      <c r="F191" s="6">
        <v>1190</v>
      </c>
      <c r="G191" s="6">
        <v>169519.69</v>
      </c>
      <c r="H191" s="7">
        <v>42638</v>
      </c>
      <c r="I191" s="6" t="s">
        <v>73</v>
      </c>
      <c r="J191" s="6" t="s">
        <v>436</v>
      </c>
      <c r="K191" s="6" t="s">
        <v>51</v>
      </c>
      <c r="L191" s="6" t="s">
        <v>52</v>
      </c>
      <c r="M191" s="6" t="s">
        <v>53</v>
      </c>
      <c r="N191" s="6">
        <v>3.58</v>
      </c>
      <c r="O191" s="4" t="str">
        <f t="shared" si="2"/>
        <v>Good</v>
      </c>
      <c r="P191" s="6">
        <v>91</v>
      </c>
    </row>
    <row r="192" spans="1:16" x14ac:dyDescent="0.3">
      <c r="A192" s="6" t="s">
        <v>437</v>
      </c>
      <c r="B192" s="6">
        <v>46</v>
      </c>
      <c r="C192" s="6" t="s">
        <v>62</v>
      </c>
      <c r="D192" s="6" t="s">
        <v>69</v>
      </c>
      <c r="E192" s="6" t="s">
        <v>34</v>
      </c>
      <c r="F192" s="6">
        <v>1191</v>
      </c>
      <c r="G192" s="6">
        <v>193583.63</v>
      </c>
      <c r="H192" s="7">
        <v>37078</v>
      </c>
      <c r="I192" s="6" t="s">
        <v>19</v>
      </c>
      <c r="J192" s="6" t="s">
        <v>438</v>
      </c>
      <c r="K192" s="6" t="s">
        <v>21</v>
      </c>
      <c r="L192" s="6" t="s">
        <v>22</v>
      </c>
      <c r="M192" s="6" t="s">
        <v>23</v>
      </c>
      <c r="N192" s="6">
        <v>1.1000000000000001</v>
      </c>
      <c r="O192" s="4" t="str">
        <f t="shared" si="2"/>
        <v>Poor</v>
      </c>
      <c r="P192" s="6">
        <v>163</v>
      </c>
    </row>
    <row r="193" spans="1:16" x14ac:dyDescent="0.3">
      <c r="A193" s="6" t="s">
        <v>439</v>
      </c>
      <c r="B193" s="6">
        <v>25</v>
      </c>
      <c r="C193" s="6" t="s">
        <v>25</v>
      </c>
      <c r="D193" s="6" t="s">
        <v>26</v>
      </c>
      <c r="E193" s="6" t="s">
        <v>48</v>
      </c>
      <c r="F193" s="6">
        <v>1192</v>
      </c>
      <c r="G193" s="6">
        <v>125357.1</v>
      </c>
      <c r="H193" s="7">
        <v>43832</v>
      </c>
      <c r="I193" s="6" t="s">
        <v>28</v>
      </c>
      <c r="J193" s="6" t="s">
        <v>440</v>
      </c>
      <c r="K193" s="6" t="s">
        <v>30</v>
      </c>
      <c r="L193" s="6" t="s">
        <v>31</v>
      </c>
      <c r="M193" s="6" t="s">
        <v>32</v>
      </c>
      <c r="N193" s="6">
        <v>4.99</v>
      </c>
      <c r="O193" s="4" t="str">
        <f t="shared" si="2"/>
        <v>Excellent</v>
      </c>
      <c r="P193" s="6">
        <v>24</v>
      </c>
    </row>
    <row r="194" spans="1:16" x14ac:dyDescent="0.3">
      <c r="A194" s="6" t="s">
        <v>441</v>
      </c>
      <c r="B194" s="6">
        <v>40</v>
      </c>
      <c r="C194" s="6" t="s">
        <v>25</v>
      </c>
      <c r="D194" s="6" t="s">
        <v>55</v>
      </c>
      <c r="E194" s="6" t="s">
        <v>80</v>
      </c>
      <c r="F194" s="6">
        <v>1193</v>
      </c>
      <c r="G194" s="6">
        <v>134070.73000000001</v>
      </c>
      <c r="H194" s="7">
        <v>43874</v>
      </c>
      <c r="I194" s="6" t="s">
        <v>35</v>
      </c>
      <c r="J194" s="6" t="s">
        <v>442</v>
      </c>
      <c r="K194" s="6" t="s">
        <v>37</v>
      </c>
      <c r="L194" s="6" t="s">
        <v>38</v>
      </c>
      <c r="M194" s="6" t="s">
        <v>39</v>
      </c>
      <c r="N194" s="6">
        <v>3.69</v>
      </c>
      <c r="O194" s="4" t="str">
        <f t="shared" si="2"/>
        <v>Good</v>
      </c>
      <c r="P194" s="6">
        <v>96</v>
      </c>
    </row>
    <row r="195" spans="1:16" x14ac:dyDescent="0.3">
      <c r="A195" s="6" t="s">
        <v>443</v>
      </c>
      <c r="B195" s="6">
        <v>25</v>
      </c>
      <c r="C195" s="6" t="s">
        <v>16</v>
      </c>
      <c r="D195" s="6" t="s">
        <v>55</v>
      </c>
      <c r="E195" s="6" t="s">
        <v>80</v>
      </c>
      <c r="F195" s="6">
        <v>1194</v>
      </c>
      <c r="G195" s="6">
        <v>113482.71</v>
      </c>
      <c r="H195" s="7">
        <v>41539</v>
      </c>
      <c r="I195" s="6" t="s">
        <v>41</v>
      </c>
      <c r="J195" s="6" t="s">
        <v>444</v>
      </c>
      <c r="K195" s="6" t="s">
        <v>43</v>
      </c>
      <c r="L195" s="6" t="s">
        <v>44</v>
      </c>
      <c r="M195" s="6" t="s">
        <v>45</v>
      </c>
      <c r="N195" s="6">
        <v>2.5299999999999998</v>
      </c>
      <c r="O195" s="4" t="str">
        <f t="shared" ref="O195:O258" si="3">IF(N195&gt;=4,"Excellent",IF(N195&gt;=3,"Good",IF(N195&gt;=2,"Average","Poor")))</f>
        <v>Average</v>
      </c>
      <c r="P195" s="6">
        <v>195</v>
      </c>
    </row>
    <row r="196" spans="1:16" x14ac:dyDescent="0.3">
      <c r="A196" s="6" t="s">
        <v>445</v>
      </c>
      <c r="B196" s="6">
        <v>64</v>
      </c>
      <c r="C196" s="6" t="s">
        <v>62</v>
      </c>
      <c r="D196" s="6" t="s">
        <v>17</v>
      </c>
      <c r="E196" s="6" t="s">
        <v>27</v>
      </c>
      <c r="F196" s="6">
        <v>1195</v>
      </c>
      <c r="G196" s="6">
        <v>124727.5</v>
      </c>
      <c r="H196" s="7">
        <v>44370</v>
      </c>
      <c r="I196" s="6" t="s">
        <v>49</v>
      </c>
      <c r="J196" s="6" t="s">
        <v>446</v>
      </c>
      <c r="K196" s="6" t="s">
        <v>51</v>
      </c>
      <c r="L196" s="6" t="s">
        <v>52</v>
      </c>
      <c r="M196" s="6" t="s">
        <v>53</v>
      </c>
      <c r="N196" s="6">
        <v>3.09</v>
      </c>
      <c r="O196" s="4" t="str">
        <f t="shared" si="3"/>
        <v>Good</v>
      </c>
      <c r="P196" s="6">
        <v>76</v>
      </c>
    </row>
    <row r="197" spans="1:16" x14ac:dyDescent="0.3">
      <c r="A197" s="6" t="s">
        <v>447</v>
      </c>
      <c r="B197" s="6">
        <v>34</v>
      </c>
      <c r="C197" s="6" t="s">
        <v>62</v>
      </c>
      <c r="D197" s="6" t="s">
        <v>55</v>
      </c>
      <c r="E197" s="6" t="s">
        <v>34</v>
      </c>
      <c r="F197" s="6">
        <v>1196</v>
      </c>
      <c r="G197" s="6">
        <v>130015.62</v>
      </c>
      <c r="H197" s="7">
        <v>44384</v>
      </c>
      <c r="I197" s="6" t="s">
        <v>56</v>
      </c>
      <c r="J197" s="6" t="s">
        <v>448</v>
      </c>
      <c r="K197" s="6" t="s">
        <v>21</v>
      </c>
      <c r="L197" s="6" t="s">
        <v>22</v>
      </c>
      <c r="M197" s="6" t="s">
        <v>23</v>
      </c>
      <c r="N197" s="6">
        <v>4.88</v>
      </c>
      <c r="O197" s="4" t="str">
        <f t="shared" si="3"/>
        <v>Excellent</v>
      </c>
      <c r="P197" s="6">
        <v>74</v>
      </c>
    </row>
    <row r="198" spans="1:16" x14ac:dyDescent="0.3">
      <c r="A198" s="6" t="s">
        <v>449</v>
      </c>
      <c r="B198" s="6">
        <v>60</v>
      </c>
      <c r="C198" s="6" t="s">
        <v>16</v>
      </c>
      <c r="D198" s="6" t="s">
        <v>47</v>
      </c>
      <c r="E198" s="6" t="s">
        <v>18</v>
      </c>
      <c r="F198" s="6">
        <v>1197</v>
      </c>
      <c r="G198" s="6">
        <v>163719.73000000001</v>
      </c>
      <c r="H198" s="7">
        <v>42087</v>
      </c>
      <c r="I198" s="6" t="s">
        <v>63</v>
      </c>
      <c r="J198" s="6" t="s">
        <v>450</v>
      </c>
      <c r="K198" s="6" t="s">
        <v>30</v>
      </c>
      <c r="L198" s="6" t="s">
        <v>31</v>
      </c>
      <c r="M198" s="6" t="s">
        <v>32</v>
      </c>
      <c r="N198" s="6">
        <v>6.01</v>
      </c>
      <c r="O198" s="4" t="str">
        <f t="shared" si="3"/>
        <v>Excellent</v>
      </c>
      <c r="P198" s="6">
        <v>58</v>
      </c>
    </row>
    <row r="199" spans="1:16" x14ac:dyDescent="0.3">
      <c r="A199" s="6" t="s">
        <v>451</v>
      </c>
      <c r="B199" s="6">
        <v>57</v>
      </c>
      <c r="C199" s="6" t="s">
        <v>16</v>
      </c>
      <c r="D199" s="6" t="s">
        <v>55</v>
      </c>
      <c r="E199" s="6" t="s">
        <v>27</v>
      </c>
      <c r="F199" s="6">
        <v>1198</v>
      </c>
      <c r="G199" s="6">
        <v>197654.17</v>
      </c>
      <c r="H199" s="7">
        <v>40256</v>
      </c>
      <c r="I199" s="6" t="s">
        <v>66</v>
      </c>
      <c r="J199" s="6" t="s">
        <v>452</v>
      </c>
      <c r="K199" s="6" t="s">
        <v>37</v>
      </c>
      <c r="L199" s="6" t="s">
        <v>38</v>
      </c>
      <c r="M199" s="6" t="s">
        <v>39</v>
      </c>
      <c r="N199" s="6">
        <v>4.17</v>
      </c>
      <c r="O199" s="4" t="str">
        <f t="shared" si="3"/>
        <v>Excellent</v>
      </c>
      <c r="P199" s="6">
        <v>187</v>
      </c>
    </row>
    <row r="200" spans="1:16" x14ac:dyDescent="0.3">
      <c r="A200" s="6" t="s">
        <v>453</v>
      </c>
      <c r="B200" s="6">
        <v>44</v>
      </c>
      <c r="C200" s="6" t="s">
        <v>16</v>
      </c>
      <c r="D200" s="6" t="s">
        <v>55</v>
      </c>
      <c r="E200" s="6" t="s">
        <v>18</v>
      </c>
      <c r="F200" s="6">
        <v>1199</v>
      </c>
      <c r="G200" s="6">
        <v>173855.59</v>
      </c>
      <c r="H200" s="7">
        <v>40138</v>
      </c>
      <c r="I200" s="6" t="s">
        <v>70</v>
      </c>
      <c r="J200" s="6" t="s">
        <v>454</v>
      </c>
      <c r="K200" s="6" t="s">
        <v>43</v>
      </c>
      <c r="L200" s="6" t="s">
        <v>44</v>
      </c>
      <c r="M200" s="6" t="s">
        <v>45</v>
      </c>
      <c r="N200" s="6">
        <v>2.41</v>
      </c>
      <c r="O200" s="4" t="str">
        <f t="shared" si="3"/>
        <v>Average</v>
      </c>
      <c r="P200" s="6">
        <v>42</v>
      </c>
    </row>
    <row r="201" spans="1:16" x14ac:dyDescent="0.3">
      <c r="A201" s="6" t="s">
        <v>455</v>
      </c>
      <c r="B201" s="6">
        <v>27</v>
      </c>
      <c r="C201" s="6" t="s">
        <v>62</v>
      </c>
      <c r="D201" s="6" t="s">
        <v>26</v>
      </c>
      <c r="E201" s="6" t="s">
        <v>27</v>
      </c>
      <c r="F201" s="6">
        <v>1200</v>
      </c>
      <c r="G201" s="6">
        <v>192673.27</v>
      </c>
      <c r="H201" s="7">
        <v>37424</v>
      </c>
      <c r="I201" s="6" t="s">
        <v>73</v>
      </c>
      <c r="J201" s="6" t="s">
        <v>456</v>
      </c>
      <c r="K201" s="6" t="s">
        <v>51</v>
      </c>
      <c r="L201" s="6" t="s">
        <v>52</v>
      </c>
      <c r="M201" s="6" t="s">
        <v>53</v>
      </c>
      <c r="N201" s="6">
        <v>2.0299999999999998</v>
      </c>
      <c r="O201" s="4" t="str">
        <f t="shared" si="3"/>
        <v>Average</v>
      </c>
      <c r="P201" s="6">
        <v>192</v>
      </c>
    </row>
    <row r="202" spans="1:16" x14ac:dyDescent="0.3">
      <c r="A202" s="6" t="s">
        <v>457</v>
      </c>
      <c r="B202" s="6">
        <v>45</v>
      </c>
      <c r="C202" s="6" t="s">
        <v>25</v>
      </c>
      <c r="D202" s="6" t="s">
        <v>47</v>
      </c>
      <c r="E202" s="6" t="s">
        <v>80</v>
      </c>
      <c r="F202" s="6">
        <v>1201</v>
      </c>
      <c r="G202" s="6">
        <v>71992.12</v>
      </c>
      <c r="H202" s="7">
        <v>42207</v>
      </c>
      <c r="I202" s="6" t="s">
        <v>19</v>
      </c>
      <c r="J202" s="6" t="s">
        <v>458</v>
      </c>
      <c r="K202" s="6" t="s">
        <v>21</v>
      </c>
      <c r="L202" s="6" t="s">
        <v>22</v>
      </c>
      <c r="M202" s="6" t="s">
        <v>23</v>
      </c>
      <c r="N202" s="6">
        <v>3.75</v>
      </c>
      <c r="O202" s="4" t="str">
        <f t="shared" si="3"/>
        <v>Good</v>
      </c>
      <c r="P202" s="6">
        <v>143</v>
      </c>
    </row>
    <row r="203" spans="1:16" x14ac:dyDescent="0.3">
      <c r="A203" s="6" t="s">
        <v>459</v>
      </c>
      <c r="B203" s="6">
        <v>54</v>
      </c>
      <c r="C203" s="6" t="s">
        <v>25</v>
      </c>
      <c r="D203" s="6" t="s">
        <v>69</v>
      </c>
      <c r="E203" s="6" t="s">
        <v>48</v>
      </c>
      <c r="F203" s="6">
        <v>1202</v>
      </c>
      <c r="G203" s="6">
        <v>74990.37</v>
      </c>
      <c r="H203" s="7">
        <v>37729</v>
      </c>
      <c r="I203" s="6" t="s">
        <v>28</v>
      </c>
      <c r="J203" s="6" t="s">
        <v>460</v>
      </c>
      <c r="K203" s="6" t="s">
        <v>30</v>
      </c>
      <c r="L203" s="6" t="s">
        <v>31</v>
      </c>
      <c r="M203" s="6" t="s">
        <v>32</v>
      </c>
      <c r="N203" s="6">
        <v>3.17</v>
      </c>
      <c r="O203" s="4" t="str">
        <f t="shared" si="3"/>
        <v>Good</v>
      </c>
      <c r="P203" s="6">
        <v>136</v>
      </c>
    </row>
    <row r="204" spans="1:16" x14ac:dyDescent="0.3">
      <c r="A204" s="6" t="s">
        <v>461</v>
      </c>
      <c r="B204" s="6">
        <v>33</v>
      </c>
      <c r="C204" s="6" t="s">
        <v>62</v>
      </c>
      <c r="D204" s="6" t="s">
        <v>47</v>
      </c>
      <c r="E204" s="6" t="s">
        <v>18</v>
      </c>
      <c r="F204" s="6">
        <v>1203</v>
      </c>
      <c r="G204" s="6">
        <v>109528.23</v>
      </c>
      <c r="H204" s="7">
        <v>38308</v>
      </c>
      <c r="I204" s="6" t="s">
        <v>35</v>
      </c>
      <c r="J204" s="6" t="s">
        <v>462</v>
      </c>
      <c r="K204" s="6" t="s">
        <v>37</v>
      </c>
      <c r="L204" s="6" t="s">
        <v>38</v>
      </c>
      <c r="M204" s="6" t="s">
        <v>39</v>
      </c>
      <c r="N204" s="6">
        <v>4.13</v>
      </c>
      <c r="O204" s="4" t="str">
        <f t="shared" si="3"/>
        <v>Excellent</v>
      </c>
      <c r="P204" s="6">
        <v>164</v>
      </c>
    </row>
    <row r="205" spans="1:16" x14ac:dyDescent="0.3">
      <c r="A205" s="6" t="s">
        <v>463</v>
      </c>
      <c r="B205" s="6">
        <v>62</v>
      </c>
      <c r="C205" s="6" t="s">
        <v>25</v>
      </c>
      <c r="D205" s="6" t="s">
        <v>69</v>
      </c>
      <c r="E205" s="6" t="s">
        <v>48</v>
      </c>
      <c r="F205" s="6">
        <v>1204</v>
      </c>
      <c r="G205" s="6">
        <v>113534.96</v>
      </c>
      <c r="H205" s="7">
        <v>39294</v>
      </c>
      <c r="I205" s="6" t="s">
        <v>41</v>
      </c>
      <c r="J205" s="6" t="s">
        <v>464</v>
      </c>
      <c r="K205" s="6" t="s">
        <v>43</v>
      </c>
      <c r="L205" s="6" t="s">
        <v>44</v>
      </c>
      <c r="M205" s="6" t="s">
        <v>45</v>
      </c>
      <c r="N205" s="6">
        <v>3.77</v>
      </c>
      <c r="O205" s="4" t="str">
        <f t="shared" si="3"/>
        <v>Good</v>
      </c>
      <c r="P205" s="6">
        <v>55</v>
      </c>
    </row>
    <row r="206" spans="1:16" x14ac:dyDescent="0.3">
      <c r="A206" s="6" t="s">
        <v>465</v>
      </c>
      <c r="B206" s="6">
        <v>42</v>
      </c>
      <c r="C206" s="6" t="s">
        <v>62</v>
      </c>
      <c r="D206" s="6" t="s">
        <v>26</v>
      </c>
      <c r="E206" s="6" t="s">
        <v>27</v>
      </c>
      <c r="F206" s="6">
        <v>1205</v>
      </c>
      <c r="G206" s="6">
        <v>193982.72</v>
      </c>
      <c r="H206" s="7">
        <v>40735</v>
      </c>
      <c r="I206" s="6" t="s">
        <v>49</v>
      </c>
      <c r="J206" s="6" t="s">
        <v>466</v>
      </c>
      <c r="K206" s="6" t="s">
        <v>51</v>
      </c>
      <c r="L206" s="6" t="s">
        <v>52</v>
      </c>
      <c r="M206" s="6" t="s">
        <v>53</v>
      </c>
      <c r="N206" s="6">
        <v>1.79</v>
      </c>
      <c r="O206" s="4" t="str">
        <f t="shared" si="3"/>
        <v>Poor</v>
      </c>
      <c r="P206" s="6">
        <v>158</v>
      </c>
    </row>
    <row r="207" spans="1:16" x14ac:dyDescent="0.3">
      <c r="A207" s="6" t="s">
        <v>467</v>
      </c>
      <c r="B207" s="6">
        <v>32</v>
      </c>
      <c r="C207" s="6" t="s">
        <v>62</v>
      </c>
      <c r="D207" s="6" t="s">
        <v>26</v>
      </c>
      <c r="E207" s="6" t="s">
        <v>27</v>
      </c>
      <c r="F207" s="6">
        <v>1206</v>
      </c>
      <c r="G207" s="6">
        <v>164553.85</v>
      </c>
      <c r="H207" s="7">
        <v>42419</v>
      </c>
      <c r="I207" s="6" t="s">
        <v>56</v>
      </c>
      <c r="J207" s="6" t="s">
        <v>468</v>
      </c>
      <c r="K207" s="6" t="s">
        <v>21</v>
      </c>
      <c r="L207" s="6" t="s">
        <v>22</v>
      </c>
      <c r="M207" s="6" t="s">
        <v>23</v>
      </c>
      <c r="N207" s="6">
        <v>3.59</v>
      </c>
      <c r="O207" s="4" t="str">
        <f t="shared" si="3"/>
        <v>Good</v>
      </c>
      <c r="P207" s="6">
        <v>124</v>
      </c>
    </row>
    <row r="208" spans="1:16" x14ac:dyDescent="0.3">
      <c r="A208" s="6" t="s">
        <v>469</v>
      </c>
      <c r="B208" s="6">
        <v>59</v>
      </c>
      <c r="C208" s="6" t="s">
        <v>16</v>
      </c>
      <c r="D208" s="6" t="s">
        <v>17</v>
      </c>
      <c r="E208" s="6" t="s">
        <v>48</v>
      </c>
      <c r="F208" s="6">
        <v>1207</v>
      </c>
      <c r="G208" s="6">
        <v>192770.19</v>
      </c>
      <c r="H208" s="7">
        <v>38995</v>
      </c>
      <c r="I208" s="6" t="s">
        <v>63</v>
      </c>
      <c r="J208" s="6" t="s">
        <v>470</v>
      </c>
      <c r="K208" s="6" t="s">
        <v>30</v>
      </c>
      <c r="L208" s="6" t="s">
        <v>31</v>
      </c>
      <c r="M208" s="6" t="s">
        <v>32</v>
      </c>
      <c r="N208" s="6">
        <v>3.97</v>
      </c>
      <c r="O208" s="4" t="str">
        <f t="shared" si="3"/>
        <v>Good</v>
      </c>
      <c r="P208" s="6">
        <v>46</v>
      </c>
    </row>
    <row r="209" spans="1:16" x14ac:dyDescent="0.3">
      <c r="A209" s="6" t="s">
        <v>471</v>
      </c>
      <c r="B209" s="6">
        <v>50</v>
      </c>
      <c r="C209" s="6" t="s">
        <v>62</v>
      </c>
      <c r="D209" s="6" t="s">
        <v>26</v>
      </c>
      <c r="E209" s="6" t="s">
        <v>80</v>
      </c>
      <c r="F209" s="6">
        <v>1208</v>
      </c>
      <c r="G209" s="6">
        <v>101364.32</v>
      </c>
      <c r="H209" s="7">
        <v>39027</v>
      </c>
      <c r="I209" s="6" t="s">
        <v>66</v>
      </c>
      <c r="J209" s="6" t="s">
        <v>472</v>
      </c>
      <c r="K209" s="6" t="s">
        <v>37</v>
      </c>
      <c r="L209" s="6" t="s">
        <v>38</v>
      </c>
      <c r="M209" s="6" t="s">
        <v>39</v>
      </c>
      <c r="N209" s="6">
        <v>2.82</v>
      </c>
      <c r="O209" s="4" t="str">
        <f t="shared" si="3"/>
        <v>Average</v>
      </c>
      <c r="P209" s="6">
        <v>67</v>
      </c>
    </row>
    <row r="210" spans="1:16" x14ac:dyDescent="0.3">
      <c r="A210" s="6" t="s">
        <v>473</v>
      </c>
      <c r="B210" s="6">
        <v>62</v>
      </c>
      <c r="C210" s="6" t="s">
        <v>16</v>
      </c>
      <c r="D210" s="6" t="s">
        <v>55</v>
      </c>
      <c r="E210" s="6" t="s">
        <v>18</v>
      </c>
      <c r="F210" s="6">
        <v>1209</v>
      </c>
      <c r="G210" s="6">
        <v>138571.32999999999</v>
      </c>
      <c r="H210" s="7">
        <v>43484</v>
      </c>
      <c r="I210" s="6" t="s">
        <v>70</v>
      </c>
      <c r="J210" s="6" t="s">
        <v>474</v>
      </c>
      <c r="K210" s="6" t="s">
        <v>43</v>
      </c>
      <c r="L210" s="6" t="s">
        <v>44</v>
      </c>
      <c r="M210" s="6" t="s">
        <v>45</v>
      </c>
      <c r="N210" s="6">
        <v>4.29</v>
      </c>
      <c r="O210" s="4" t="str">
        <f t="shared" si="3"/>
        <v>Excellent</v>
      </c>
      <c r="P210" s="6">
        <v>57</v>
      </c>
    </row>
    <row r="211" spans="1:16" x14ac:dyDescent="0.3">
      <c r="A211" s="6" t="s">
        <v>475</v>
      </c>
      <c r="B211" s="6">
        <v>24</v>
      </c>
      <c r="C211" s="6" t="s">
        <v>16</v>
      </c>
      <c r="D211" s="6" t="s">
        <v>47</v>
      </c>
      <c r="E211" s="6" t="s">
        <v>48</v>
      </c>
      <c r="F211" s="6">
        <v>1210</v>
      </c>
      <c r="G211" s="6">
        <v>182403.37</v>
      </c>
      <c r="H211" s="7">
        <v>41150</v>
      </c>
      <c r="I211" s="6" t="s">
        <v>73</v>
      </c>
      <c r="J211" s="6" t="s">
        <v>476</v>
      </c>
      <c r="K211" s="6" t="s">
        <v>51</v>
      </c>
      <c r="L211" s="6" t="s">
        <v>52</v>
      </c>
      <c r="M211" s="6" t="s">
        <v>53</v>
      </c>
      <c r="N211" s="6">
        <v>3.19</v>
      </c>
      <c r="O211" s="4" t="str">
        <f t="shared" si="3"/>
        <v>Good</v>
      </c>
      <c r="P211" s="6">
        <v>19</v>
      </c>
    </row>
    <row r="212" spans="1:16" x14ac:dyDescent="0.3">
      <c r="A212" s="6" t="s">
        <v>477</v>
      </c>
      <c r="B212" s="6">
        <v>49</v>
      </c>
      <c r="C212" s="6" t="s">
        <v>25</v>
      </c>
      <c r="D212" s="6" t="s">
        <v>69</v>
      </c>
      <c r="E212" s="6" t="s">
        <v>27</v>
      </c>
      <c r="F212" s="6">
        <v>1211</v>
      </c>
      <c r="G212" s="6">
        <v>99791.67</v>
      </c>
      <c r="H212" s="7">
        <v>41827</v>
      </c>
      <c r="I212" s="6" t="s">
        <v>19</v>
      </c>
      <c r="J212" s="6" t="s">
        <v>478</v>
      </c>
      <c r="K212" s="6" t="s">
        <v>21</v>
      </c>
      <c r="L212" s="6" t="s">
        <v>22</v>
      </c>
      <c r="M212" s="6" t="s">
        <v>23</v>
      </c>
      <c r="N212" s="6">
        <v>4.7300000000000004</v>
      </c>
      <c r="O212" s="4" t="str">
        <f t="shared" si="3"/>
        <v>Excellent</v>
      </c>
      <c r="P212" s="6">
        <v>161</v>
      </c>
    </row>
    <row r="213" spans="1:16" x14ac:dyDescent="0.3">
      <c r="A213" s="6" t="s">
        <v>479</v>
      </c>
      <c r="B213" s="6">
        <v>41</v>
      </c>
      <c r="C213" s="6" t="s">
        <v>16</v>
      </c>
      <c r="D213" s="6" t="s">
        <v>47</v>
      </c>
      <c r="E213" s="6" t="s">
        <v>18</v>
      </c>
      <c r="F213" s="6">
        <v>1212</v>
      </c>
      <c r="G213" s="6">
        <v>76041.3</v>
      </c>
      <c r="H213" s="7">
        <v>37607</v>
      </c>
      <c r="I213" s="6" t="s">
        <v>28</v>
      </c>
      <c r="J213" s="6" t="s">
        <v>480</v>
      </c>
      <c r="K213" s="6" t="s">
        <v>30</v>
      </c>
      <c r="L213" s="6" t="s">
        <v>31</v>
      </c>
      <c r="M213" s="6" t="s">
        <v>32</v>
      </c>
      <c r="N213" s="6">
        <v>4.38</v>
      </c>
      <c r="O213" s="4" t="str">
        <f t="shared" si="3"/>
        <v>Excellent</v>
      </c>
      <c r="P213" s="6">
        <v>62</v>
      </c>
    </row>
    <row r="214" spans="1:16" x14ac:dyDescent="0.3">
      <c r="A214" s="6" t="s">
        <v>481</v>
      </c>
      <c r="B214" s="6">
        <v>47</v>
      </c>
      <c r="C214" s="6" t="s">
        <v>25</v>
      </c>
      <c r="D214" s="6" t="s">
        <v>47</v>
      </c>
      <c r="E214" s="6" t="s">
        <v>18</v>
      </c>
      <c r="F214" s="6">
        <v>1213</v>
      </c>
      <c r="G214" s="6">
        <v>89391.84</v>
      </c>
      <c r="H214" s="7">
        <v>42206</v>
      </c>
      <c r="I214" s="6" t="s">
        <v>35</v>
      </c>
      <c r="J214" s="6" t="s">
        <v>482</v>
      </c>
      <c r="K214" s="6" t="s">
        <v>37</v>
      </c>
      <c r="L214" s="6" t="s">
        <v>38</v>
      </c>
      <c r="M214" s="6" t="s">
        <v>39</v>
      </c>
      <c r="N214" s="6">
        <v>3.52</v>
      </c>
      <c r="O214" s="4" t="str">
        <f t="shared" si="3"/>
        <v>Good</v>
      </c>
      <c r="P214" s="6">
        <v>53</v>
      </c>
    </row>
    <row r="215" spans="1:16" x14ac:dyDescent="0.3">
      <c r="A215" s="6" t="s">
        <v>483</v>
      </c>
      <c r="B215" s="6">
        <v>45</v>
      </c>
      <c r="C215" s="6" t="s">
        <v>62</v>
      </c>
      <c r="D215" s="6" t="s">
        <v>47</v>
      </c>
      <c r="E215" s="6" t="s">
        <v>34</v>
      </c>
      <c r="F215" s="6">
        <v>1214</v>
      </c>
      <c r="G215" s="6">
        <v>89788.08</v>
      </c>
      <c r="H215" s="7">
        <v>42754</v>
      </c>
      <c r="I215" s="6" t="s">
        <v>41</v>
      </c>
      <c r="J215" s="6" t="s">
        <v>484</v>
      </c>
      <c r="K215" s="6" t="s">
        <v>43</v>
      </c>
      <c r="L215" s="6" t="s">
        <v>44</v>
      </c>
      <c r="M215" s="6" t="s">
        <v>45</v>
      </c>
      <c r="N215" s="6">
        <v>2.77</v>
      </c>
      <c r="O215" s="4" t="str">
        <f t="shared" si="3"/>
        <v>Average</v>
      </c>
      <c r="P215" s="6">
        <v>7</v>
      </c>
    </row>
    <row r="216" spans="1:16" x14ac:dyDescent="0.3">
      <c r="A216" s="6" t="s">
        <v>485</v>
      </c>
      <c r="B216" s="6">
        <v>42</v>
      </c>
      <c r="C216" s="6" t="s">
        <v>25</v>
      </c>
      <c r="D216" s="6" t="s">
        <v>47</v>
      </c>
      <c r="E216" s="6" t="s">
        <v>18</v>
      </c>
      <c r="F216" s="6">
        <v>1215</v>
      </c>
      <c r="G216" s="6">
        <v>184949.46</v>
      </c>
      <c r="H216" s="7">
        <v>36526</v>
      </c>
      <c r="I216" s="6" t="s">
        <v>49</v>
      </c>
      <c r="J216" s="6" t="s">
        <v>486</v>
      </c>
      <c r="K216" s="6" t="s">
        <v>51</v>
      </c>
      <c r="L216" s="6" t="s">
        <v>52</v>
      </c>
      <c r="M216" s="6" t="s">
        <v>53</v>
      </c>
      <c r="N216" s="6">
        <v>4.08</v>
      </c>
      <c r="O216" s="4" t="str">
        <f t="shared" si="3"/>
        <v>Excellent</v>
      </c>
      <c r="P216" s="6">
        <v>115</v>
      </c>
    </row>
    <row r="217" spans="1:16" x14ac:dyDescent="0.3">
      <c r="A217" s="6" t="s">
        <v>487</v>
      </c>
      <c r="B217" s="6">
        <v>51</v>
      </c>
      <c r="C217" s="6" t="s">
        <v>25</v>
      </c>
      <c r="D217" s="6" t="s">
        <v>47</v>
      </c>
      <c r="E217" s="6" t="s">
        <v>80</v>
      </c>
      <c r="F217" s="6">
        <v>1216</v>
      </c>
      <c r="G217" s="6">
        <v>167271.48000000001</v>
      </c>
      <c r="H217" s="7">
        <v>36731</v>
      </c>
      <c r="I217" s="6" t="s">
        <v>56</v>
      </c>
      <c r="J217" s="6" t="s">
        <v>488</v>
      </c>
      <c r="K217" s="6" t="s">
        <v>21</v>
      </c>
      <c r="L217" s="6" t="s">
        <v>22</v>
      </c>
      <c r="M217" s="6" t="s">
        <v>23</v>
      </c>
      <c r="N217" s="6">
        <v>2.2999999999999998</v>
      </c>
      <c r="O217" s="4" t="str">
        <f t="shared" si="3"/>
        <v>Average</v>
      </c>
      <c r="P217" s="6">
        <v>138</v>
      </c>
    </row>
    <row r="218" spans="1:16" x14ac:dyDescent="0.3">
      <c r="A218" s="6" t="s">
        <v>489</v>
      </c>
      <c r="B218" s="6">
        <v>25</v>
      </c>
      <c r="C218" s="6" t="s">
        <v>25</v>
      </c>
      <c r="D218" s="6" t="s">
        <v>26</v>
      </c>
      <c r="E218" s="6" t="s">
        <v>48</v>
      </c>
      <c r="F218" s="6">
        <v>1217</v>
      </c>
      <c r="G218" s="6">
        <v>132362.87</v>
      </c>
      <c r="H218" s="7">
        <v>44728</v>
      </c>
      <c r="I218" s="6" t="s">
        <v>63</v>
      </c>
      <c r="J218" s="6" t="s">
        <v>490</v>
      </c>
      <c r="K218" s="6" t="s">
        <v>30</v>
      </c>
      <c r="L218" s="6" t="s">
        <v>31</v>
      </c>
      <c r="M218" s="6" t="s">
        <v>32</v>
      </c>
      <c r="N218" s="6">
        <v>2.0299999999999998</v>
      </c>
      <c r="O218" s="4" t="str">
        <f t="shared" si="3"/>
        <v>Average</v>
      </c>
      <c r="P218" s="6">
        <v>173</v>
      </c>
    </row>
    <row r="219" spans="1:16" x14ac:dyDescent="0.3">
      <c r="A219" s="6" t="s">
        <v>491</v>
      </c>
      <c r="B219" s="6">
        <v>57</v>
      </c>
      <c r="C219" s="6" t="s">
        <v>62</v>
      </c>
      <c r="D219" s="6" t="s">
        <v>47</v>
      </c>
      <c r="E219" s="6" t="s">
        <v>80</v>
      </c>
      <c r="F219" s="6">
        <v>1218</v>
      </c>
      <c r="G219" s="6">
        <v>131962.38</v>
      </c>
      <c r="H219" s="7">
        <v>43675</v>
      </c>
      <c r="I219" s="6" t="s">
        <v>66</v>
      </c>
      <c r="J219" s="6" t="s">
        <v>492</v>
      </c>
      <c r="K219" s="6" t="s">
        <v>37</v>
      </c>
      <c r="L219" s="6" t="s">
        <v>38</v>
      </c>
      <c r="M219" s="6" t="s">
        <v>39</v>
      </c>
      <c r="N219" s="6">
        <v>1.5</v>
      </c>
      <c r="O219" s="4" t="str">
        <f t="shared" si="3"/>
        <v>Poor</v>
      </c>
      <c r="P219" s="6">
        <v>12</v>
      </c>
    </row>
    <row r="220" spans="1:16" x14ac:dyDescent="0.3">
      <c r="A220" s="6" t="s">
        <v>493</v>
      </c>
      <c r="B220" s="6">
        <v>61</v>
      </c>
      <c r="C220" s="6" t="s">
        <v>62</v>
      </c>
      <c r="D220" s="6" t="s">
        <v>47</v>
      </c>
      <c r="E220" s="6" t="s">
        <v>34</v>
      </c>
      <c r="F220" s="6">
        <v>1219</v>
      </c>
      <c r="G220" s="6">
        <v>74255.320000000007</v>
      </c>
      <c r="H220" s="7">
        <v>39294</v>
      </c>
      <c r="I220" s="6" t="s">
        <v>70</v>
      </c>
      <c r="J220" s="6" t="s">
        <v>494</v>
      </c>
      <c r="K220" s="6" t="s">
        <v>43</v>
      </c>
      <c r="L220" s="6" t="s">
        <v>44</v>
      </c>
      <c r="M220" s="6" t="s">
        <v>45</v>
      </c>
      <c r="N220" s="6">
        <v>1.89</v>
      </c>
      <c r="O220" s="4" t="str">
        <f t="shared" si="3"/>
        <v>Poor</v>
      </c>
      <c r="P220" s="6">
        <v>111</v>
      </c>
    </row>
    <row r="221" spans="1:16" x14ac:dyDescent="0.3">
      <c r="A221" s="6" t="s">
        <v>495</v>
      </c>
      <c r="B221" s="6">
        <v>31</v>
      </c>
      <c r="C221" s="6" t="s">
        <v>16</v>
      </c>
      <c r="D221" s="6" t="s">
        <v>69</v>
      </c>
      <c r="E221" s="6" t="s">
        <v>80</v>
      </c>
      <c r="F221" s="6">
        <v>1220</v>
      </c>
      <c r="G221" s="6">
        <v>99664.94</v>
      </c>
      <c r="H221" s="7">
        <v>38413</v>
      </c>
      <c r="I221" s="6" t="s">
        <v>73</v>
      </c>
      <c r="J221" s="6" t="s">
        <v>496</v>
      </c>
      <c r="K221" s="6" t="s">
        <v>51</v>
      </c>
      <c r="L221" s="6" t="s">
        <v>52</v>
      </c>
      <c r="M221" s="6" t="s">
        <v>53</v>
      </c>
      <c r="N221" s="6">
        <v>2.86</v>
      </c>
      <c r="O221" s="4" t="str">
        <f t="shared" si="3"/>
        <v>Average</v>
      </c>
      <c r="P221" s="6">
        <v>170</v>
      </c>
    </row>
    <row r="222" spans="1:16" x14ac:dyDescent="0.3">
      <c r="A222" s="6" t="s">
        <v>497</v>
      </c>
      <c r="B222" s="6">
        <v>31</v>
      </c>
      <c r="C222" s="6" t="s">
        <v>62</v>
      </c>
      <c r="D222" s="6" t="s">
        <v>47</v>
      </c>
      <c r="E222" s="6" t="s">
        <v>18</v>
      </c>
      <c r="F222" s="6">
        <v>1221</v>
      </c>
      <c r="G222" s="6">
        <v>81216.87</v>
      </c>
      <c r="H222" s="7">
        <v>38730</v>
      </c>
      <c r="I222" s="6" t="s">
        <v>19</v>
      </c>
      <c r="J222" s="6" t="s">
        <v>498</v>
      </c>
      <c r="K222" s="6" t="s">
        <v>21</v>
      </c>
      <c r="L222" s="6" t="s">
        <v>22</v>
      </c>
      <c r="M222" s="6" t="s">
        <v>23</v>
      </c>
      <c r="N222" s="6">
        <v>4.5599999999999996</v>
      </c>
      <c r="O222" s="4" t="str">
        <f t="shared" si="3"/>
        <v>Excellent</v>
      </c>
      <c r="P222" s="6">
        <v>84</v>
      </c>
    </row>
    <row r="223" spans="1:16" x14ac:dyDescent="0.3">
      <c r="A223" s="6" t="s">
        <v>499</v>
      </c>
      <c r="B223" s="6">
        <v>63</v>
      </c>
      <c r="C223" s="6" t="s">
        <v>16</v>
      </c>
      <c r="D223" s="6" t="s">
        <v>47</v>
      </c>
      <c r="E223" s="6" t="s">
        <v>18</v>
      </c>
      <c r="F223" s="6">
        <v>1222</v>
      </c>
      <c r="G223" s="6">
        <v>112649.78</v>
      </c>
      <c r="H223" s="7">
        <v>37027</v>
      </c>
      <c r="I223" s="6" t="s">
        <v>28</v>
      </c>
      <c r="J223" s="6" t="s">
        <v>500</v>
      </c>
      <c r="K223" s="6" t="s">
        <v>30</v>
      </c>
      <c r="L223" s="6" t="s">
        <v>31</v>
      </c>
      <c r="M223" s="6" t="s">
        <v>32</v>
      </c>
      <c r="N223" s="6">
        <v>2.9</v>
      </c>
      <c r="O223" s="4" t="str">
        <f t="shared" si="3"/>
        <v>Average</v>
      </c>
      <c r="P223" s="6">
        <v>27</v>
      </c>
    </row>
    <row r="224" spans="1:16" x14ac:dyDescent="0.3">
      <c r="A224" s="6" t="s">
        <v>501</v>
      </c>
      <c r="B224" s="6">
        <v>45</v>
      </c>
      <c r="C224" s="6" t="s">
        <v>62</v>
      </c>
      <c r="D224" s="6" t="s">
        <v>47</v>
      </c>
      <c r="E224" s="6" t="s">
        <v>18</v>
      </c>
      <c r="F224" s="6">
        <v>1223</v>
      </c>
      <c r="G224" s="6">
        <v>135377.04999999999</v>
      </c>
      <c r="H224" s="7">
        <v>44902</v>
      </c>
      <c r="I224" s="6" t="s">
        <v>35</v>
      </c>
      <c r="J224" s="6" t="s">
        <v>502</v>
      </c>
      <c r="K224" s="6" t="s">
        <v>37</v>
      </c>
      <c r="L224" s="6" t="s">
        <v>38</v>
      </c>
      <c r="M224" s="6" t="s">
        <v>39</v>
      </c>
      <c r="N224" s="6">
        <v>1.82</v>
      </c>
      <c r="O224" s="4" t="str">
        <f t="shared" si="3"/>
        <v>Poor</v>
      </c>
      <c r="P224" s="6">
        <v>109</v>
      </c>
    </row>
    <row r="225" spans="1:16" x14ac:dyDescent="0.3">
      <c r="A225" s="6" t="s">
        <v>503</v>
      </c>
      <c r="B225" s="6">
        <v>25</v>
      </c>
      <c r="C225" s="6" t="s">
        <v>25</v>
      </c>
      <c r="D225" s="6" t="s">
        <v>55</v>
      </c>
      <c r="E225" s="6" t="s">
        <v>48</v>
      </c>
      <c r="F225" s="6">
        <v>1224</v>
      </c>
      <c r="G225" s="6">
        <v>75203.62</v>
      </c>
      <c r="H225" s="7">
        <v>42498</v>
      </c>
      <c r="I225" s="6" t="s">
        <v>41</v>
      </c>
      <c r="J225" s="6" t="s">
        <v>504</v>
      </c>
      <c r="K225" s="6" t="s">
        <v>43</v>
      </c>
      <c r="L225" s="6" t="s">
        <v>44</v>
      </c>
      <c r="M225" s="6" t="s">
        <v>45</v>
      </c>
      <c r="N225" s="6">
        <v>2.17</v>
      </c>
      <c r="O225" s="4" t="str">
        <f t="shared" si="3"/>
        <v>Average</v>
      </c>
      <c r="P225" s="6">
        <v>105</v>
      </c>
    </row>
    <row r="226" spans="1:16" x14ac:dyDescent="0.3">
      <c r="A226" s="6" t="s">
        <v>505</v>
      </c>
      <c r="B226" s="6">
        <v>48</v>
      </c>
      <c r="C226" s="6" t="s">
        <v>16</v>
      </c>
      <c r="D226" s="6" t="s">
        <v>55</v>
      </c>
      <c r="E226" s="6" t="s">
        <v>27</v>
      </c>
      <c r="F226" s="6">
        <v>1225</v>
      </c>
      <c r="G226" s="6">
        <v>172822.37</v>
      </c>
      <c r="H226" s="7">
        <v>44735</v>
      </c>
      <c r="I226" s="6" t="s">
        <v>49</v>
      </c>
      <c r="J226" s="6" t="s">
        <v>506</v>
      </c>
      <c r="K226" s="6" t="s">
        <v>51</v>
      </c>
      <c r="L226" s="6" t="s">
        <v>52</v>
      </c>
      <c r="M226" s="6" t="s">
        <v>53</v>
      </c>
      <c r="N226" s="6">
        <v>4.18</v>
      </c>
      <c r="O226" s="4" t="str">
        <f t="shared" si="3"/>
        <v>Excellent</v>
      </c>
      <c r="P226" s="6">
        <v>64</v>
      </c>
    </row>
    <row r="227" spans="1:16" x14ac:dyDescent="0.3">
      <c r="A227" s="6" t="s">
        <v>507</v>
      </c>
      <c r="B227" s="6">
        <v>25</v>
      </c>
      <c r="C227" s="6" t="s">
        <v>62</v>
      </c>
      <c r="D227" s="6" t="s">
        <v>55</v>
      </c>
      <c r="E227" s="6" t="s">
        <v>27</v>
      </c>
      <c r="F227" s="6">
        <v>1226</v>
      </c>
      <c r="G227" s="6">
        <v>121301.24</v>
      </c>
      <c r="H227" s="7">
        <v>41641</v>
      </c>
      <c r="I227" s="6" t="s">
        <v>56</v>
      </c>
      <c r="J227" s="6" t="s">
        <v>508</v>
      </c>
      <c r="K227" s="6" t="s">
        <v>21</v>
      </c>
      <c r="L227" s="6" t="s">
        <v>22</v>
      </c>
      <c r="M227" s="6" t="s">
        <v>23</v>
      </c>
      <c r="N227" s="6">
        <v>3.99</v>
      </c>
      <c r="O227" s="4" t="str">
        <f t="shared" si="3"/>
        <v>Good</v>
      </c>
      <c r="P227" s="6">
        <v>40</v>
      </c>
    </row>
    <row r="228" spans="1:16" x14ac:dyDescent="0.3">
      <c r="A228" s="6" t="s">
        <v>509</v>
      </c>
      <c r="B228" s="6">
        <v>53</v>
      </c>
      <c r="C228" s="6" t="s">
        <v>62</v>
      </c>
      <c r="D228" s="6" t="s">
        <v>47</v>
      </c>
      <c r="E228" s="6" t="s">
        <v>34</v>
      </c>
      <c r="F228" s="6">
        <v>1227</v>
      </c>
      <c r="G228" s="6">
        <v>81721.25</v>
      </c>
      <c r="H228" s="7">
        <v>42593</v>
      </c>
      <c r="I228" s="6" t="s">
        <v>63</v>
      </c>
      <c r="J228" s="6" t="s">
        <v>510</v>
      </c>
      <c r="K228" s="6" t="s">
        <v>30</v>
      </c>
      <c r="L228" s="6" t="s">
        <v>31</v>
      </c>
      <c r="M228" s="6" t="s">
        <v>32</v>
      </c>
      <c r="N228" s="6">
        <v>4.8</v>
      </c>
      <c r="O228" s="4" t="str">
        <f t="shared" si="3"/>
        <v>Excellent</v>
      </c>
      <c r="P228" s="6">
        <v>170</v>
      </c>
    </row>
    <row r="229" spans="1:16" x14ac:dyDescent="0.3">
      <c r="A229" s="6" t="s">
        <v>511</v>
      </c>
      <c r="B229" s="6">
        <v>31</v>
      </c>
      <c r="C229" s="6" t="s">
        <v>62</v>
      </c>
      <c r="D229" s="6" t="s">
        <v>26</v>
      </c>
      <c r="E229" s="6" t="s">
        <v>80</v>
      </c>
      <c r="F229" s="6">
        <v>1228</v>
      </c>
      <c r="G229" s="6">
        <v>143421.70000000001</v>
      </c>
      <c r="H229" s="7">
        <v>37314</v>
      </c>
      <c r="I229" s="6" t="s">
        <v>66</v>
      </c>
      <c r="J229" s="6" t="s">
        <v>512</v>
      </c>
      <c r="K229" s="6" t="s">
        <v>37</v>
      </c>
      <c r="L229" s="6" t="s">
        <v>38</v>
      </c>
      <c r="M229" s="6" t="s">
        <v>39</v>
      </c>
      <c r="N229" s="6">
        <v>1.03</v>
      </c>
      <c r="O229" s="4" t="str">
        <f t="shared" si="3"/>
        <v>Poor</v>
      </c>
      <c r="P229" s="6">
        <v>63</v>
      </c>
    </row>
    <row r="230" spans="1:16" x14ac:dyDescent="0.3">
      <c r="A230" s="6" t="s">
        <v>513</v>
      </c>
      <c r="B230" s="6">
        <v>32</v>
      </c>
      <c r="C230" s="6" t="s">
        <v>25</v>
      </c>
      <c r="D230" s="6" t="s">
        <v>55</v>
      </c>
      <c r="E230" s="6" t="s">
        <v>27</v>
      </c>
      <c r="F230" s="6">
        <v>1229</v>
      </c>
      <c r="G230" s="6">
        <v>54925.41</v>
      </c>
      <c r="H230" s="7">
        <v>39232</v>
      </c>
      <c r="I230" s="6" t="s">
        <v>70</v>
      </c>
      <c r="J230" s="6" t="s">
        <v>514</v>
      </c>
      <c r="K230" s="6" t="s">
        <v>43</v>
      </c>
      <c r="L230" s="6" t="s">
        <v>44</v>
      </c>
      <c r="M230" s="6" t="s">
        <v>45</v>
      </c>
      <c r="N230" s="6">
        <v>1.78</v>
      </c>
      <c r="O230" s="4" t="str">
        <f t="shared" si="3"/>
        <v>Poor</v>
      </c>
      <c r="P230" s="6">
        <v>33</v>
      </c>
    </row>
    <row r="231" spans="1:16" x14ac:dyDescent="0.3">
      <c r="A231" s="6" t="s">
        <v>515</v>
      </c>
      <c r="B231" s="6">
        <v>49</v>
      </c>
      <c r="C231" s="6" t="s">
        <v>16</v>
      </c>
      <c r="D231" s="6" t="s">
        <v>17</v>
      </c>
      <c r="E231" s="6" t="s">
        <v>48</v>
      </c>
      <c r="F231" s="6">
        <v>1230</v>
      </c>
      <c r="G231" s="6">
        <v>118633.76</v>
      </c>
      <c r="H231" s="7">
        <v>42144</v>
      </c>
      <c r="I231" s="6" t="s">
        <v>73</v>
      </c>
      <c r="J231" s="6" t="s">
        <v>516</v>
      </c>
      <c r="K231" s="6" t="s">
        <v>51</v>
      </c>
      <c r="L231" s="6" t="s">
        <v>52</v>
      </c>
      <c r="M231" s="6" t="s">
        <v>53</v>
      </c>
      <c r="N231" s="6">
        <v>4.45</v>
      </c>
      <c r="O231" s="4" t="str">
        <f t="shared" si="3"/>
        <v>Excellent</v>
      </c>
      <c r="P231" s="6">
        <v>58</v>
      </c>
    </row>
    <row r="232" spans="1:16" x14ac:dyDescent="0.3">
      <c r="A232" s="6" t="s">
        <v>517</v>
      </c>
      <c r="B232" s="6">
        <v>29</v>
      </c>
      <c r="C232" s="6" t="s">
        <v>16</v>
      </c>
      <c r="D232" s="6" t="s">
        <v>55</v>
      </c>
      <c r="E232" s="6" t="s">
        <v>18</v>
      </c>
      <c r="F232" s="6">
        <v>1231</v>
      </c>
      <c r="G232" s="6">
        <v>59600.23</v>
      </c>
      <c r="H232" s="7">
        <v>44915</v>
      </c>
      <c r="I232" s="6" t="s">
        <v>19</v>
      </c>
      <c r="J232" s="6" t="s">
        <v>518</v>
      </c>
      <c r="K232" s="6" t="s">
        <v>21</v>
      </c>
      <c r="L232" s="6" t="s">
        <v>22</v>
      </c>
      <c r="M232" s="6" t="s">
        <v>23</v>
      </c>
      <c r="N232" s="6">
        <v>4.2699999999999996</v>
      </c>
      <c r="O232" s="4" t="str">
        <f t="shared" si="3"/>
        <v>Excellent</v>
      </c>
      <c r="P232" s="6">
        <v>6</v>
      </c>
    </row>
    <row r="233" spans="1:16" x14ac:dyDescent="0.3">
      <c r="A233" s="6" t="s">
        <v>519</v>
      </c>
      <c r="B233" s="6">
        <v>61</v>
      </c>
      <c r="C233" s="6" t="s">
        <v>16</v>
      </c>
      <c r="D233" s="6" t="s">
        <v>69</v>
      </c>
      <c r="E233" s="6" t="s">
        <v>34</v>
      </c>
      <c r="F233" s="6">
        <v>1232</v>
      </c>
      <c r="G233" s="6">
        <v>155324.64000000001</v>
      </c>
      <c r="H233" s="7">
        <v>44417</v>
      </c>
      <c r="I233" s="6" t="s">
        <v>28</v>
      </c>
      <c r="J233" s="6" t="s">
        <v>520</v>
      </c>
      <c r="K233" s="6" t="s">
        <v>30</v>
      </c>
      <c r="L233" s="6" t="s">
        <v>31</v>
      </c>
      <c r="M233" s="6" t="s">
        <v>32</v>
      </c>
      <c r="N233" s="6">
        <v>1.71</v>
      </c>
      <c r="O233" s="4" t="str">
        <f t="shared" si="3"/>
        <v>Poor</v>
      </c>
      <c r="P233" s="6">
        <v>91</v>
      </c>
    </row>
    <row r="234" spans="1:16" x14ac:dyDescent="0.3">
      <c r="A234" s="6" t="s">
        <v>521</v>
      </c>
      <c r="B234" s="6">
        <v>43</v>
      </c>
      <c r="C234" s="6" t="s">
        <v>62</v>
      </c>
      <c r="D234" s="6" t="s">
        <v>26</v>
      </c>
      <c r="E234" s="6" t="s">
        <v>18</v>
      </c>
      <c r="F234" s="6">
        <v>1233</v>
      </c>
      <c r="G234" s="6">
        <v>130433.43</v>
      </c>
      <c r="H234" s="7">
        <v>39135</v>
      </c>
      <c r="I234" s="6" t="s">
        <v>35</v>
      </c>
      <c r="J234" s="6" t="s">
        <v>522</v>
      </c>
      <c r="K234" s="6" t="s">
        <v>37</v>
      </c>
      <c r="L234" s="6" t="s">
        <v>38</v>
      </c>
      <c r="M234" s="6" t="s">
        <v>39</v>
      </c>
      <c r="N234" s="6">
        <v>4.53</v>
      </c>
      <c r="O234" s="4" t="str">
        <f t="shared" si="3"/>
        <v>Excellent</v>
      </c>
      <c r="P234" s="6">
        <v>26</v>
      </c>
    </row>
    <row r="235" spans="1:16" x14ac:dyDescent="0.3">
      <c r="A235" s="6" t="s">
        <v>523</v>
      </c>
      <c r="B235" s="6">
        <v>55</v>
      </c>
      <c r="C235" s="6" t="s">
        <v>16</v>
      </c>
      <c r="D235" s="6" t="s">
        <v>69</v>
      </c>
      <c r="E235" s="6" t="s">
        <v>48</v>
      </c>
      <c r="F235" s="6">
        <v>1234</v>
      </c>
      <c r="G235" s="6">
        <v>142181</v>
      </c>
      <c r="H235" s="7">
        <v>38063</v>
      </c>
      <c r="I235" s="6" t="s">
        <v>41</v>
      </c>
      <c r="J235" s="6" t="s">
        <v>524</v>
      </c>
      <c r="K235" s="6" t="s">
        <v>43</v>
      </c>
      <c r="L235" s="6" t="s">
        <v>44</v>
      </c>
      <c r="M235" s="6" t="s">
        <v>45</v>
      </c>
      <c r="N235" s="6">
        <v>1.93</v>
      </c>
      <c r="O235" s="4" t="str">
        <f t="shared" si="3"/>
        <v>Poor</v>
      </c>
      <c r="P235" s="6">
        <v>161</v>
      </c>
    </row>
    <row r="236" spans="1:16" x14ac:dyDescent="0.3">
      <c r="A236" s="6" t="s">
        <v>525</v>
      </c>
      <c r="B236" s="6">
        <v>56</v>
      </c>
      <c r="C236" s="6" t="s">
        <v>16</v>
      </c>
      <c r="D236" s="6" t="s">
        <v>69</v>
      </c>
      <c r="E236" s="6" t="s">
        <v>18</v>
      </c>
      <c r="F236" s="6">
        <v>1235</v>
      </c>
      <c r="G236" s="6">
        <v>62515.58</v>
      </c>
      <c r="H236" s="7">
        <v>41789</v>
      </c>
      <c r="I236" s="6" t="s">
        <v>49</v>
      </c>
      <c r="J236" s="6" t="s">
        <v>526</v>
      </c>
      <c r="K236" s="6" t="s">
        <v>51</v>
      </c>
      <c r="L236" s="6" t="s">
        <v>52</v>
      </c>
      <c r="M236" s="6" t="s">
        <v>53</v>
      </c>
      <c r="N236" s="6">
        <v>1.31</v>
      </c>
      <c r="O236" s="4" t="str">
        <f t="shared" si="3"/>
        <v>Poor</v>
      </c>
      <c r="P236" s="6">
        <v>5</v>
      </c>
    </row>
    <row r="237" spans="1:16" x14ac:dyDescent="0.3">
      <c r="A237" s="6" t="s">
        <v>527</v>
      </c>
      <c r="B237" s="6">
        <v>56</v>
      </c>
      <c r="C237" s="6" t="s">
        <v>62</v>
      </c>
      <c r="D237" s="6" t="s">
        <v>55</v>
      </c>
      <c r="E237" s="6" t="s">
        <v>48</v>
      </c>
      <c r="F237" s="6">
        <v>1236</v>
      </c>
      <c r="G237" s="6">
        <v>83871.509999999995</v>
      </c>
      <c r="H237" s="7">
        <v>40958</v>
      </c>
      <c r="I237" s="6" t="s">
        <v>56</v>
      </c>
      <c r="J237" s="6" t="s">
        <v>528</v>
      </c>
      <c r="K237" s="6" t="s">
        <v>21</v>
      </c>
      <c r="L237" s="6" t="s">
        <v>22</v>
      </c>
      <c r="M237" s="6" t="s">
        <v>23</v>
      </c>
      <c r="N237" s="6">
        <v>3.89</v>
      </c>
      <c r="O237" s="4" t="str">
        <f t="shared" si="3"/>
        <v>Good</v>
      </c>
      <c r="P237" s="6">
        <v>70</v>
      </c>
    </row>
    <row r="238" spans="1:16" x14ac:dyDescent="0.3">
      <c r="A238" s="6" t="s">
        <v>529</v>
      </c>
      <c r="B238" s="6">
        <v>46</v>
      </c>
      <c r="C238" s="6" t="s">
        <v>62</v>
      </c>
      <c r="D238" s="6" t="s">
        <v>69</v>
      </c>
      <c r="E238" s="6" t="s">
        <v>80</v>
      </c>
      <c r="F238" s="6">
        <v>1237</v>
      </c>
      <c r="G238" s="6">
        <v>112677.21</v>
      </c>
      <c r="H238" s="7">
        <v>41432</v>
      </c>
      <c r="I238" s="6" t="s">
        <v>63</v>
      </c>
      <c r="J238" s="6" t="s">
        <v>530</v>
      </c>
      <c r="K238" s="6" t="s">
        <v>30</v>
      </c>
      <c r="L238" s="6" t="s">
        <v>31</v>
      </c>
      <c r="M238" s="6" t="s">
        <v>32</v>
      </c>
      <c r="N238" s="6">
        <v>1.21</v>
      </c>
      <c r="O238" s="4" t="str">
        <f t="shared" si="3"/>
        <v>Poor</v>
      </c>
      <c r="P238" s="6">
        <v>101</v>
      </c>
    </row>
    <row r="239" spans="1:16" x14ac:dyDescent="0.3">
      <c r="A239" s="6" t="s">
        <v>531</v>
      </c>
      <c r="B239" s="6">
        <v>55</v>
      </c>
      <c r="C239" s="6" t="s">
        <v>62</v>
      </c>
      <c r="D239" s="6" t="s">
        <v>69</v>
      </c>
      <c r="E239" s="6" t="s">
        <v>48</v>
      </c>
      <c r="F239" s="6">
        <v>1238</v>
      </c>
      <c r="G239" s="6">
        <v>175174.77</v>
      </c>
      <c r="H239" s="7">
        <v>41235</v>
      </c>
      <c r="I239" s="6" t="s">
        <v>66</v>
      </c>
      <c r="J239" s="6" t="s">
        <v>532</v>
      </c>
      <c r="K239" s="6" t="s">
        <v>37</v>
      </c>
      <c r="L239" s="6" t="s">
        <v>38</v>
      </c>
      <c r="M239" s="6" t="s">
        <v>39</v>
      </c>
      <c r="N239" s="6">
        <v>4.43</v>
      </c>
      <c r="O239" s="4" t="str">
        <f t="shared" si="3"/>
        <v>Excellent</v>
      </c>
      <c r="P239" s="6">
        <v>180</v>
      </c>
    </row>
    <row r="240" spans="1:16" x14ac:dyDescent="0.3">
      <c r="A240" s="6" t="s">
        <v>533</v>
      </c>
      <c r="B240" s="6">
        <v>27</v>
      </c>
      <c r="C240" s="6" t="s">
        <v>62</v>
      </c>
      <c r="D240" s="6" t="s">
        <v>26</v>
      </c>
      <c r="E240" s="6" t="s">
        <v>80</v>
      </c>
      <c r="F240" s="6">
        <v>1239</v>
      </c>
      <c r="G240" s="6">
        <v>128635.02</v>
      </c>
      <c r="H240" s="7">
        <v>44449</v>
      </c>
      <c r="I240" s="6" t="s">
        <v>70</v>
      </c>
      <c r="J240" s="6" t="s">
        <v>534</v>
      </c>
      <c r="K240" s="6" t="s">
        <v>43</v>
      </c>
      <c r="L240" s="6" t="s">
        <v>44</v>
      </c>
      <c r="M240" s="6" t="s">
        <v>45</v>
      </c>
      <c r="N240" s="6">
        <v>4.13</v>
      </c>
      <c r="O240" s="4" t="str">
        <f t="shared" si="3"/>
        <v>Excellent</v>
      </c>
      <c r="P240" s="6">
        <v>18</v>
      </c>
    </row>
    <row r="241" spans="1:16" x14ac:dyDescent="0.3">
      <c r="A241" s="6" t="s">
        <v>535</v>
      </c>
      <c r="B241" s="6">
        <v>62</v>
      </c>
      <c r="C241" s="6" t="s">
        <v>25</v>
      </c>
      <c r="D241" s="6" t="s">
        <v>55</v>
      </c>
      <c r="E241" s="6" t="s">
        <v>80</v>
      </c>
      <c r="F241" s="6">
        <v>1240</v>
      </c>
      <c r="G241" s="6">
        <v>113961.94</v>
      </c>
      <c r="H241" s="7">
        <v>38834</v>
      </c>
      <c r="I241" s="6" t="s">
        <v>73</v>
      </c>
      <c r="J241" s="6" t="s">
        <v>536</v>
      </c>
      <c r="K241" s="6" t="s">
        <v>51</v>
      </c>
      <c r="L241" s="6" t="s">
        <v>52</v>
      </c>
      <c r="M241" s="6" t="s">
        <v>53</v>
      </c>
      <c r="N241" s="6">
        <v>1.1399999999999999</v>
      </c>
      <c r="O241" s="4" t="str">
        <f t="shared" si="3"/>
        <v>Poor</v>
      </c>
      <c r="P241" s="6">
        <v>51</v>
      </c>
    </row>
    <row r="242" spans="1:16" x14ac:dyDescent="0.3">
      <c r="A242" s="6" t="s">
        <v>537</v>
      </c>
      <c r="B242" s="6">
        <v>58</v>
      </c>
      <c r="C242" s="6" t="s">
        <v>25</v>
      </c>
      <c r="D242" s="6" t="s">
        <v>26</v>
      </c>
      <c r="E242" s="6" t="s">
        <v>80</v>
      </c>
      <c r="F242" s="6">
        <v>1241</v>
      </c>
      <c r="G242" s="6">
        <v>100375.51</v>
      </c>
      <c r="H242" s="7">
        <v>37460</v>
      </c>
      <c r="I242" s="6" t="s">
        <v>19</v>
      </c>
      <c r="J242" s="6" t="s">
        <v>538</v>
      </c>
      <c r="K242" s="6" t="s">
        <v>21</v>
      </c>
      <c r="L242" s="6" t="s">
        <v>22</v>
      </c>
      <c r="M242" s="6" t="s">
        <v>23</v>
      </c>
      <c r="N242" s="6">
        <v>4.95</v>
      </c>
      <c r="O242" s="4" t="str">
        <f t="shared" si="3"/>
        <v>Excellent</v>
      </c>
      <c r="P242" s="6">
        <v>13</v>
      </c>
    </row>
    <row r="243" spans="1:16" x14ac:dyDescent="0.3">
      <c r="A243" s="6" t="s">
        <v>539</v>
      </c>
      <c r="B243" s="6">
        <v>22</v>
      </c>
      <c r="C243" s="6" t="s">
        <v>16</v>
      </c>
      <c r="D243" s="6" t="s">
        <v>47</v>
      </c>
      <c r="E243" s="6" t="s">
        <v>18</v>
      </c>
      <c r="F243" s="6">
        <v>1242</v>
      </c>
      <c r="G243" s="6">
        <v>84741.68</v>
      </c>
      <c r="H243" s="7">
        <v>37492</v>
      </c>
      <c r="I243" s="6" t="s">
        <v>28</v>
      </c>
      <c r="J243" s="6" t="s">
        <v>540</v>
      </c>
      <c r="K243" s="6" t="s">
        <v>30</v>
      </c>
      <c r="L243" s="6" t="s">
        <v>31</v>
      </c>
      <c r="M243" s="6" t="s">
        <v>32</v>
      </c>
      <c r="N243" s="6">
        <v>3.25</v>
      </c>
      <c r="O243" s="4" t="str">
        <f t="shared" si="3"/>
        <v>Good</v>
      </c>
      <c r="P243" s="6">
        <v>13</v>
      </c>
    </row>
    <row r="244" spans="1:16" x14ac:dyDescent="0.3">
      <c r="A244" s="6" t="s">
        <v>541</v>
      </c>
      <c r="B244" s="6">
        <v>33</v>
      </c>
      <c r="C244" s="6" t="s">
        <v>25</v>
      </c>
      <c r="D244" s="6" t="s">
        <v>55</v>
      </c>
      <c r="E244" s="6" t="s">
        <v>18</v>
      </c>
      <c r="F244" s="6">
        <v>1243</v>
      </c>
      <c r="G244" s="6">
        <v>57050.02</v>
      </c>
      <c r="H244" s="7">
        <v>40481</v>
      </c>
      <c r="I244" s="6" t="s">
        <v>35</v>
      </c>
      <c r="J244" s="6" t="s">
        <v>542</v>
      </c>
      <c r="K244" s="6" t="s">
        <v>37</v>
      </c>
      <c r="L244" s="6" t="s">
        <v>38</v>
      </c>
      <c r="M244" s="6" t="s">
        <v>39</v>
      </c>
      <c r="N244" s="6">
        <v>1.29</v>
      </c>
      <c r="O244" s="4" t="str">
        <f t="shared" si="3"/>
        <v>Poor</v>
      </c>
      <c r="P244" s="6">
        <v>130</v>
      </c>
    </row>
    <row r="245" spans="1:16" x14ac:dyDescent="0.3">
      <c r="A245" s="6" t="s">
        <v>543</v>
      </c>
      <c r="B245" s="6">
        <v>56</v>
      </c>
      <c r="C245" s="6" t="s">
        <v>62</v>
      </c>
      <c r="D245" s="6" t="s">
        <v>69</v>
      </c>
      <c r="E245" s="6" t="s">
        <v>18</v>
      </c>
      <c r="F245" s="6">
        <v>1244</v>
      </c>
      <c r="G245" s="6">
        <v>85831.32</v>
      </c>
      <c r="H245" s="7">
        <v>36953</v>
      </c>
      <c r="I245" s="6" t="s">
        <v>41</v>
      </c>
      <c r="J245" s="6" t="s">
        <v>544</v>
      </c>
      <c r="K245" s="6" t="s">
        <v>43</v>
      </c>
      <c r="L245" s="6" t="s">
        <v>44</v>
      </c>
      <c r="M245" s="6" t="s">
        <v>45</v>
      </c>
      <c r="N245" s="6">
        <v>4.91</v>
      </c>
      <c r="O245" s="4" t="str">
        <f t="shared" si="3"/>
        <v>Excellent</v>
      </c>
      <c r="P245" s="6">
        <v>51</v>
      </c>
    </row>
    <row r="246" spans="1:16" x14ac:dyDescent="0.3">
      <c r="A246" s="6" t="s">
        <v>545</v>
      </c>
      <c r="B246" s="6">
        <v>27</v>
      </c>
      <c r="C246" s="6" t="s">
        <v>25</v>
      </c>
      <c r="D246" s="6" t="s">
        <v>55</v>
      </c>
      <c r="E246" s="6" t="s">
        <v>34</v>
      </c>
      <c r="F246" s="6">
        <v>1245</v>
      </c>
      <c r="G246" s="6">
        <v>92977.95</v>
      </c>
      <c r="H246" s="7">
        <v>40455</v>
      </c>
      <c r="I246" s="6" t="s">
        <v>49</v>
      </c>
      <c r="J246" s="6" t="s">
        <v>546</v>
      </c>
      <c r="K246" s="6" t="s">
        <v>51</v>
      </c>
      <c r="L246" s="6" t="s">
        <v>52</v>
      </c>
      <c r="M246" s="6" t="s">
        <v>53</v>
      </c>
      <c r="N246" s="6">
        <v>4.5199999999999996</v>
      </c>
      <c r="O246" s="4" t="str">
        <f t="shared" si="3"/>
        <v>Excellent</v>
      </c>
      <c r="P246" s="6">
        <v>57</v>
      </c>
    </row>
    <row r="247" spans="1:16" x14ac:dyDescent="0.3">
      <c r="A247" s="6" t="s">
        <v>547</v>
      </c>
      <c r="B247" s="6">
        <v>38</v>
      </c>
      <c r="C247" s="6" t="s">
        <v>62</v>
      </c>
      <c r="D247" s="6" t="s">
        <v>55</v>
      </c>
      <c r="E247" s="6" t="s">
        <v>34</v>
      </c>
      <c r="F247" s="6">
        <v>1246</v>
      </c>
      <c r="G247" s="6">
        <v>168191.05</v>
      </c>
      <c r="H247" s="7">
        <v>40526</v>
      </c>
      <c r="I247" s="6" t="s">
        <v>56</v>
      </c>
      <c r="J247" s="6" t="s">
        <v>548</v>
      </c>
      <c r="K247" s="6" t="s">
        <v>21</v>
      </c>
      <c r="L247" s="6" t="s">
        <v>22</v>
      </c>
      <c r="M247" s="6" t="s">
        <v>23</v>
      </c>
      <c r="N247" s="6">
        <v>4.92</v>
      </c>
      <c r="O247" s="4" t="str">
        <f t="shared" si="3"/>
        <v>Excellent</v>
      </c>
      <c r="P247" s="6">
        <v>115</v>
      </c>
    </row>
    <row r="248" spans="1:16" x14ac:dyDescent="0.3">
      <c r="A248" s="6" t="s">
        <v>549</v>
      </c>
      <c r="B248" s="6">
        <v>30</v>
      </c>
      <c r="C248" s="6" t="s">
        <v>25</v>
      </c>
      <c r="D248" s="6" t="s">
        <v>47</v>
      </c>
      <c r="E248" s="6" t="s">
        <v>27</v>
      </c>
      <c r="F248" s="6">
        <v>1247</v>
      </c>
      <c r="G248" s="6">
        <v>170068.4</v>
      </c>
      <c r="H248" s="7">
        <v>39821</v>
      </c>
      <c r="I248" s="6" t="s">
        <v>63</v>
      </c>
      <c r="J248" s="6" t="s">
        <v>550</v>
      </c>
      <c r="K248" s="6" t="s">
        <v>30</v>
      </c>
      <c r="L248" s="6" t="s">
        <v>31</v>
      </c>
      <c r="M248" s="6" t="s">
        <v>32</v>
      </c>
      <c r="N248" s="6">
        <v>4.5999999999999996</v>
      </c>
      <c r="O248" s="4" t="str">
        <f t="shared" si="3"/>
        <v>Excellent</v>
      </c>
      <c r="P248" s="6">
        <v>129</v>
      </c>
    </row>
    <row r="249" spans="1:16" x14ac:dyDescent="0.3">
      <c r="A249" s="6" t="s">
        <v>551</v>
      </c>
      <c r="B249" s="6">
        <v>23</v>
      </c>
      <c r="C249" s="6" t="s">
        <v>62</v>
      </c>
      <c r="D249" s="6" t="s">
        <v>26</v>
      </c>
      <c r="E249" s="6" t="s">
        <v>34</v>
      </c>
      <c r="F249" s="6">
        <v>1248</v>
      </c>
      <c r="G249" s="6">
        <v>106539.51</v>
      </c>
      <c r="H249" s="7">
        <v>43992</v>
      </c>
      <c r="I249" s="6" t="s">
        <v>66</v>
      </c>
      <c r="J249" s="6" t="s">
        <v>552</v>
      </c>
      <c r="K249" s="6" t="s">
        <v>37</v>
      </c>
      <c r="L249" s="6" t="s">
        <v>38</v>
      </c>
      <c r="M249" s="6" t="s">
        <v>39</v>
      </c>
      <c r="N249" s="6">
        <v>3.23</v>
      </c>
      <c r="O249" s="4" t="str">
        <f t="shared" si="3"/>
        <v>Good</v>
      </c>
      <c r="P249" s="6">
        <v>7</v>
      </c>
    </row>
    <row r="250" spans="1:16" x14ac:dyDescent="0.3">
      <c r="A250" s="6" t="s">
        <v>553</v>
      </c>
      <c r="B250" s="6">
        <v>39</v>
      </c>
      <c r="C250" s="6" t="s">
        <v>16</v>
      </c>
      <c r="D250" s="6" t="s">
        <v>55</v>
      </c>
      <c r="E250" s="6" t="s">
        <v>18</v>
      </c>
      <c r="F250" s="6">
        <v>1249</v>
      </c>
      <c r="G250" s="6">
        <v>53768.17</v>
      </c>
      <c r="H250" s="7">
        <v>36643</v>
      </c>
      <c r="I250" s="6" t="s">
        <v>70</v>
      </c>
      <c r="J250" s="6" t="s">
        <v>554</v>
      </c>
      <c r="K250" s="6" t="s">
        <v>43</v>
      </c>
      <c r="L250" s="6" t="s">
        <v>44</v>
      </c>
      <c r="M250" s="6" t="s">
        <v>45</v>
      </c>
      <c r="N250" s="6">
        <v>4.59</v>
      </c>
      <c r="O250" s="4" t="str">
        <f t="shared" si="3"/>
        <v>Excellent</v>
      </c>
      <c r="P250" s="6">
        <v>11</v>
      </c>
    </row>
    <row r="251" spans="1:16" x14ac:dyDescent="0.3">
      <c r="A251" s="6" t="s">
        <v>555</v>
      </c>
      <c r="B251" s="6">
        <v>57</v>
      </c>
      <c r="C251" s="6" t="s">
        <v>16</v>
      </c>
      <c r="D251" s="6" t="s">
        <v>55</v>
      </c>
      <c r="E251" s="6" t="s">
        <v>34</v>
      </c>
      <c r="F251" s="6">
        <v>1250</v>
      </c>
      <c r="G251" s="6">
        <v>120671.16</v>
      </c>
      <c r="H251" s="7">
        <v>38895</v>
      </c>
      <c r="I251" s="6" t="s">
        <v>73</v>
      </c>
      <c r="J251" s="6" t="s">
        <v>556</v>
      </c>
      <c r="K251" s="6" t="s">
        <v>51</v>
      </c>
      <c r="L251" s="6" t="s">
        <v>52</v>
      </c>
      <c r="M251" s="6" t="s">
        <v>53</v>
      </c>
      <c r="N251" s="6">
        <v>1.94</v>
      </c>
      <c r="O251" s="4" t="str">
        <f t="shared" si="3"/>
        <v>Poor</v>
      </c>
      <c r="P251" s="6">
        <v>177</v>
      </c>
    </row>
    <row r="252" spans="1:16" x14ac:dyDescent="0.3">
      <c r="A252" s="6" t="s">
        <v>557</v>
      </c>
      <c r="B252" s="6">
        <v>49</v>
      </c>
      <c r="C252" s="6" t="s">
        <v>25</v>
      </c>
      <c r="D252" s="6" t="s">
        <v>17</v>
      </c>
      <c r="E252" s="6" t="s">
        <v>34</v>
      </c>
      <c r="F252" s="6">
        <v>1251</v>
      </c>
      <c r="G252" s="6">
        <v>184784.51</v>
      </c>
      <c r="H252" s="7">
        <v>41070</v>
      </c>
      <c r="I252" s="6" t="s">
        <v>19</v>
      </c>
      <c r="J252" s="6" t="s">
        <v>558</v>
      </c>
      <c r="K252" s="6" t="s">
        <v>21</v>
      </c>
      <c r="L252" s="6" t="s">
        <v>22</v>
      </c>
      <c r="M252" s="6" t="s">
        <v>23</v>
      </c>
      <c r="N252" s="6">
        <v>4.5199999999999996</v>
      </c>
      <c r="O252" s="4" t="str">
        <f t="shared" si="3"/>
        <v>Excellent</v>
      </c>
      <c r="P252" s="6">
        <v>92</v>
      </c>
    </row>
    <row r="253" spans="1:16" x14ac:dyDescent="0.3">
      <c r="A253" s="6" t="s">
        <v>559</v>
      </c>
      <c r="B253" s="6">
        <v>62</v>
      </c>
      <c r="C253" s="6" t="s">
        <v>62</v>
      </c>
      <c r="D253" s="6" t="s">
        <v>55</v>
      </c>
      <c r="E253" s="6" t="s">
        <v>34</v>
      </c>
      <c r="F253" s="6">
        <v>1252</v>
      </c>
      <c r="G253" s="6">
        <v>159433.12</v>
      </c>
      <c r="H253" s="7">
        <v>38190</v>
      </c>
      <c r="I253" s="6" t="s">
        <v>28</v>
      </c>
      <c r="J253" s="6" t="s">
        <v>560</v>
      </c>
      <c r="K253" s="6" t="s">
        <v>30</v>
      </c>
      <c r="L253" s="6" t="s">
        <v>31</v>
      </c>
      <c r="M253" s="6" t="s">
        <v>32</v>
      </c>
      <c r="N253" s="6">
        <v>2.62</v>
      </c>
      <c r="O253" s="4" t="str">
        <f t="shared" si="3"/>
        <v>Average</v>
      </c>
      <c r="P253" s="6">
        <v>56</v>
      </c>
    </row>
    <row r="254" spans="1:16" x14ac:dyDescent="0.3">
      <c r="A254" s="6" t="s">
        <v>561</v>
      </c>
      <c r="B254" s="6">
        <v>58</v>
      </c>
      <c r="C254" s="6" t="s">
        <v>16</v>
      </c>
      <c r="D254" s="6" t="s">
        <v>26</v>
      </c>
      <c r="E254" s="6" t="s">
        <v>27</v>
      </c>
      <c r="F254" s="6">
        <v>1253</v>
      </c>
      <c r="G254" s="6">
        <v>61498.81</v>
      </c>
      <c r="H254" s="7">
        <v>37832</v>
      </c>
      <c r="I254" s="6" t="s">
        <v>35</v>
      </c>
      <c r="J254" s="6" t="s">
        <v>562</v>
      </c>
      <c r="K254" s="6" t="s">
        <v>37</v>
      </c>
      <c r="L254" s="6" t="s">
        <v>38</v>
      </c>
      <c r="M254" s="6" t="s">
        <v>39</v>
      </c>
      <c r="N254" s="6">
        <v>2.25</v>
      </c>
      <c r="O254" s="4" t="str">
        <f t="shared" si="3"/>
        <v>Average</v>
      </c>
      <c r="P254" s="6">
        <v>119</v>
      </c>
    </row>
    <row r="255" spans="1:16" x14ac:dyDescent="0.3">
      <c r="A255" s="6" t="s">
        <v>563</v>
      </c>
      <c r="B255" s="6">
        <v>47</v>
      </c>
      <c r="C255" s="6" t="s">
        <v>62</v>
      </c>
      <c r="D255" s="6" t="s">
        <v>17</v>
      </c>
      <c r="E255" s="6" t="s">
        <v>80</v>
      </c>
      <c r="F255" s="6">
        <v>1254</v>
      </c>
      <c r="G255" s="6">
        <v>151849.89000000001</v>
      </c>
      <c r="H255" s="7">
        <v>36751</v>
      </c>
      <c r="I255" s="6" t="s">
        <v>41</v>
      </c>
      <c r="J255" s="6" t="s">
        <v>564</v>
      </c>
      <c r="K255" s="6" t="s">
        <v>43</v>
      </c>
      <c r="L255" s="6" t="s">
        <v>44</v>
      </c>
      <c r="M255" s="6" t="s">
        <v>45</v>
      </c>
      <c r="N255" s="6">
        <v>4.92</v>
      </c>
      <c r="O255" s="4" t="str">
        <f t="shared" si="3"/>
        <v>Excellent</v>
      </c>
      <c r="P255" s="6">
        <v>81</v>
      </c>
    </row>
    <row r="256" spans="1:16" x14ac:dyDescent="0.3">
      <c r="A256" s="6" t="s">
        <v>565</v>
      </c>
      <c r="B256" s="6">
        <v>25</v>
      </c>
      <c r="C256" s="6" t="s">
        <v>25</v>
      </c>
      <c r="D256" s="6" t="s">
        <v>69</v>
      </c>
      <c r="E256" s="6" t="s">
        <v>18</v>
      </c>
      <c r="F256" s="6">
        <v>1255</v>
      </c>
      <c r="G256" s="6">
        <v>138610.54</v>
      </c>
      <c r="H256" s="7">
        <v>39727</v>
      </c>
      <c r="I256" s="6" t="s">
        <v>49</v>
      </c>
      <c r="J256" s="6" t="s">
        <v>566</v>
      </c>
      <c r="K256" s="6" t="s">
        <v>51</v>
      </c>
      <c r="L256" s="6" t="s">
        <v>52</v>
      </c>
      <c r="M256" s="6" t="s">
        <v>53</v>
      </c>
      <c r="N256" s="6">
        <v>1.92</v>
      </c>
      <c r="O256" s="4" t="str">
        <f t="shared" si="3"/>
        <v>Poor</v>
      </c>
      <c r="P256" s="6">
        <v>92</v>
      </c>
    </row>
    <row r="257" spans="1:16" x14ac:dyDescent="0.3">
      <c r="A257" s="6" t="s">
        <v>567</v>
      </c>
      <c r="B257" s="6">
        <v>61</v>
      </c>
      <c r="C257" s="6" t="s">
        <v>62</v>
      </c>
      <c r="D257" s="6" t="s">
        <v>69</v>
      </c>
      <c r="E257" s="6" t="s">
        <v>18</v>
      </c>
      <c r="F257" s="6">
        <v>1256</v>
      </c>
      <c r="G257" s="6">
        <v>177443.98</v>
      </c>
      <c r="H257" s="7">
        <v>42056</v>
      </c>
      <c r="I257" s="6" t="s">
        <v>56</v>
      </c>
      <c r="J257" s="6" t="s">
        <v>568</v>
      </c>
      <c r="K257" s="6" t="s">
        <v>21</v>
      </c>
      <c r="L257" s="6" t="s">
        <v>22</v>
      </c>
      <c r="M257" s="6" t="s">
        <v>23</v>
      </c>
      <c r="N257" s="6">
        <v>4.38</v>
      </c>
      <c r="O257" s="4" t="str">
        <f t="shared" si="3"/>
        <v>Excellent</v>
      </c>
      <c r="P257" s="6">
        <v>122</v>
      </c>
    </row>
    <row r="258" spans="1:16" x14ac:dyDescent="0.3">
      <c r="A258" s="6" t="s">
        <v>569</v>
      </c>
      <c r="B258" s="6">
        <v>57</v>
      </c>
      <c r="C258" s="6" t="s">
        <v>62</v>
      </c>
      <c r="D258" s="6" t="s">
        <v>55</v>
      </c>
      <c r="E258" s="6" t="s">
        <v>27</v>
      </c>
      <c r="F258" s="6">
        <v>1257</v>
      </c>
      <c r="G258" s="6">
        <v>120788.75</v>
      </c>
      <c r="H258" s="7">
        <v>43089</v>
      </c>
      <c r="I258" s="6" t="s">
        <v>63</v>
      </c>
      <c r="J258" s="6" t="s">
        <v>570</v>
      </c>
      <c r="K258" s="6" t="s">
        <v>30</v>
      </c>
      <c r="L258" s="6" t="s">
        <v>31</v>
      </c>
      <c r="M258" s="6" t="s">
        <v>32</v>
      </c>
      <c r="N258" s="6">
        <v>2.34</v>
      </c>
      <c r="O258" s="4" t="str">
        <f t="shared" si="3"/>
        <v>Average</v>
      </c>
      <c r="P258" s="6">
        <v>126</v>
      </c>
    </row>
    <row r="259" spans="1:16" x14ac:dyDescent="0.3">
      <c r="A259" s="6" t="s">
        <v>571</v>
      </c>
      <c r="B259" s="6">
        <v>52</v>
      </c>
      <c r="C259" s="6" t="s">
        <v>25</v>
      </c>
      <c r="D259" s="6" t="s">
        <v>26</v>
      </c>
      <c r="E259" s="6" t="s">
        <v>48</v>
      </c>
      <c r="F259" s="6">
        <v>1258</v>
      </c>
      <c r="G259" s="6">
        <v>86559.05</v>
      </c>
      <c r="H259" s="7">
        <v>41816</v>
      </c>
      <c r="I259" s="6" t="s">
        <v>66</v>
      </c>
      <c r="J259" s="6" t="s">
        <v>572</v>
      </c>
      <c r="K259" s="6" t="s">
        <v>37</v>
      </c>
      <c r="L259" s="6" t="s">
        <v>38</v>
      </c>
      <c r="M259" s="6" t="s">
        <v>39</v>
      </c>
      <c r="N259" s="6">
        <v>1.42</v>
      </c>
      <c r="O259" s="4" t="str">
        <f t="shared" ref="O259:O322" si="4">IF(N259&gt;=4,"Excellent",IF(N259&gt;=3,"Good",IF(N259&gt;=2,"Average","Poor")))</f>
        <v>Poor</v>
      </c>
      <c r="P259" s="6">
        <v>167</v>
      </c>
    </row>
    <row r="260" spans="1:16" x14ac:dyDescent="0.3">
      <c r="A260" s="6" t="s">
        <v>573</v>
      </c>
      <c r="B260" s="6">
        <v>51</v>
      </c>
      <c r="C260" s="6" t="s">
        <v>16</v>
      </c>
      <c r="D260" s="6" t="s">
        <v>55</v>
      </c>
      <c r="E260" s="6" t="s">
        <v>80</v>
      </c>
      <c r="F260" s="6">
        <v>1259</v>
      </c>
      <c r="G260" s="6">
        <v>178608.16</v>
      </c>
      <c r="H260" s="7">
        <v>36617</v>
      </c>
      <c r="I260" s="6" t="s">
        <v>70</v>
      </c>
      <c r="J260" s="6" t="s">
        <v>574</v>
      </c>
      <c r="K260" s="6" t="s">
        <v>43</v>
      </c>
      <c r="L260" s="6" t="s">
        <v>44</v>
      </c>
      <c r="M260" s="6" t="s">
        <v>45</v>
      </c>
      <c r="N260" s="6">
        <v>1.1299999999999999</v>
      </c>
      <c r="O260" s="4" t="str">
        <f t="shared" si="4"/>
        <v>Poor</v>
      </c>
      <c r="P260" s="6">
        <v>172</v>
      </c>
    </row>
    <row r="261" spans="1:16" x14ac:dyDescent="0.3">
      <c r="A261" s="6" t="s">
        <v>575</v>
      </c>
      <c r="B261" s="6">
        <v>55</v>
      </c>
      <c r="C261" s="6" t="s">
        <v>25</v>
      </c>
      <c r="D261" s="6" t="s">
        <v>69</v>
      </c>
      <c r="E261" s="6" t="s">
        <v>27</v>
      </c>
      <c r="F261" s="6">
        <v>1260</v>
      </c>
      <c r="G261" s="6">
        <v>164742.84</v>
      </c>
      <c r="H261" s="7">
        <v>44418</v>
      </c>
      <c r="I261" s="6" t="s">
        <v>73</v>
      </c>
      <c r="J261" s="6" t="s">
        <v>576</v>
      </c>
      <c r="K261" s="6" t="s">
        <v>51</v>
      </c>
      <c r="L261" s="6" t="s">
        <v>52</v>
      </c>
      <c r="M261" s="6" t="s">
        <v>53</v>
      </c>
      <c r="N261" s="6">
        <v>3.79</v>
      </c>
      <c r="O261" s="4" t="str">
        <f t="shared" si="4"/>
        <v>Good</v>
      </c>
      <c r="P261" s="6">
        <v>45</v>
      </c>
    </row>
    <row r="262" spans="1:16" x14ac:dyDescent="0.3">
      <c r="A262" s="6" t="s">
        <v>577</v>
      </c>
      <c r="B262" s="6">
        <v>40</v>
      </c>
      <c r="C262" s="6" t="s">
        <v>62</v>
      </c>
      <c r="D262" s="6" t="s">
        <v>55</v>
      </c>
      <c r="E262" s="6" t="s">
        <v>18</v>
      </c>
      <c r="F262" s="6">
        <v>1261</v>
      </c>
      <c r="G262" s="6">
        <v>148731.92000000001</v>
      </c>
      <c r="H262" s="7">
        <v>42945</v>
      </c>
      <c r="I262" s="6" t="s">
        <v>19</v>
      </c>
      <c r="J262" s="6" t="s">
        <v>578</v>
      </c>
      <c r="K262" s="6" t="s">
        <v>21</v>
      </c>
      <c r="L262" s="6" t="s">
        <v>22</v>
      </c>
      <c r="M262" s="6" t="s">
        <v>23</v>
      </c>
      <c r="N262" s="6">
        <v>1.34</v>
      </c>
      <c r="O262" s="4" t="str">
        <f t="shared" si="4"/>
        <v>Poor</v>
      </c>
      <c r="P262" s="6">
        <v>75</v>
      </c>
    </row>
    <row r="263" spans="1:16" x14ac:dyDescent="0.3">
      <c r="A263" s="6" t="s">
        <v>579</v>
      </c>
      <c r="B263" s="6">
        <v>39</v>
      </c>
      <c r="C263" s="6" t="s">
        <v>25</v>
      </c>
      <c r="D263" s="6" t="s">
        <v>55</v>
      </c>
      <c r="E263" s="6" t="s">
        <v>34</v>
      </c>
      <c r="F263" s="6">
        <v>1262</v>
      </c>
      <c r="G263" s="6">
        <v>54169.54</v>
      </c>
      <c r="H263" s="7">
        <v>37943</v>
      </c>
      <c r="I263" s="6" t="s">
        <v>28</v>
      </c>
      <c r="J263" s="6" t="s">
        <v>580</v>
      </c>
      <c r="K263" s="6" t="s">
        <v>30</v>
      </c>
      <c r="L263" s="6" t="s">
        <v>31</v>
      </c>
      <c r="M263" s="6" t="s">
        <v>32</v>
      </c>
      <c r="N263" s="6">
        <v>2.98</v>
      </c>
      <c r="O263" s="4" t="str">
        <f t="shared" si="4"/>
        <v>Average</v>
      </c>
      <c r="P263" s="6">
        <v>118</v>
      </c>
    </row>
    <row r="264" spans="1:16" x14ac:dyDescent="0.3">
      <c r="A264" s="6" t="s">
        <v>581</v>
      </c>
      <c r="B264" s="6">
        <v>51</v>
      </c>
      <c r="C264" s="6" t="s">
        <v>25</v>
      </c>
      <c r="D264" s="6" t="s">
        <v>69</v>
      </c>
      <c r="E264" s="6" t="s">
        <v>27</v>
      </c>
      <c r="F264" s="6">
        <v>1263</v>
      </c>
      <c r="G264" s="6">
        <v>111304.76</v>
      </c>
      <c r="H264" s="7">
        <v>39539</v>
      </c>
      <c r="I264" s="6" t="s">
        <v>35</v>
      </c>
      <c r="J264" s="6" t="s">
        <v>582</v>
      </c>
      <c r="K264" s="6" t="s">
        <v>37</v>
      </c>
      <c r="L264" s="6" t="s">
        <v>38</v>
      </c>
      <c r="M264" s="6" t="s">
        <v>39</v>
      </c>
      <c r="N264" s="6">
        <v>2.54</v>
      </c>
      <c r="O264" s="4" t="str">
        <f t="shared" si="4"/>
        <v>Average</v>
      </c>
      <c r="P264" s="6">
        <v>30</v>
      </c>
    </row>
    <row r="265" spans="1:16" x14ac:dyDescent="0.3">
      <c r="A265" s="6" t="s">
        <v>583</v>
      </c>
      <c r="B265" s="6">
        <v>42</v>
      </c>
      <c r="C265" s="6" t="s">
        <v>62</v>
      </c>
      <c r="D265" s="6" t="s">
        <v>69</v>
      </c>
      <c r="E265" s="6" t="s">
        <v>48</v>
      </c>
      <c r="F265" s="6">
        <v>1264</v>
      </c>
      <c r="G265" s="6">
        <v>70896.56</v>
      </c>
      <c r="H265" s="7">
        <v>39389</v>
      </c>
      <c r="I265" s="6" t="s">
        <v>41</v>
      </c>
      <c r="J265" s="6" t="s">
        <v>584</v>
      </c>
      <c r="K265" s="6" t="s">
        <v>43</v>
      </c>
      <c r="L265" s="6" t="s">
        <v>44</v>
      </c>
      <c r="M265" s="6" t="s">
        <v>45</v>
      </c>
      <c r="N265" s="6">
        <v>4.12</v>
      </c>
      <c r="O265" s="4" t="str">
        <f t="shared" si="4"/>
        <v>Excellent</v>
      </c>
      <c r="P265" s="6">
        <v>28</v>
      </c>
    </row>
    <row r="266" spans="1:16" x14ac:dyDescent="0.3">
      <c r="A266" s="6" t="s">
        <v>585</v>
      </c>
      <c r="B266" s="6">
        <v>24</v>
      </c>
      <c r="C266" s="6" t="s">
        <v>25</v>
      </c>
      <c r="D266" s="6" t="s">
        <v>17</v>
      </c>
      <c r="E266" s="6" t="s">
        <v>27</v>
      </c>
      <c r="F266" s="6">
        <v>1265</v>
      </c>
      <c r="G266" s="6">
        <v>119251.38</v>
      </c>
      <c r="H266" s="7">
        <v>39532</v>
      </c>
      <c r="I266" s="6" t="s">
        <v>49</v>
      </c>
      <c r="J266" s="6" t="s">
        <v>586</v>
      </c>
      <c r="K266" s="6" t="s">
        <v>51</v>
      </c>
      <c r="L266" s="6" t="s">
        <v>52</v>
      </c>
      <c r="M266" s="6" t="s">
        <v>53</v>
      </c>
      <c r="N266" s="6">
        <v>2.78</v>
      </c>
      <c r="O266" s="4" t="str">
        <f t="shared" si="4"/>
        <v>Average</v>
      </c>
      <c r="P266" s="6">
        <v>29</v>
      </c>
    </row>
    <row r="267" spans="1:16" x14ac:dyDescent="0.3">
      <c r="A267" s="6" t="s">
        <v>587</v>
      </c>
      <c r="B267" s="6">
        <v>27</v>
      </c>
      <c r="C267" s="6" t="s">
        <v>16</v>
      </c>
      <c r="D267" s="6" t="s">
        <v>17</v>
      </c>
      <c r="E267" s="6" t="s">
        <v>48</v>
      </c>
      <c r="F267" s="6">
        <v>1266</v>
      </c>
      <c r="G267" s="6">
        <v>185497.47</v>
      </c>
      <c r="H267" s="7">
        <v>44080</v>
      </c>
      <c r="I267" s="6" t="s">
        <v>56</v>
      </c>
      <c r="J267" s="6" t="s">
        <v>588</v>
      </c>
      <c r="K267" s="6" t="s">
        <v>21</v>
      </c>
      <c r="L267" s="6" t="s">
        <v>22</v>
      </c>
      <c r="M267" s="6" t="s">
        <v>23</v>
      </c>
      <c r="N267" s="6">
        <v>3.7</v>
      </c>
      <c r="O267" s="4" t="str">
        <f t="shared" si="4"/>
        <v>Good</v>
      </c>
      <c r="P267" s="6">
        <v>85</v>
      </c>
    </row>
    <row r="268" spans="1:16" x14ac:dyDescent="0.3">
      <c r="A268" s="6" t="s">
        <v>589</v>
      </c>
      <c r="B268" s="6">
        <v>59</v>
      </c>
      <c r="C268" s="6" t="s">
        <v>16</v>
      </c>
      <c r="D268" s="6" t="s">
        <v>26</v>
      </c>
      <c r="E268" s="6" t="s">
        <v>27</v>
      </c>
      <c r="F268" s="6">
        <v>1267</v>
      </c>
      <c r="G268" s="6">
        <v>76888.94</v>
      </c>
      <c r="H268" s="7">
        <v>44685</v>
      </c>
      <c r="I268" s="6" t="s">
        <v>63</v>
      </c>
      <c r="J268" s="6" t="s">
        <v>590</v>
      </c>
      <c r="K268" s="6" t="s">
        <v>30</v>
      </c>
      <c r="L268" s="6" t="s">
        <v>31</v>
      </c>
      <c r="M268" s="6" t="s">
        <v>32</v>
      </c>
      <c r="N268" s="6">
        <v>3.35</v>
      </c>
      <c r="O268" s="4" t="str">
        <f t="shared" si="4"/>
        <v>Good</v>
      </c>
      <c r="P268" s="6">
        <v>97</v>
      </c>
    </row>
    <row r="269" spans="1:16" x14ac:dyDescent="0.3">
      <c r="A269" s="6" t="s">
        <v>591</v>
      </c>
      <c r="B269" s="6">
        <v>34</v>
      </c>
      <c r="C269" s="6" t="s">
        <v>25</v>
      </c>
      <c r="D269" s="6" t="s">
        <v>26</v>
      </c>
      <c r="E269" s="6" t="s">
        <v>48</v>
      </c>
      <c r="F269" s="6">
        <v>1268</v>
      </c>
      <c r="G269" s="6">
        <v>111964.28</v>
      </c>
      <c r="H269" s="7">
        <v>39455</v>
      </c>
      <c r="I269" s="6" t="s">
        <v>66</v>
      </c>
      <c r="J269" s="6" t="s">
        <v>592</v>
      </c>
      <c r="K269" s="6" t="s">
        <v>37</v>
      </c>
      <c r="L269" s="6" t="s">
        <v>38</v>
      </c>
      <c r="M269" s="6" t="s">
        <v>39</v>
      </c>
      <c r="N269" s="6">
        <v>1.8</v>
      </c>
      <c r="O269" s="4" t="str">
        <f t="shared" si="4"/>
        <v>Poor</v>
      </c>
      <c r="P269" s="6">
        <v>118</v>
      </c>
    </row>
    <row r="270" spans="1:16" x14ac:dyDescent="0.3">
      <c r="A270" s="6" t="s">
        <v>593</v>
      </c>
      <c r="B270" s="6">
        <v>24</v>
      </c>
      <c r="C270" s="6" t="s">
        <v>62</v>
      </c>
      <c r="D270" s="6" t="s">
        <v>69</v>
      </c>
      <c r="E270" s="6" t="s">
        <v>27</v>
      </c>
      <c r="F270" s="6">
        <v>1269</v>
      </c>
      <c r="G270" s="6">
        <v>99758.57</v>
      </c>
      <c r="H270" s="7">
        <v>41842</v>
      </c>
      <c r="I270" s="6" t="s">
        <v>70</v>
      </c>
      <c r="J270" s="6" t="s">
        <v>594</v>
      </c>
      <c r="K270" s="6" t="s">
        <v>43</v>
      </c>
      <c r="L270" s="6" t="s">
        <v>44</v>
      </c>
      <c r="M270" s="6" t="s">
        <v>45</v>
      </c>
      <c r="N270" s="6">
        <v>4.7</v>
      </c>
      <c r="O270" s="4" t="str">
        <f t="shared" si="4"/>
        <v>Excellent</v>
      </c>
      <c r="P270" s="6">
        <v>186</v>
      </c>
    </row>
    <row r="271" spans="1:16" x14ac:dyDescent="0.3">
      <c r="A271" s="6" t="s">
        <v>595</v>
      </c>
      <c r="B271" s="6">
        <v>49</v>
      </c>
      <c r="C271" s="6" t="s">
        <v>25</v>
      </c>
      <c r="D271" s="6" t="s">
        <v>26</v>
      </c>
      <c r="E271" s="6" t="s">
        <v>48</v>
      </c>
      <c r="F271" s="6">
        <v>1270</v>
      </c>
      <c r="G271" s="6">
        <v>54618.06</v>
      </c>
      <c r="H271" s="7">
        <v>38013</v>
      </c>
      <c r="I271" s="6" t="s">
        <v>73</v>
      </c>
      <c r="J271" s="6" t="s">
        <v>596</v>
      </c>
      <c r="K271" s="6" t="s">
        <v>51</v>
      </c>
      <c r="L271" s="6" t="s">
        <v>52</v>
      </c>
      <c r="M271" s="6" t="s">
        <v>53</v>
      </c>
      <c r="N271" s="6">
        <v>1.48</v>
      </c>
      <c r="O271" s="4" t="str">
        <f t="shared" si="4"/>
        <v>Poor</v>
      </c>
      <c r="P271" s="6">
        <v>158</v>
      </c>
    </row>
    <row r="272" spans="1:16" x14ac:dyDescent="0.3">
      <c r="A272" s="6" t="s">
        <v>597</v>
      </c>
      <c r="B272" s="6">
        <v>43</v>
      </c>
      <c r="C272" s="6" t="s">
        <v>25</v>
      </c>
      <c r="D272" s="6" t="s">
        <v>26</v>
      </c>
      <c r="E272" s="6" t="s">
        <v>48</v>
      </c>
      <c r="F272" s="6">
        <v>1271</v>
      </c>
      <c r="G272" s="6">
        <v>74378.06</v>
      </c>
      <c r="H272" s="7">
        <v>43623</v>
      </c>
      <c r="I272" s="6" t="s">
        <v>19</v>
      </c>
      <c r="J272" s="6" t="s">
        <v>598</v>
      </c>
      <c r="K272" s="6" t="s">
        <v>21</v>
      </c>
      <c r="L272" s="6" t="s">
        <v>22</v>
      </c>
      <c r="M272" s="6" t="s">
        <v>23</v>
      </c>
      <c r="N272" s="6">
        <v>2.87</v>
      </c>
      <c r="O272" s="4" t="str">
        <f t="shared" si="4"/>
        <v>Average</v>
      </c>
      <c r="P272" s="6">
        <v>123</v>
      </c>
    </row>
    <row r="273" spans="1:16" x14ac:dyDescent="0.3">
      <c r="A273" s="6" t="s">
        <v>599</v>
      </c>
      <c r="B273" s="6">
        <v>61</v>
      </c>
      <c r="C273" s="6" t="s">
        <v>16</v>
      </c>
      <c r="D273" s="6" t="s">
        <v>17</v>
      </c>
      <c r="E273" s="6" t="s">
        <v>27</v>
      </c>
      <c r="F273" s="6">
        <v>1272</v>
      </c>
      <c r="G273" s="6">
        <v>115673.3</v>
      </c>
      <c r="H273" s="7">
        <v>42031</v>
      </c>
      <c r="I273" s="6" t="s">
        <v>28</v>
      </c>
      <c r="J273" s="6" t="s">
        <v>600</v>
      </c>
      <c r="K273" s="6" t="s">
        <v>30</v>
      </c>
      <c r="L273" s="6" t="s">
        <v>31</v>
      </c>
      <c r="M273" s="6" t="s">
        <v>32</v>
      </c>
      <c r="N273" s="6">
        <v>2.97</v>
      </c>
      <c r="O273" s="4" t="str">
        <f t="shared" si="4"/>
        <v>Average</v>
      </c>
      <c r="P273" s="6">
        <v>50</v>
      </c>
    </row>
    <row r="274" spans="1:16" x14ac:dyDescent="0.3">
      <c r="A274" s="6" t="s">
        <v>601</v>
      </c>
      <c r="B274" s="6">
        <v>61</v>
      </c>
      <c r="C274" s="6" t="s">
        <v>16</v>
      </c>
      <c r="D274" s="6" t="s">
        <v>69</v>
      </c>
      <c r="E274" s="6" t="s">
        <v>18</v>
      </c>
      <c r="F274" s="6">
        <v>1273</v>
      </c>
      <c r="G274" s="6">
        <v>169588.36</v>
      </c>
      <c r="H274" s="7">
        <v>39089</v>
      </c>
      <c r="I274" s="6" t="s">
        <v>35</v>
      </c>
      <c r="J274" s="6" t="s">
        <v>602</v>
      </c>
      <c r="K274" s="6" t="s">
        <v>37</v>
      </c>
      <c r="L274" s="6" t="s">
        <v>38</v>
      </c>
      <c r="M274" s="6" t="s">
        <v>39</v>
      </c>
      <c r="N274" s="6">
        <v>3.08</v>
      </c>
      <c r="O274" s="4" t="str">
        <f t="shared" si="4"/>
        <v>Good</v>
      </c>
      <c r="P274" s="6">
        <v>68</v>
      </c>
    </row>
    <row r="275" spans="1:16" x14ac:dyDescent="0.3">
      <c r="A275" s="6" t="s">
        <v>603</v>
      </c>
      <c r="B275" s="6">
        <v>33</v>
      </c>
      <c r="C275" s="6" t="s">
        <v>62</v>
      </c>
      <c r="D275" s="6" t="s">
        <v>17</v>
      </c>
      <c r="E275" s="6" t="s">
        <v>27</v>
      </c>
      <c r="F275" s="6">
        <v>1274</v>
      </c>
      <c r="G275" s="6">
        <v>88571.34</v>
      </c>
      <c r="H275" s="7">
        <v>39654</v>
      </c>
      <c r="I275" s="6" t="s">
        <v>41</v>
      </c>
      <c r="J275" s="6" t="s">
        <v>604</v>
      </c>
      <c r="K275" s="6" t="s">
        <v>43</v>
      </c>
      <c r="L275" s="6" t="s">
        <v>44</v>
      </c>
      <c r="M275" s="6" t="s">
        <v>45</v>
      </c>
      <c r="N275" s="6">
        <v>3.7</v>
      </c>
      <c r="O275" s="4" t="str">
        <f t="shared" si="4"/>
        <v>Good</v>
      </c>
      <c r="P275" s="6">
        <v>176</v>
      </c>
    </row>
    <row r="276" spans="1:16" x14ac:dyDescent="0.3">
      <c r="A276" s="6" t="s">
        <v>605</v>
      </c>
      <c r="B276" s="6">
        <v>44</v>
      </c>
      <c r="C276" s="6" t="s">
        <v>62</v>
      </c>
      <c r="D276" s="6" t="s">
        <v>55</v>
      </c>
      <c r="E276" s="6" t="s">
        <v>18</v>
      </c>
      <c r="F276" s="6">
        <v>1275</v>
      </c>
      <c r="G276" s="6">
        <v>142590.68</v>
      </c>
      <c r="H276" s="7">
        <v>40820</v>
      </c>
      <c r="I276" s="6" t="s">
        <v>49</v>
      </c>
      <c r="J276" s="6" t="s">
        <v>606</v>
      </c>
      <c r="K276" s="6" t="s">
        <v>51</v>
      </c>
      <c r="L276" s="6" t="s">
        <v>52</v>
      </c>
      <c r="M276" s="6" t="s">
        <v>53</v>
      </c>
      <c r="N276" s="6">
        <v>1.07</v>
      </c>
      <c r="O276" s="4" t="str">
        <f t="shared" si="4"/>
        <v>Poor</v>
      </c>
      <c r="P276" s="6">
        <v>76</v>
      </c>
    </row>
    <row r="277" spans="1:16" x14ac:dyDescent="0.3">
      <c r="A277" s="6" t="s">
        <v>607</v>
      </c>
      <c r="B277" s="6">
        <v>52</v>
      </c>
      <c r="C277" s="6" t="s">
        <v>62</v>
      </c>
      <c r="D277" s="6" t="s">
        <v>69</v>
      </c>
      <c r="E277" s="6" t="s">
        <v>48</v>
      </c>
      <c r="F277" s="6">
        <v>1276</v>
      </c>
      <c r="G277" s="6">
        <v>109148.24</v>
      </c>
      <c r="H277" s="7">
        <v>42620</v>
      </c>
      <c r="I277" s="6" t="s">
        <v>56</v>
      </c>
      <c r="J277" s="6" t="s">
        <v>608</v>
      </c>
      <c r="K277" s="6" t="s">
        <v>21</v>
      </c>
      <c r="L277" s="6" t="s">
        <v>22</v>
      </c>
      <c r="M277" s="6" t="s">
        <v>23</v>
      </c>
      <c r="N277" s="6">
        <v>1.52</v>
      </c>
      <c r="O277" s="4" t="str">
        <f t="shared" si="4"/>
        <v>Poor</v>
      </c>
      <c r="P277" s="6">
        <v>23</v>
      </c>
    </row>
    <row r="278" spans="1:16" x14ac:dyDescent="0.3">
      <c r="A278" s="6" t="s">
        <v>609</v>
      </c>
      <c r="B278" s="6">
        <v>39</v>
      </c>
      <c r="C278" s="6" t="s">
        <v>25</v>
      </c>
      <c r="D278" s="6" t="s">
        <v>47</v>
      </c>
      <c r="E278" s="6" t="s">
        <v>27</v>
      </c>
      <c r="F278" s="6">
        <v>1277</v>
      </c>
      <c r="G278" s="6">
        <v>136160.51</v>
      </c>
      <c r="H278" s="7">
        <v>44582</v>
      </c>
      <c r="I278" s="6" t="s">
        <v>63</v>
      </c>
      <c r="J278" s="6" t="s">
        <v>610</v>
      </c>
      <c r="K278" s="6" t="s">
        <v>30</v>
      </c>
      <c r="L278" s="6" t="s">
        <v>31</v>
      </c>
      <c r="M278" s="6" t="s">
        <v>32</v>
      </c>
      <c r="N278" s="6">
        <v>2.83</v>
      </c>
      <c r="O278" s="4" t="str">
        <f t="shared" si="4"/>
        <v>Average</v>
      </c>
      <c r="P278" s="6">
        <v>74</v>
      </c>
    </row>
    <row r="279" spans="1:16" x14ac:dyDescent="0.3">
      <c r="A279" s="6" t="s">
        <v>611</v>
      </c>
      <c r="B279" s="6">
        <v>28</v>
      </c>
      <c r="C279" s="6" t="s">
        <v>25</v>
      </c>
      <c r="D279" s="6" t="s">
        <v>26</v>
      </c>
      <c r="E279" s="6" t="s">
        <v>48</v>
      </c>
      <c r="F279" s="6">
        <v>1278</v>
      </c>
      <c r="G279" s="6">
        <v>116788.28</v>
      </c>
      <c r="H279" s="7">
        <v>43498</v>
      </c>
      <c r="I279" s="6" t="s">
        <v>66</v>
      </c>
      <c r="J279" s="6" t="s">
        <v>612</v>
      </c>
      <c r="K279" s="6" t="s">
        <v>37</v>
      </c>
      <c r="L279" s="6" t="s">
        <v>38</v>
      </c>
      <c r="M279" s="6" t="s">
        <v>39</v>
      </c>
      <c r="N279" s="6">
        <v>2</v>
      </c>
      <c r="O279" s="4" t="str">
        <f t="shared" si="4"/>
        <v>Average</v>
      </c>
      <c r="P279" s="6">
        <v>56</v>
      </c>
    </row>
    <row r="280" spans="1:16" x14ac:dyDescent="0.3">
      <c r="A280" s="6" t="s">
        <v>613</v>
      </c>
      <c r="B280" s="6">
        <v>29</v>
      </c>
      <c r="C280" s="6" t="s">
        <v>25</v>
      </c>
      <c r="D280" s="6" t="s">
        <v>26</v>
      </c>
      <c r="E280" s="6" t="s">
        <v>18</v>
      </c>
      <c r="F280" s="6">
        <v>1279</v>
      </c>
      <c r="G280" s="6">
        <v>161981.01</v>
      </c>
      <c r="H280" s="7">
        <v>42540</v>
      </c>
      <c r="I280" s="6" t="s">
        <v>70</v>
      </c>
      <c r="J280" s="6" t="s">
        <v>614</v>
      </c>
      <c r="K280" s="6" t="s">
        <v>43</v>
      </c>
      <c r="L280" s="6" t="s">
        <v>44</v>
      </c>
      <c r="M280" s="6" t="s">
        <v>45</v>
      </c>
      <c r="N280" s="6">
        <v>1.4</v>
      </c>
      <c r="O280" s="4" t="str">
        <f t="shared" si="4"/>
        <v>Poor</v>
      </c>
      <c r="P280" s="6">
        <v>18</v>
      </c>
    </row>
    <row r="281" spans="1:16" x14ac:dyDescent="0.3">
      <c r="A281" s="6" t="s">
        <v>615</v>
      </c>
      <c r="B281" s="6">
        <v>40</v>
      </c>
      <c r="C281" s="6" t="s">
        <v>25</v>
      </c>
      <c r="D281" s="6" t="s">
        <v>69</v>
      </c>
      <c r="E281" s="6" t="s">
        <v>27</v>
      </c>
      <c r="F281" s="6">
        <v>1280</v>
      </c>
      <c r="G281" s="6">
        <v>103253.23</v>
      </c>
      <c r="H281" s="7">
        <v>38898</v>
      </c>
      <c r="I281" s="6" t="s">
        <v>73</v>
      </c>
      <c r="J281" s="6" t="s">
        <v>616</v>
      </c>
      <c r="K281" s="6" t="s">
        <v>51</v>
      </c>
      <c r="L281" s="6" t="s">
        <v>52</v>
      </c>
      <c r="M281" s="6" t="s">
        <v>53</v>
      </c>
      <c r="N281" s="6">
        <v>3.34</v>
      </c>
      <c r="O281" s="4" t="str">
        <f t="shared" si="4"/>
        <v>Good</v>
      </c>
      <c r="P281" s="6">
        <v>151</v>
      </c>
    </row>
    <row r="282" spans="1:16" x14ac:dyDescent="0.3">
      <c r="A282" s="6" t="s">
        <v>617</v>
      </c>
      <c r="B282" s="6">
        <v>50</v>
      </c>
      <c r="C282" s="6" t="s">
        <v>62</v>
      </c>
      <c r="D282" s="6" t="s">
        <v>47</v>
      </c>
      <c r="E282" s="6" t="s">
        <v>27</v>
      </c>
      <c r="F282" s="6">
        <v>1281</v>
      </c>
      <c r="G282" s="6">
        <v>193535.9</v>
      </c>
      <c r="H282" s="7">
        <v>42922</v>
      </c>
      <c r="I282" s="6" t="s">
        <v>19</v>
      </c>
      <c r="J282" s="6" t="s">
        <v>618</v>
      </c>
      <c r="K282" s="6" t="s">
        <v>21</v>
      </c>
      <c r="L282" s="6" t="s">
        <v>22</v>
      </c>
      <c r="M282" s="6" t="s">
        <v>23</v>
      </c>
      <c r="N282" s="6">
        <v>3.48</v>
      </c>
      <c r="O282" s="4" t="str">
        <f t="shared" si="4"/>
        <v>Good</v>
      </c>
      <c r="P282" s="6">
        <v>199</v>
      </c>
    </row>
    <row r="283" spans="1:16" x14ac:dyDescent="0.3">
      <c r="A283" s="6" t="s">
        <v>619</v>
      </c>
      <c r="B283" s="6">
        <v>41</v>
      </c>
      <c r="C283" s="6" t="s">
        <v>62</v>
      </c>
      <c r="D283" s="6" t="s">
        <v>69</v>
      </c>
      <c r="E283" s="6" t="s">
        <v>27</v>
      </c>
      <c r="F283" s="6">
        <v>1282</v>
      </c>
      <c r="G283" s="6">
        <v>126059.32</v>
      </c>
      <c r="H283" s="7">
        <v>41321</v>
      </c>
      <c r="I283" s="6" t="s">
        <v>28</v>
      </c>
      <c r="J283" s="6" t="s">
        <v>620</v>
      </c>
      <c r="K283" s="6" t="s">
        <v>30</v>
      </c>
      <c r="L283" s="6" t="s">
        <v>31</v>
      </c>
      <c r="M283" s="6" t="s">
        <v>32</v>
      </c>
      <c r="N283" s="6">
        <v>2.0099999999999998</v>
      </c>
      <c r="O283" s="4" t="str">
        <f t="shared" si="4"/>
        <v>Average</v>
      </c>
      <c r="P283" s="6">
        <v>80</v>
      </c>
    </row>
    <row r="284" spans="1:16" x14ac:dyDescent="0.3">
      <c r="A284" s="6" t="s">
        <v>621</v>
      </c>
      <c r="B284" s="6">
        <v>63</v>
      </c>
      <c r="C284" s="6" t="s">
        <v>62</v>
      </c>
      <c r="D284" s="6" t="s">
        <v>26</v>
      </c>
      <c r="E284" s="6" t="s">
        <v>80</v>
      </c>
      <c r="F284" s="6">
        <v>1283</v>
      </c>
      <c r="G284" s="6">
        <v>76570.59</v>
      </c>
      <c r="H284" s="7">
        <v>38789</v>
      </c>
      <c r="I284" s="6" t="s">
        <v>35</v>
      </c>
      <c r="J284" s="6" t="s">
        <v>622</v>
      </c>
      <c r="K284" s="6" t="s">
        <v>37</v>
      </c>
      <c r="L284" s="6" t="s">
        <v>38</v>
      </c>
      <c r="M284" s="6" t="s">
        <v>39</v>
      </c>
      <c r="N284" s="6">
        <v>4.0999999999999996</v>
      </c>
      <c r="O284" s="4" t="str">
        <f t="shared" si="4"/>
        <v>Excellent</v>
      </c>
      <c r="P284" s="6">
        <v>104</v>
      </c>
    </row>
    <row r="285" spans="1:16" x14ac:dyDescent="0.3">
      <c r="A285" s="6" t="s">
        <v>623</v>
      </c>
      <c r="B285" s="6">
        <v>51</v>
      </c>
      <c r="C285" s="6" t="s">
        <v>25</v>
      </c>
      <c r="D285" s="6" t="s">
        <v>26</v>
      </c>
      <c r="E285" s="6" t="s">
        <v>18</v>
      </c>
      <c r="F285" s="6">
        <v>1284</v>
      </c>
      <c r="G285" s="6">
        <v>149758.34</v>
      </c>
      <c r="H285" s="7">
        <v>41493</v>
      </c>
      <c r="I285" s="6" t="s">
        <v>41</v>
      </c>
      <c r="J285" s="6" t="s">
        <v>624</v>
      </c>
      <c r="K285" s="6" t="s">
        <v>43</v>
      </c>
      <c r="L285" s="6" t="s">
        <v>44</v>
      </c>
      <c r="M285" s="6" t="s">
        <v>45</v>
      </c>
      <c r="N285" s="6">
        <v>4.8</v>
      </c>
      <c r="O285" s="4" t="str">
        <f t="shared" si="4"/>
        <v>Excellent</v>
      </c>
      <c r="P285" s="6">
        <v>20</v>
      </c>
    </row>
    <row r="286" spans="1:16" x14ac:dyDescent="0.3">
      <c r="A286" s="6" t="s">
        <v>625</v>
      </c>
      <c r="B286" s="6">
        <v>43</v>
      </c>
      <c r="C286" s="6" t="s">
        <v>25</v>
      </c>
      <c r="D286" s="6" t="s">
        <v>69</v>
      </c>
      <c r="E286" s="6" t="s">
        <v>48</v>
      </c>
      <c r="F286" s="6">
        <v>1285</v>
      </c>
      <c r="G286" s="6">
        <v>108352.06</v>
      </c>
      <c r="H286" s="7">
        <v>41908</v>
      </c>
      <c r="I286" s="6" t="s">
        <v>49</v>
      </c>
      <c r="J286" s="6" t="s">
        <v>626</v>
      </c>
      <c r="K286" s="6" t="s">
        <v>51</v>
      </c>
      <c r="L286" s="6" t="s">
        <v>52</v>
      </c>
      <c r="M286" s="6" t="s">
        <v>53</v>
      </c>
      <c r="N286" s="6">
        <v>1.3</v>
      </c>
      <c r="O286" s="4" t="str">
        <f t="shared" si="4"/>
        <v>Poor</v>
      </c>
      <c r="P286" s="6">
        <v>91</v>
      </c>
    </row>
    <row r="287" spans="1:16" x14ac:dyDescent="0.3">
      <c r="A287" s="6" t="s">
        <v>627</v>
      </c>
      <c r="B287" s="6">
        <v>31</v>
      </c>
      <c r="C287" s="6" t="s">
        <v>62</v>
      </c>
      <c r="D287" s="6" t="s">
        <v>55</v>
      </c>
      <c r="E287" s="6" t="s">
        <v>48</v>
      </c>
      <c r="F287" s="6">
        <v>1286</v>
      </c>
      <c r="G287" s="6">
        <v>57802.47</v>
      </c>
      <c r="H287" s="7">
        <v>44482</v>
      </c>
      <c r="I287" s="6" t="s">
        <v>56</v>
      </c>
      <c r="J287" s="6" t="s">
        <v>628</v>
      </c>
      <c r="K287" s="6" t="s">
        <v>21</v>
      </c>
      <c r="L287" s="6" t="s">
        <v>22</v>
      </c>
      <c r="M287" s="6" t="s">
        <v>23</v>
      </c>
      <c r="N287" s="6">
        <v>4.5999999999999996</v>
      </c>
      <c r="O287" s="4" t="str">
        <f t="shared" si="4"/>
        <v>Excellent</v>
      </c>
      <c r="P287" s="6">
        <v>88</v>
      </c>
    </row>
    <row r="288" spans="1:16" x14ac:dyDescent="0.3">
      <c r="A288" s="6" t="s">
        <v>629</v>
      </c>
      <c r="B288" s="6">
        <v>47</v>
      </c>
      <c r="C288" s="6" t="s">
        <v>16</v>
      </c>
      <c r="D288" s="6" t="s">
        <v>17</v>
      </c>
      <c r="E288" s="6" t="s">
        <v>27</v>
      </c>
      <c r="F288" s="6">
        <v>1287</v>
      </c>
      <c r="G288" s="6">
        <v>97920.11</v>
      </c>
      <c r="H288" s="7">
        <v>39831</v>
      </c>
      <c r="I288" s="6" t="s">
        <v>63</v>
      </c>
      <c r="J288" s="6" t="s">
        <v>630</v>
      </c>
      <c r="K288" s="6" t="s">
        <v>30</v>
      </c>
      <c r="L288" s="6" t="s">
        <v>31</v>
      </c>
      <c r="M288" s="6" t="s">
        <v>32</v>
      </c>
      <c r="N288" s="6">
        <v>4.4400000000000004</v>
      </c>
      <c r="O288" s="4" t="str">
        <f t="shared" si="4"/>
        <v>Excellent</v>
      </c>
      <c r="P288" s="6">
        <v>108</v>
      </c>
    </row>
    <row r="289" spans="1:16" x14ac:dyDescent="0.3">
      <c r="A289" s="6" t="s">
        <v>631</v>
      </c>
      <c r="B289" s="6">
        <v>54</v>
      </c>
      <c r="C289" s="6" t="s">
        <v>62</v>
      </c>
      <c r="D289" s="6" t="s">
        <v>69</v>
      </c>
      <c r="E289" s="6" t="s">
        <v>34</v>
      </c>
      <c r="F289" s="6">
        <v>1288</v>
      </c>
      <c r="G289" s="6">
        <v>177253.69</v>
      </c>
      <c r="H289" s="7">
        <v>38383</v>
      </c>
      <c r="I289" s="6" t="s">
        <v>66</v>
      </c>
      <c r="J289" s="6" t="s">
        <v>632</v>
      </c>
      <c r="K289" s="6" t="s">
        <v>37</v>
      </c>
      <c r="L289" s="6" t="s">
        <v>38</v>
      </c>
      <c r="M289" s="6" t="s">
        <v>39</v>
      </c>
      <c r="N289" s="6">
        <v>2.56</v>
      </c>
      <c r="O289" s="4" t="str">
        <f t="shared" si="4"/>
        <v>Average</v>
      </c>
      <c r="P289" s="6">
        <v>60</v>
      </c>
    </row>
    <row r="290" spans="1:16" x14ac:dyDescent="0.3">
      <c r="A290" s="6" t="s">
        <v>633</v>
      </c>
      <c r="B290" s="6">
        <v>49</v>
      </c>
      <c r="C290" s="6" t="s">
        <v>25</v>
      </c>
      <c r="D290" s="6" t="s">
        <v>55</v>
      </c>
      <c r="E290" s="6" t="s">
        <v>34</v>
      </c>
      <c r="F290" s="6">
        <v>1289</v>
      </c>
      <c r="G290" s="6">
        <v>122504.48</v>
      </c>
      <c r="H290" s="7">
        <v>40546</v>
      </c>
      <c r="I290" s="6" t="s">
        <v>70</v>
      </c>
      <c r="J290" s="6" t="s">
        <v>634</v>
      </c>
      <c r="K290" s="6" t="s">
        <v>43</v>
      </c>
      <c r="L290" s="6" t="s">
        <v>44</v>
      </c>
      <c r="M290" s="6" t="s">
        <v>45</v>
      </c>
      <c r="N290" s="6">
        <v>2.6</v>
      </c>
      <c r="O290" s="4" t="str">
        <f t="shared" si="4"/>
        <v>Average</v>
      </c>
      <c r="P290" s="6">
        <v>115</v>
      </c>
    </row>
    <row r="291" spans="1:16" x14ac:dyDescent="0.3">
      <c r="A291" s="6" t="s">
        <v>635</v>
      </c>
      <c r="B291" s="6">
        <v>31</v>
      </c>
      <c r="C291" s="6" t="s">
        <v>25</v>
      </c>
      <c r="D291" s="6" t="s">
        <v>47</v>
      </c>
      <c r="E291" s="6" t="s">
        <v>80</v>
      </c>
      <c r="F291" s="6">
        <v>1290</v>
      </c>
      <c r="G291" s="6">
        <v>111005.18</v>
      </c>
      <c r="H291" s="7">
        <v>41301</v>
      </c>
      <c r="I291" s="6" t="s">
        <v>73</v>
      </c>
      <c r="J291" s="6" t="s">
        <v>636</v>
      </c>
      <c r="K291" s="6" t="s">
        <v>51</v>
      </c>
      <c r="L291" s="6" t="s">
        <v>52</v>
      </c>
      <c r="M291" s="6" t="s">
        <v>53</v>
      </c>
      <c r="N291" s="6">
        <v>3.41</v>
      </c>
      <c r="O291" s="4" t="str">
        <f t="shared" si="4"/>
        <v>Good</v>
      </c>
      <c r="P291" s="6">
        <v>85</v>
      </c>
    </row>
    <row r="292" spans="1:16" x14ac:dyDescent="0.3">
      <c r="A292" s="6" t="s">
        <v>637</v>
      </c>
      <c r="B292" s="6">
        <v>50</v>
      </c>
      <c r="C292" s="6" t="s">
        <v>62</v>
      </c>
      <c r="D292" s="6" t="s">
        <v>26</v>
      </c>
      <c r="E292" s="6" t="s">
        <v>48</v>
      </c>
      <c r="F292" s="6">
        <v>1291</v>
      </c>
      <c r="G292" s="6">
        <v>186870.01</v>
      </c>
      <c r="H292" s="7">
        <v>44617</v>
      </c>
      <c r="I292" s="6" t="s">
        <v>19</v>
      </c>
      <c r="J292" s="6" t="s">
        <v>638</v>
      </c>
      <c r="K292" s="6" t="s">
        <v>21</v>
      </c>
      <c r="L292" s="6" t="s">
        <v>22</v>
      </c>
      <c r="M292" s="6" t="s">
        <v>23</v>
      </c>
      <c r="N292" s="6">
        <v>3.94</v>
      </c>
      <c r="O292" s="4" t="str">
        <f t="shared" si="4"/>
        <v>Good</v>
      </c>
      <c r="P292" s="6">
        <v>178</v>
      </c>
    </row>
    <row r="293" spans="1:16" x14ac:dyDescent="0.3">
      <c r="A293" s="6" t="s">
        <v>639</v>
      </c>
      <c r="B293" s="6">
        <v>39</v>
      </c>
      <c r="C293" s="6" t="s">
        <v>16</v>
      </c>
      <c r="D293" s="6" t="s">
        <v>26</v>
      </c>
      <c r="E293" s="6" t="s">
        <v>27</v>
      </c>
      <c r="F293" s="6">
        <v>1292</v>
      </c>
      <c r="G293" s="6">
        <v>144259.57</v>
      </c>
      <c r="H293" s="7">
        <v>42779</v>
      </c>
      <c r="I293" s="6" t="s">
        <v>28</v>
      </c>
      <c r="J293" s="6" t="s">
        <v>640</v>
      </c>
      <c r="K293" s="6" t="s">
        <v>30</v>
      </c>
      <c r="L293" s="6" t="s">
        <v>31</v>
      </c>
      <c r="M293" s="6" t="s">
        <v>32</v>
      </c>
      <c r="N293" s="6">
        <v>1.92</v>
      </c>
      <c r="O293" s="4" t="str">
        <f t="shared" si="4"/>
        <v>Poor</v>
      </c>
      <c r="P293" s="6">
        <v>182</v>
      </c>
    </row>
    <row r="294" spans="1:16" x14ac:dyDescent="0.3">
      <c r="A294" s="6" t="s">
        <v>641</v>
      </c>
      <c r="B294" s="6">
        <v>63</v>
      </c>
      <c r="C294" s="6" t="s">
        <v>16</v>
      </c>
      <c r="D294" s="6" t="s">
        <v>69</v>
      </c>
      <c r="E294" s="6" t="s">
        <v>80</v>
      </c>
      <c r="F294" s="6">
        <v>1293</v>
      </c>
      <c r="G294" s="6">
        <v>102472.05</v>
      </c>
      <c r="H294" s="7">
        <v>38191</v>
      </c>
      <c r="I294" s="6" t="s">
        <v>35</v>
      </c>
      <c r="J294" s="6" t="s">
        <v>642</v>
      </c>
      <c r="K294" s="6" t="s">
        <v>37</v>
      </c>
      <c r="L294" s="6" t="s">
        <v>38</v>
      </c>
      <c r="M294" s="6" t="s">
        <v>39</v>
      </c>
      <c r="N294" s="6">
        <v>2.0499999999999998</v>
      </c>
      <c r="O294" s="4" t="str">
        <f t="shared" si="4"/>
        <v>Average</v>
      </c>
      <c r="P294" s="6">
        <v>174</v>
      </c>
    </row>
    <row r="295" spans="1:16" x14ac:dyDescent="0.3">
      <c r="A295" s="6" t="s">
        <v>643</v>
      </c>
      <c r="B295" s="6">
        <v>22</v>
      </c>
      <c r="C295" s="6" t="s">
        <v>25</v>
      </c>
      <c r="D295" s="6" t="s">
        <v>47</v>
      </c>
      <c r="E295" s="6" t="s">
        <v>27</v>
      </c>
      <c r="F295" s="6">
        <v>1294</v>
      </c>
      <c r="G295" s="6">
        <v>133219.37</v>
      </c>
      <c r="H295" s="7">
        <v>41621</v>
      </c>
      <c r="I295" s="6" t="s">
        <v>41</v>
      </c>
      <c r="J295" s="6" t="s">
        <v>644</v>
      </c>
      <c r="K295" s="6" t="s">
        <v>43</v>
      </c>
      <c r="L295" s="6" t="s">
        <v>44</v>
      </c>
      <c r="M295" s="6" t="s">
        <v>45</v>
      </c>
      <c r="N295" s="6">
        <v>3.59</v>
      </c>
      <c r="O295" s="4" t="str">
        <f t="shared" si="4"/>
        <v>Good</v>
      </c>
      <c r="P295" s="6">
        <v>173</v>
      </c>
    </row>
    <row r="296" spans="1:16" x14ac:dyDescent="0.3">
      <c r="A296" s="6" t="s">
        <v>645</v>
      </c>
      <c r="B296" s="6">
        <v>44</v>
      </c>
      <c r="C296" s="6" t="s">
        <v>25</v>
      </c>
      <c r="D296" s="6" t="s">
        <v>69</v>
      </c>
      <c r="E296" s="6" t="s">
        <v>48</v>
      </c>
      <c r="F296" s="6">
        <v>1295</v>
      </c>
      <c r="G296" s="6">
        <v>113566.08</v>
      </c>
      <c r="H296" s="7">
        <v>40113</v>
      </c>
      <c r="I296" s="6" t="s">
        <v>49</v>
      </c>
      <c r="J296" s="6" t="s">
        <v>646</v>
      </c>
      <c r="K296" s="6" t="s">
        <v>51</v>
      </c>
      <c r="L296" s="6" t="s">
        <v>52</v>
      </c>
      <c r="M296" s="6" t="s">
        <v>53</v>
      </c>
      <c r="N296" s="6">
        <v>3.49</v>
      </c>
      <c r="O296" s="4" t="str">
        <f t="shared" si="4"/>
        <v>Good</v>
      </c>
      <c r="P296" s="6">
        <v>172</v>
      </c>
    </row>
    <row r="297" spans="1:16" x14ac:dyDescent="0.3">
      <c r="A297" s="6" t="s">
        <v>647</v>
      </c>
      <c r="B297" s="6">
        <v>38</v>
      </c>
      <c r="C297" s="6" t="s">
        <v>25</v>
      </c>
      <c r="D297" s="6" t="s">
        <v>17</v>
      </c>
      <c r="E297" s="6" t="s">
        <v>34</v>
      </c>
      <c r="F297" s="6">
        <v>1296</v>
      </c>
      <c r="G297" s="6">
        <v>98288.22</v>
      </c>
      <c r="H297" s="7">
        <v>38082</v>
      </c>
      <c r="I297" s="6" t="s">
        <v>56</v>
      </c>
      <c r="J297" s="6" t="s">
        <v>648</v>
      </c>
      <c r="K297" s="6" t="s">
        <v>21</v>
      </c>
      <c r="L297" s="6" t="s">
        <v>22</v>
      </c>
      <c r="M297" s="6" t="s">
        <v>23</v>
      </c>
      <c r="N297" s="6">
        <v>2.77</v>
      </c>
      <c r="O297" s="4" t="str">
        <f t="shared" si="4"/>
        <v>Average</v>
      </c>
      <c r="P297" s="6">
        <v>98</v>
      </c>
    </row>
    <row r="298" spans="1:16" x14ac:dyDescent="0.3">
      <c r="A298" s="6" t="s">
        <v>649</v>
      </c>
      <c r="B298" s="6">
        <v>64</v>
      </c>
      <c r="C298" s="6" t="s">
        <v>62</v>
      </c>
      <c r="D298" s="6" t="s">
        <v>69</v>
      </c>
      <c r="E298" s="6" t="s">
        <v>18</v>
      </c>
      <c r="F298" s="6">
        <v>1297</v>
      </c>
      <c r="G298" s="6">
        <v>140831.62</v>
      </c>
      <c r="H298" s="7">
        <v>41731</v>
      </c>
      <c r="I298" s="6" t="s">
        <v>63</v>
      </c>
      <c r="J298" s="6" t="s">
        <v>650</v>
      </c>
      <c r="K298" s="6" t="s">
        <v>30</v>
      </c>
      <c r="L298" s="6" t="s">
        <v>31</v>
      </c>
      <c r="M298" s="6" t="s">
        <v>32</v>
      </c>
      <c r="N298" s="6">
        <v>3.9</v>
      </c>
      <c r="O298" s="4" t="str">
        <f t="shared" si="4"/>
        <v>Good</v>
      </c>
      <c r="P298" s="6">
        <v>1</v>
      </c>
    </row>
    <row r="299" spans="1:16" x14ac:dyDescent="0.3">
      <c r="A299" s="6" t="s">
        <v>651</v>
      </c>
      <c r="B299" s="6">
        <v>58</v>
      </c>
      <c r="C299" s="6" t="s">
        <v>25</v>
      </c>
      <c r="D299" s="6" t="s">
        <v>26</v>
      </c>
      <c r="E299" s="6" t="s">
        <v>18</v>
      </c>
      <c r="F299" s="6">
        <v>1298</v>
      </c>
      <c r="G299" s="6">
        <v>197069.33</v>
      </c>
      <c r="H299" s="7">
        <v>38782</v>
      </c>
      <c r="I299" s="6" t="s">
        <v>66</v>
      </c>
      <c r="J299" s="6" t="s">
        <v>652</v>
      </c>
      <c r="K299" s="6" t="s">
        <v>37</v>
      </c>
      <c r="L299" s="6" t="s">
        <v>38</v>
      </c>
      <c r="M299" s="6" t="s">
        <v>39</v>
      </c>
      <c r="N299" s="6">
        <v>1.68</v>
      </c>
      <c r="O299" s="4" t="str">
        <f t="shared" si="4"/>
        <v>Poor</v>
      </c>
      <c r="P299" s="6">
        <v>107</v>
      </c>
    </row>
    <row r="300" spans="1:16" x14ac:dyDescent="0.3">
      <c r="A300" s="6" t="s">
        <v>653</v>
      </c>
      <c r="B300" s="6">
        <v>52</v>
      </c>
      <c r="C300" s="6" t="s">
        <v>25</v>
      </c>
      <c r="D300" s="6" t="s">
        <v>26</v>
      </c>
      <c r="E300" s="6" t="s">
        <v>27</v>
      </c>
      <c r="F300" s="6">
        <v>1299</v>
      </c>
      <c r="G300" s="6">
        <v>107681.22</v>
      </c>
      <c r="H300" s="7">
        <v>39480</v>
      </c>
      <c r="I300" s="6" t="s">
        <v>70</v>
      </c>
      <c r="J300" s="6" t="s">
        <v>654</v>
      </c>
      <c r="K300" s="6" t="s">
        <v>43</v>
      </c>
      <c r="L300" s="6" t="s">
        <v>44</v>
      </c>
      <c r="M300" s="6" t="s">
        <v>45</v>
      </c>
      <c r="N300" s="6">
        <v>4.7</v>
      </c>
      <c r="O300" s="4" t="str">
        <f t="shared" si="4"/>
        <v>Excellent</v>
      </c>
      <c r="P300" s="6">
        <v>93</v>
      </c>
    </row>
    <row r="301" spans="1:16" x14ac:dyDescent="0.3">
      <c r="A301" s="6" t="s">
        <v>655</v>
      </c>
      <c r="B301" s="6">
        <v>46</v>
      </c>
      <c r="C301" s="6" t="s">
        <v>25</v>
      </c>
      <c r="D301" s="6" t="s">
        <v>55</v>
      </c>
      <c r="E301" s="6" t="s">
        <v>80</v>
      </c>
      <c r="F301" s="6">
        <v>1300</v>
      </c>
      <c r="G301" s="6">
        <v>57746.52</v>
      </c>
      <c r="H301" s="7">
        <v>38638</v>
      </c>
      <c r="I301" s="6" t="s">
        <v>73</v>
      </c>
      <c r="J301" s="6" t="s">
        <v>656</v>
      </c>
      <c r="K301" s="6" t="s">
        <v>51</v>
      </c>
      <c r="L301" s="6" t="s">
        <v>52</v>
      </c>
      <c r="M301" s="6" t="s">
        <v>53</v>
      </c>
      <c r="N301" s="6">
        <v>3.62</v>
      </c>
      <c r="O301" s="4" t="str">
        <f t="shared" si="4"/>
        <v>Good</v>
      </c>
      <c r="P301" s="6">
        <v>136</v>
      </c>
    </row>
    <row r="302" spans="1:16" x14ac:dyDescent="0.3">
      <c r="A302" s="6" t="s">
        <v>657</v>
      </c>
      <c r="B302" s="6">
        <v>25</v>
      </c>
      <c r="C302" s="6" t="s">
        <v>16</v>
      </c>
      <c r="D302" s="6" t="s">
        <v>17</v>
      </c>
      <c r="E302" s="6" t="s">
        <v>18</v>
      </c>
      <c r="F302" s="6">
        <v>1301</v>
      </c>
      <c r="G302" s="6">
        <v>103918.72</v>
      </c>
      <c r="H302" s="7">
        <v>41611</v>
      </c>
      <c r="I302" s="6" t="s">
        <v>19</v>
      </c>
      <c r="J302" s="6" t="s">
        <v>658</v>
      </c>
      <c r="K302" s="6" t="s">
        <v>21</v>
      </c>
      <c r="L302" s="6" t="s">
        <v>22</v>
      </c>
      <c r="M302" s="6" t="s">
        <v>23</v>
      </c>
      <c r="N302" s="6">
        <v>1.88</v>
      </c>
      <c r="O302" s="4" t="str">
        <f t="shared" si="4"/>
        <v>Poor</v>
      </c>
      <c r="P302" s="6">
        <v>14</v>
      </c>
    </row>
    <row r="303" spans="1:16" x14ac:dyDescent="0.3">
      <c r="A303" s="6" t="s">
        <v>659</v>
      </c>
      <c r="B303" s="6">
        <v>30</v>
      </c>
      <c r="C303" s="6" t="s">
        <v>16</v>
      </c>
      <c r="D303" s="6" t="s">
        <v>55</v>
      </c>
      <c r="E303" s="6" t="s">
        <v>80</v>
      </c>
      <c r="F303" s="6">
        <v>1302</v>
      </c>
      <c r="G303" s="6">
        <v>83447.59</v>
      </c>
      <c r="H303" s="7">
        <v>37174</v>
      </c>
      <c r="I303" s="6" t="s">
        <v>28</v>
      </c>
      <c r="J303" s="6" t="s">
        <v>660</v>
      </c>
      <c r="K303" s="6" t="s">
        <v>30</v>
      </c>
      <c r="L303" s="6" t="s">
        <v>31</v>
      </c>
      <c r="M303" s="6" t="s">
        <v>32</v>
      </c>
      <c r="N303" s="6">
        <v>4.41</v>
      </c>
      <c r="O303" s="4" t="str">
        <f t="shared" si="4"/>
        <v>Excellent</v>
      </c>
      <c r="P303" s="6">
        <v>91</v>
      </c>
    </row>
    <row r="304" spans="1:16" x14ac:dyDescent="0.3">
      <c r="A304" s="6" t="s">
        <v>661</v>
      </c>
      <c r="B304" s="6">
        <v>49</v>
      </c>
      <c r="C304" s="6" t="s">
        <v>25</v>
      </c>
      <c r="D304" s="6" t="s">
        <v>17</v>
      </c>
      <c r="E304" s="6" t="s">
        <v>48</v>
      </c>
      <c r="F304" s="6">
        <v>1303</v>
      </c>
      <c r="G304" s="6">
        <v>101062.39999999999</v>
      </c>
      <c r="H304" s="7">
        <v>36630</v>
      </c>
      <c r="I304" s="6" t="s">
        <v>35</v>
      </c>
      <c r="J304" s="6" t="s">
        <v>662</v>
      </c>
      <c r="K304" s="6" t="s">
        <v>37</v>
      </c>
      <c r="L304" s="6" t="s">
        <v>38</v>
      </c>
      <c r="M304" s="6" t="s">
        <v>39</v>
      </c>
      <c r="N304" s="6">
        <v>1.89</v>
      </c>
      <c r="O304" s="4" t="str">
        <f t="shared" si="4"/>
        <v>Poor</v>
      </c>
      <c r="P304" s="6">
        <v>69</v>
      </c>
    </row>
    <row r="305" spans="1:16" x14ac:dyDescent="0.3">
      <c r="A305" s="6" t="s">
        <v>663</v>
      </c>
      <c r="B305" s="6">
        <v>51</v>
      </c>
      <c r="C305" s="6" t="s">
        <v>16</v>
      </c>
      <c r="D305" s="6" t="s">
        <v>26</v>
      </c>
      <c r="E305" s="6" t="s">
        <v>27</v>
      </c>
      <c r="F305" s="6">
        <v>1304</v>
      </c>
      <c r="G305" s="6">
        <v>126103.43</v>
      </c>
      <c r="H305" s="7">
        <v>43954</v>
      </c>
      <c r="I305" s="6" t="s">
        <v>41</v>
      </c>
      <c r="J305" s="6" t="s">
        <v>664</v>
      </c>
      <c r="K305" s="6" t="s">
        <v>43</v>
      </c>
      <c r="L305" s="6" t="s">
        <v>44</v>
      </c>
      <c r="M305" s="6" t="s">
        <v>45</v>
      </c>
      <c r="N305" s="6">
        <v>4.21</v>
      </c>
      <c r="O305" s="4" t="str">
        <f t="shared" si="4"/>
        <v>Excellent</v>
      </c>
      <c r="P305" s="6">
        <v>110</v>
      </c>
    </row>
    <row r="306" spans="1:16" x14ac:dyDescent="0.3">
      <c r="A306" s="6" t="s">
        <v>665</v>
      </c>
      <c r="B306" s="6">
        <v>45</v>
      </c>
      <c r="C306" s="6" t="s">
        <v>16</v>
      </c>
      <c r="D306" s="6" t="s">
        <v>69</v>
      </c>
      <c r="E306" s="6" t="s">
        <v>80</v>
      </c>
      <c r="F306" s="6">
        <v>1305</v>
      </c>
      <c r="G306" s="6">
        <v>60969.99</v>
      </c>
      <c r="H306" s="7">
        <v>40113</v>
      </c>
      <c r="I306" s="6" t="s">
        <v>49</v>
      </c>
      <c r="J306" s="6" t="s">
        <v>666</v>
      </c>
      <c r="K306" s="6" t="s">
        <v>51</v>
      </c>
      <c r="L306" s="6" t="s">
        <v>52</v>
      </c>
      <c r="M306" s="6" t="s">
        <v>53</v>
      </c>
      <c r="N306" s="6">
        <v>4.5</v>
      </c>
      <c r="O306" s="4" t="str">
        <f t="shared" si="4"/>
        <v>Excellent</v>
      </c>
      <c r="P306" s="6">
        <v>98</v>
      </c>
    </row>
    <row r="307" spans="1:16" x14ac:dyDescent="0.3">
      <c r="A307" s="6" t="s">
        <v>667</v>
      </c>
      <c r="B307" s="6">
        <v>54</v>
      </c>
      <c r="C307" s="6" t="s">
        <v>16</v>
      </c>
      <c r="D307" s="6" t="s">
        <v>26</v>
      </c>
      <c r="E307" s="6" t="s">
        <v>27</v>
      </c>
      <c r="F307" s="6">
        <v>1306</v>
      </c>
      <c r="G307" s="6">
        <v>63775.95</v>
      </c>
      <c r="H307" s="7">
        <v>42992</v>
      </c>
      <c r="I307" s="6" t="s">
        <v>56</v>
      </c>
      <c r="J307" s="6" t="s">
        <v>668</v>
      </c>
      <c r="K307" s="6" t="s">
        <v>21</v>
      </c>
      <c r="L307" s="6" t="s">
        <v>22</v>
      </c>
      <c r="M307" s="6" t="s">
        <v>23</v>
      </c>
      <c r="N307" s="6">
        <v>1.59</v>
      </c>
      <c r="O307" s="4" t="str">
        <f t="shared" si="4"/>
        <v>Poor</v>
      </c>
      <c r="P307" s="6">
        <v>175</v>
      </c>
    </row>
    <row r="308" spans="1:16" x14ac:dyDescent="0.3">
      <c r="A308" s="6" t="s">
        <v>669</v>
      </c>
      <c r="B308" s="6">
        <v>41</v>
      </c>
      <c r="C308" s="6" t="s">
        <v>16</v>
      </c>
      <c r="D308" s="6" t="s">
        <v>55</v>
      </c>
      <c r="E308" s="6" t="s">
        <v>18</v>
      </c>
      <c r="F308" s="6">
        <v>1307</v>
      </c>
      <c r="G308" s="6">
        <v>134329.53</v>
      </c>
      <c r="H308" s="7">
        <v>37811</v>
      </c>
      <c r="I308" s="6" t="s">
        <v>63</v>
      </c>
      <c r="J308" s="6" t="s">
        <v>670</v>
      </c>
      <c r="K308" s="6" t="s">
        <v>30</v>
      </c>
      <c r="L308" s="6" t="s">
        <v>31</v>
      </c>
      <c r="M308" s="6" t="s">
        <v>32</v>
      </c>
      <c r="N308" s="6">
        <v>1.71</v>
      </c>
      <c r="O308" s="4" t="str">
        <f t="shared" si="4"/>
        <v>Poor</v>
      </c>
      <c r="P308" s="6">
        <v>10</v>
      </c>
    </row>
    <row r="309" spans="1:16" x14ac:dyDescent="0.3">
      <c r="A309" s="6" t="s">
        <v>671</v>
      </c>
      <c r="B309" s="6">
        <v>30</v>
      </c>
      <c r="C309" s="6" t="s">
        <v>62</v>
      </c>
      <c r="D309" s="6" t="s">
        <v>55</v>
      </c>
      <c r="E309" s="6" t="s">
        <v>34</v>
      </c>
      <c r="F309" s="6">
        <v>1308</v>
      </c>
      <c r="G309" s="6">
        <v>180356.76</v>
      </c>
      <c r="H309" s="7">
        <v>39392</v>
      </c>
      <c r="I309" s="6" t="s">
        <v>66</v>
      </c>
      <c r="J309" s="6" t="s">
        <v>672</v>
      </c>
      <c r="K309" s="6" t="s">
        <v>37</v>
      </c>
      <c r="L309" s="6" t="s">
        <v>38</v>
      </c>
      <c r="M309" s="6" t="s">
        <v>39</v>
      </c>
      <c r="N309" s="6">
        <v>3.07</v>
      </c>
      <c r="O309" s="4" t="str">
        <f t="shared" si="4"/>
        <v>Good</v>
      </c>
      <c r="P309" s="6">
        <v>71</v>
      </c>
    </row>
    <row r="310" spans="1:16" x14ac:dyDescent="0.3">
      <c r="A310" s="6" t="s">
        <v>673</v>
      </c>
      <c r="B310" s="6">
        <v>29</v>
      </c>
      <c r="C310" s="6" t="s">
        <v>16</v>
      </c>
      <c r="D310" s="6" t="s">
        <v>69</v>
      </c>
      <c r="E310" s="6" t="s">
        <v>48</v>
      </c>
      <c r="F310" s="6">
        <v>1309</v>
      </c>
      <c r="G310" s="6">
        <v>119810.78</v>
      </c>
      <c r="H310" s="7">
        <v>43121</v>
      </c>
      <c r="I310" s="6" t="s">
        <v>70</v>
      </c>
      <c r="J310" s="6" t="s">
        <v>674</v>
      </c>
      <c r="K310" s="6" t="s">
        <v>43</v>
      </c>
      <c r="L310" s="6" t="s">
        <v>44</v>
      </c>
      <c r="M310" s="6" t="s">
        <v>45</v>
      </c>
      <c r="N310" s="6">
        <v>4.74</v>
      </c>
      <c r="O310" s="4" t="str">
        <f t="shared" si="4"/>
        <v>Excellent</v>
      </c>
      <c r="P310" s="6">
        <v>166</v>
      </c>
    </row>
    <row r="311" spans="1:16" x14ac:dyDescent="0.3">
      <c r="A311" s="6" t="s">
        <v>675</v>
      </c>
      <c r="B311" s="6">
        <v>45</v>
      </c>
      <c r="C311" s="6" t="s">
        <v>16</v>
      </c>
      <c r="D311" s="6" t="s">
        <v>47</v>
      </c>
      <c r="E311" s="6" t="s">
        <v>18</v>
      </c>
      <c r="F311" s="6">
        <v>1310</v>
      </c>
      <c r="G311" s="6">
        <v>77884.77</v>
      </c>
      <c r="H311" s="7">
        <v>40213</v>
      </c>
      <c r="I311" s="6" t="s">
        <v>73</v>
      </c>
      <c r="J311" s="6" t="s">
        <v>676</v>
      </c>
      <c r="K311" s="6" t="s">
        <v>51</v>
      </c>
      <c r="L311" s="6" t="s">
        <v>52</v>
      </c>
      <c r="M311" s="6" t="s">
        <v>53</v>
      </c>
      <c r="N311" s="6">
        <v>3.3</v>
      </c>
      <c r="O311" s="4" t="str">
        <f t="shared" si="4"/>
        <v>Good</v>
      </c>
      <c r="P311" s="6">
        <v>36</v>
      </c>
    </row>
    <row r="312" spans="1:16" x14ac:dyDescent="0.3">
      <c r="A312" s="6" t="s">
        <v>677</v>
      </c>
      <c r="B312" s="6">
        <v>35</v>
      </c>
      <c r="C312" s="6" t="s">
        <v>16</v>
      </c>
      <c r="D312" s="6" t="s">
        <v>26</v>
      </c>
      <c r="E312" s="6" t="s">
        <v>27</v>
      </c>
      <c r="F312" s="6">
        <v>1311</v>
      </c>
      <c r="G312" s="6">
        <v>189165.58</v>
      </c>
      <c r="H312" s="7">
        <v>44681</v>
      </c>
      <c r="I312" s="6" t="s">
        <v>19</v>
      </c>
      <c r="J312" s="6" t="s">
        <v>678</v>
      </c>
      <c r="K312" s="6" t="s">
        <v>21</v>
      </c>
      <c r="L312" s="6" t="s">
        <v>22</v>
      </c>
      <c r="M312" s="6" t="s">
        <v>23</v>
      </c>
      <c r="N312" s="6">
        <v>3.15</v>
      </c>
      <c r="O312" s="4" t="str">
        <f t="shared" si="4"/>
        <v>Good</v>
      </c>
      <c r="P312" s="6">
        <v>15</v>
      </c>
    </row>
    <row r="313" spans="1:16" x14ac:dyDescent="0.3">
      <c r="A313" s="6" t="s">
        <v>679</v>
      </c>
      <c r="B313" s="6">
        <v>39</v>
      </c>
      <c r="C313" s="6" t="s">
        <v>16</v>
      </c>
      <c r="D313" s="6" t="s">
        <v>55</v>
      </c>
      <c r="E313" s="6" t="s">
        <v>80</v>
      </c>
      <c r="F313" s="6">
        <v>1312</v>
      </c>
      <c r="G313" s="6">
        <v>146767.25</v>
      </c>
      <c r="H313" s="7">
        <v>37634</v>
      </c>
      <c r="I313" s="6" t="s">
        <v>28</v>
      </c>
      <c r="J313" s="6" t="s">
        <v>680</v>
      </c>
      <c r="K313" s="6" t="s">
        <v>30</v>
      </c>
      <c r="L313" s="6" t="s">
        <v>31</v>
      </c>
      <c r="M313" s="6" t="s">
        <v>32</v>
      </c>
      <c r="N313" s="6">
        <v>5</v>
      </c>
      <c r="O313" s="4" t="str">
        <f t="shared" si="4"/>
        <v>Excellent</v>
      </c>
      <c r="P313" s="6">
        <v>147</v>
      </c>
    </row>
    <row r="314" spans="1:16" x14ac:dyDescent="0.3">
      <c r="A314" s="6" t="s">
        <v>681</v>
      </c>
      <c r="B314" s="6">
        <v>22</v>
      </c>
      <c r="C314" s="6" t="s">
        <v>62</v>
      </c>
      <c r="D314" s="6" t="s">
        <v>47</v>
      </c>
      <c r="E314" s="6" t="s">
        <v>27</v>
      </c>
      <c r="F314" s="6">
        <v>1313</v>
      </c>
      <c r="G314" s="6">
        <v>144878.19</v>
      </c>
      <c r="H314" s="7">
        <v>39093</v>
      </c>
      <c r="I314" s="6" t="s">
        <v>35</v>
      </c>
      <c r="J314" s="6" t="s">
        <v>682</v>
      </c>
      <c r="K314" s="6" t="s">
        <v>37</v>
      </c>
      <c r="L314" s="6" t="s">
        <v>38</v>
      </c>
      <c r="M314" s="6" t="s">
        <v>39</v>
      </c>
      <c r="N314" s="6">
        <v>4.13</v>
      </c>
      <c r="O314" s="4" t="str">
        <f t="shared" si="4"/>
        <v>Excellent</v>
      </c>
      <c r="P314" s="6">
        <v>53</v>
      </c>
    </row>
    <row r="315" spans="1:16" x14ac:dyDescent="0.3">
      <c r="A315" s="6" t="s">
        <v>683</v>
      </c>
      <c r="B315" s="6">
        <v>33</v>
      </c>
      <c r="C315" s="6" t="s">
        <v>62</v>
      </c>
      <c r="D315" s="6" t="s">
        <v>47</v>
      </c>
      <c r="E315" s="6" t="s">
        <v>80</v>
      </c>
      <c r="F315" s="6">
        <v>1314</v>
      </c>
      <c r="G315" s="6">
        <v>169606.33</v>
      </c>
      <c r="H315" s="7">
        <v>42244</v>
      </c>
      <c r="I315" s="6" t="s">
        <v>41</v>
      </c>
      <c r="J315" s="6" t="s">
        <v>684</v>
      </c>
      <c r="K315" s="6" t="s">
        <v>43</v>
      </c>
      <c r="L315" s="6" t="s">
        <v>44</v>
      </c>
      <c r="M315" s="6" t="s">
        <v>45</v>
      </c>
      <c r="N315" s="6">
        <v>3.63</v>
      </c>
      <c r="O315" s="4" t="str">
        <f t="shared" si="4"/>
        <v>Good</v>
      </c>
      <c r="P315" s="6">
        <v>160</v>
      </c>
    </row>
    <row r="316" spans="1:16" x14ac:dyDescent="0.3">
      <c r="A316" s="6" t="s">
        <v>685</v>
      </c>
      <c r="B316" s="6">
        <v>50</v>
      </c>
      <c r="C316" s="6" t="s">
        <v>25</v>
      </c>
      <c r="D316" s="6" t="s">
        <v>26</v>
      </c>
      <c r="E316" s="6" t="s">
        <v>27</v>
      </c>
      <c r="F316" s="6">
        <v>1315</v>
      </c>
      <c r="G316" s="6">
        <v>127384</v>
      </c>
      <c r="H316" s="7">
        <v>40629</v>
      </c>
      <c r="I316" s="6" t="s">
        <v>49</v>
      </c>
      <c r="J316" s="6" t="s">
        <v>686</v>
      </c>
      <c r="K316" s="6" t="s">
        <v>51</v>
      </c>
      <c r="L316" s="6" t="s">
        <v>52</v>
      </c>
      <c r="M316" s="6" t="s">
        <v>53</v>
      </c>
      <c r="N316" s="6">
        <v>2.88</v>
      </c>
      <c r="O316" s="4" t="str">
        <f t="shared" si="4"/>
        <v>Average</v>
      </c>
      <c r="P316" s="6">
        <v>142</v>
      </c>
    </row>
    <row r="317" spans="1:16" x14ac:dyDescent="0.3">
      <c r="A317" s="6" t="s">
        <v>687</v>
      </c>
      <c r="B317" s="6">
        <v>58</v>
      </c>
      <c r="C317" s="6" t="s">
        <v>16</v>
      </c>
      <c r="D317" s="6" t="s">
        <v>55</v>
      </c>
      <c r="E317" s="6" t="s">
        <v>48</v>
      </c>
      <c r="F317" s="6">
        <v>1316</v>
      </c>
      <c r="G317" s="6">
        <v>184634.15</v>
      </c>
      <c r="H317" s="7">
        <v>43484</v>
      </c>
      <c r="I317" s="6" t="s">
        <v>56</v>
      </c>
      <c r="J317" s="6" t="s">
        <v>688</v>
      </c>
      <c r="K317" s="6" t="s">
        <v>21</v>
      </c>
      <c r="L317" s="6" t="s">
        <v>22</v>
      </c>
      <c r="M317" s="6" t="s">
        <v>23</v>
      </c>
      <c r="N317" s="6">
        <v>2.77</v>
      </c>
      <c r="O317" s="4" t="str">
        <f t="shared" si="4"/>
        <v>Average</v>
      </c>
      <c r="P317" s="6">
        <v>117</v>
      </c>
    </row>
    <row r="318" spans="1:16" x14ac:dyDescent="0.3">
      <c r="A318" s="6" t="s">
        <v>689</v>
      </c>
      <c r="B318" s="6">
        <v>47</v>
      </c>
      <c r="C318" s="6" t="s">
        <v>16</v>
      </c>
      <c r="D318" s="6" t="s">
        <v>47</v>
      </c>
      <c r="E318" s="6" t="s">
        <v>34</v>
      </c>
      <c r="F318" s="6">
        <v>1317</v>
      </c>
      <c r="G318" s="6">
        <v>95364.7</v>
      </c>
      <c r="H318" s="7">
        <v>41756</v>
      </c>
      <c r="I318" s="6" t="s">
        <v>63</v>
      </c>
      <c r="J318" s="6" t="s">
        <v>690</v>
      </c>
      <c r="K318" s="6" t="s">
        <v>30</v>
      </c>
      <c r="L318" s="6" t="s">
        <v>31</v>
      </c>
      <c r="M318" s="6" t="s">
        <v>32</v>
      </c>
      <c r="N318" s="6">
        <v>2.56</v>
      </c>
      <c r="O318" s="4" t="str">
        <f t="shared" si="4"/>
        <v>Average</v>
      </c>
      <c r="P318" s="6">
        <v>198</v>
      </c>
    </row>
    <row r="319" spans="1:16" x14ac:dyDescent="0.3">
      <c r="A319" s="6" t="s">
        <v>691</v>
      </c>
      <c r="B319" s="6">
        <v>54</v>
      </c>
      <c r="C319" s="6" t="s">
        <v>25</v>
      </c>
      <c r="D319" s="6" t="s">
        <v>55</v>
      </c>
      <c r="E319" s="6" t="s">
        <v>80</v>
      </c>
      <c r="F319" s="6">
        <v>1318</v>
      </c>
      <c r="G319" s="6">
        <v>190415.22</v>
      </c>
      <c r="H319" s="7">
        <v>42433</v>
      </c>
      <c r="I319" s="6" t="s">
        <v>66</v>
      </c>
      <c r="J319" s="6" t="s">
        <v>692</v>
      </c>
      <c r="K319" s="6" t="s">
        <v>37</v>
      </c>
      <c r="L319" s="6" t="s">
        <v>38</v>
      </c>
      <c r="M319" s="6" t="s">
        <v>39</v>
      </c>
      <c r="N319" s="6">
        <v>1.7</v>
      </c>
      <c r="O319" s="4" t="str">
        <f t="shared" si="4"/>
        <v>Poor</v>
      </c>
      <c r="P319" s="6">
        <v>84</v>
      </c>
    </row>
    <row r="320" spans="1:16" x14ac:dyDescent="0.3">
      <c r="A320" s="6" t="s">
        <v>693</v>
      </c>
      <c r="B320" s="6">
        <v>64</v>
      </c>
      <c r="C320" s="6" t="s">
        <v>62</v>
      </c>
      <c r="D320" s="6" t="s">
        <v>47</v>
      </c>
      <c r="E320" s="6" t="s">
        <v>18</v>
      </c>
      <c r="F320" s="6">
        <v>1319</v>
      </c>
      <c r="G320" s="6">
        <v>81866.41</v>
      </c>
      <c r="H320" s="7">
        <v>39461</v>
      </c>
      <c r="I320" s="6" t="s">
        <v>70</v>
      </c>
      <c r="J320" s="6" t="s">
        <v>694</v>
      </c>
      <c r="K320" s="6" t="s">
        <v>43</v>
      </c>
      <c r="L320" s="6" t="s">
        <v>44</v>
      </c>
      <c r="M320" s="6" t="s">
        <v>45</v>
      </c>
      <c r="N320" s="6">
        <v>1.18</v>
      </c>
      <c r="O320" s="4" t="str">
        <f t="shared" si="4"/>
        <v>Poor</v>
      </c>
      <c r="P320" s="6">
        <v>174</v>
      </c>
    </row>
    <row r="321" spans="1:16" x14ac:dyDescent="0.3">
      <c r="A321" s="6" t="s">
        <v>695</v>
      </c>
      <c r="B321" s="6">
        <v>36</v>
      </c>
      <c r="C321" s="6" t="s">
        <v>25</v>
      </c>
      <c r="D321" s="6" t="s">
        <v>26</v>
      </c>
      <c r="E321" s="6" t="s">
        <v>34</v>
      </c>
      <c r="F321" s="6">
        <v>1320</v>
      </c>
      <c r="G321" s="6">
        <v>74136.89</v>
      </c>
      <c r="H321" s="7">
        <v>38042</v>
      </c>
      <c r="I321" s="6" t="s">
        <v>73</v>
      </c>
      <c r="J321" s="6" t="s">
        <v>696</v>
      </c>
      <c r="K321" s="6" t="s">
        <v>51</v>
      </c>
      <c r="L321" s="6" t="s">
        <v>52</v>
      </c>
      <c r="M321" s="6" t="s">
        <v>53</v>
      </c>
      <c r="N321" s="6">
        <v>2.89</v>
      </c>
      <c r="O321" s="4" t="str">
        <f t="shared" si="4"/>
        <v>Average</v>
      </c>
      <c r="P321" s="6">
        <v>173</v>
      </c>
    </row>
    <row r="322" spans="1:16" x14ac:dyDescent="0.3">
      <c r="A322" s="6" t="s">
        <v>697</v>
      </c>
      <c r="B322" s="6">
        <v>44</v>
      </c>
      <c r="C322" s="6" t="s">
        <v>62</v>
      </c>
      <c r="D322" s="6" t="s">
        <v>26</v>
      </c>
      <c r="E322" s="6" t="s">
        <v>48</v>
      </c>
      <c r="F322" s="6">
        <v>1321</v>
      </c>
      <c r="G322" s="6">
        <v>92477.56</v>
      </c>
      <c r="H322" s="7">
        <v>40986</v>
      </c>
      <c r="I322" s="6" t="s">
        <v>19</v>
      </c>
      <c r="J322" s="6" t="s">
        <v>698</v>
      </c>
      <c r="K322" s="6" t="s">
        <v>21</v>
      </c>
      <c r="L322" s="6" t="s">
        <v>22</v>
      </c>
      <c r="M322" s="6" t="s">
        <v>23</v>
      </c>
      <c r="N322" s="6">
        <v>4.1900000000000004</v>
      </c>
      <c r="O322" s="4" t="str">
        <f t="shared" si="4"/>
        <v>Excellent</v>
      </c>
      <c r="P322" s="6">
        <v>78</v>
      </c>
    </row>
    <row r="323" spans="1:16" x14ac:dyDescent="0.3">
      <c r="A323" s="6" t="s">
        <v>699</v>
      </c>
      <c r="B323" s="6">
        <v>50</v>
      </c>
      <c r="C323" s="6" t="s">
        <v>25</v>
      </c>
      <c r="D323" s="6" t="s">
        <v>55</v>
      </c>
      <c r="E323" s="6" t="s">
        <v>80</v>
      </c>
      <c r="F323" s="6">
        <v>1322</v>
      </c>
      <c r="G323" s="6">
        <v>93684.54</v>
      </c>
      <c r="H323" s="7">
        <v>38596</v>
      </c>
      <c r="I323" s="6" t="s">
        <v>28</v>
      </c>
      <c r="J323" s="6" t="s">
        <v>700</v>
      </c>
      <c r="K323" s="6" t="s">
        <v>30</v>
      </c>
      <c r="L323" s="6" t="s">
        <v>31</v>
      </c>
      <c r="M323" s="6" t="s">
        <v>32</v>
      </c>
      <c r="N323" s="6">
        <v>3.36</v>
      </c>
      <c r="O323" s="4" t="str">
        <f t="shared" ref="O323:O386" si="5">IF(N323&gt;=4,"Excellent",IF(N323&gt;=3,"Good",IF(N323&gt;=2,"Average","Poor")))</f>
        <v>Good</v>
      </c>
      <c r="P323" s="6">
        <v>63</v>
      </c>
    </row>
    <row r="324" spans="1:16" x14ac:dyDescent="0.3">
      <c r="A324" s="6" t="s">
        <v>701</v>
      </c>
      <c r="B324" s="6">
        <v>42</v>
      </c>
      <c r="C324" s="6" t="s">
        <v>25</v>
      </c>
      <c r="D324" s="6" t="s">
        <v>26</v>
      </c>
      <c r="E324" s="6" t="s">
        <v>27</v>
      </c>
      <c r="F324" s="6">
        <v>1323</v>
      </c>
      <c r="G324" s="6">
        <v>120886.15</v>
      </c>
      <c r="H324" s="7">
        <v>39932</v>
      </c>
      <c r="I324" s="6" t="s">
        <v>35</v>
      </c>
      <c r="J324" s="6" t="s">
        <v>702</v>
      </c>
      <c r="K324" s="6" t="s">
        <v>37</v>
      </c>
      <c r="L324" s="6" t="s">
        <v>38</v>
      </c>
      <c r="M324" s="6" t="s">
        <v>39</v>
      </c>
      <c r="N324" s="6">
        <v>1.77</v>
      </c>
      <c r="O324" s="4" t="str">
        <f t="shared" si="5"/>
        <v>Poor</v>
      </c>
      <c r="P324" s="6">
        <v>182</v>
      </c>
    </row>
    <row r="325" spans="1:16" x14ac:dyDescent="0.3">
      <c r="A325" s="6" t="s">
        <v>703</v>
      </c>
      <c r="B325" s="6">
        <v>40</v>
      </c>
      <c r="C325" s="6" t="s">
        <v>16</v>
      </c>
      <c r="D325" s="6" t="s">
        <v>17</v>
      </c>
      <c r="E325" s="6" t="s">
        <v>27</v>
      </c>
      <c r="F325" s="6">
        <v>1324</v>
      </c>
      <c r="G325" s="6">
        <v>66559.820000000007</v>
      </c>
      <c r="H325" s="7">
        <v>41852</v>
      </c>
      <c r="I325" s="6" t="s">
        <v>41</v>
      </c>
      <c r="J325" s="6" t="s">
        <v>704</v>
      </c>
      <c r="K325" s="6" t="s">
        <v>43</v>
      </c>
      <c r="L325" s="6" t="s">
        <v>44</v>
      </c>
      <c r="M325" s="6" t="s">
        <v>45</v>
      </c>
      <c r="N325" s="6">
        <v>3.93</v>
      </c>
      <c r="O325" s="4" t="str">
        <f t="shared" si="5"/>
        <v>Good</v>
      </c>
      <c r="P325" s="6">
        <v>156</v>
      </c>
    </row>
    <row r="326" spans="1:16" x14ac:dyDescent="0.3">
      <c r="A326" s="6" t="s">
        <v>705</v>
      </c>
      <c r="B326" s="6">
        <v>26</v>
      </c>
      <c r="C326" s="6" t="s">
        <v>25</v>
      </c>
      <c r="D326" s="6" t="s">
        <v>26</v>
      </c>
      <c r="E326" s="6" t="s">
        <v>34</v>
      </c>
      <c r="F326" s="6">
        <v>1325</v>
      </c>
      <c r="G326" s="6">
        <v>184012.3</v>
      </c>
      <c r="H326" s="7">
        <v>42124</v>
      </c>
      <c r="I326" s="6" t="s">
        <v>49</v>
      </c>
      <c r="J326" s="6" t="s">
        <v>706</v>
      </c>
      <c r="K326" s="6" t="s">
        <v>51</v>
      </c>
      <c r="L326" s="6" t="s">
        <v>52</v>
      </c>
      <c r="M326" s="6" t="s">
        <v>53</v>
      </c>
      <c r="N326" s="6">
        <v>4.6399999999999997</v>
      </c>
      <c r="O326" s="4" t="str">
        <f t="shared" si="5"/>
        <v>Excellent</v>
      </c>
      <c r="P326" s="6">
        <v>25</v>
      </c>
    </row>
    <row r="327" spans="1:16" x14ac:dyDescent="0.3">
      <c r="A327" s="6" t="s">
        <v>707</v>
      </c>
      <c r="B327" s="6">
        <v>44</v>
      </c>
      <c r="C327" s="6" t="s">
        <v>62</v>
      </c>
      <c r="D327" s="6" t="s">
        <v>69</v>
      </c>
      <c r="E327" s="6" t="s">
        <v>27</v>
      </c>
      <c r="F327" s="6">
        <v>1326</v>
      </c>
      <c r="G327" s="6">
        <v>193604.34</v>
      </c>
      <c r="H327" s="7">
        <v>41923</v>
      </c>
      <c r="I327" s="6" t="s">
        <v>56</v>
      </c>
      <c r="J327" s="6" t="s">
        <v>708</v>
      </c>
      <c r="K327" s="6" t="s">
        <v>21</v>
      </c>
      <c r="L327" s="6" t="s">
        <v>22</v>
      </c>
      <c r="M327" s="6" t="s">
        <v>23</v>
      </c>
      <c r="N327" s="6">
        <v>4.3899999999999997</v>
      </c>
      <c r="O327" s="4" t="str">
        <f t="shared" si="5"/>
        <v>Excellent</v>
      </c>
      <c r="P327" s="6">
        <v>162</v>
      </c>
    </row>
    <row r="328" spans="1:16" x14ac:dyDescent="0.3">
      <c r="A328" s="6" t="s">
        <v>709</v>
      </c>
      <c r="B328" s="6">
        <v>57</v>
      </c>
      <c r="C328" s="6" t="s">
        <v>62</v>
      </c>
      <c r="D328" s="6" t="s">
        <v>26</v>
      </c>
      <c r="E328" s="6" t="s">
        <v>34</v>
      </c>
      <c r="F328" s="6">
        <v>1327</v>
      </c>
      <c r="G328" s="6">
        <v>69282.97</v>
      </c>
      <c r="H328" s="7">
        <v>42664</v>
      </c>
      <c r="I328" s="6" t="s">
        <v>63</v>
      </c>
      <c r="J328" s="6" t="s">
        <v>710</v>
      </c>
      <c r="K328" s="6" t="s">
        <v>30</v>
      </c>
      <c r="L328" s="6" t="s">
        <v>31</v>
      </c>
      <c r="M328" s="6" t="s">
        <v>32</v>
      </c>
      <c r="N328" s="6">
        <v>1.79</v>
      </c>
      <c r="O328" s="4" t="str">
        <f t="shared" si="5"/>
        <v>Poor</v>
      </c>
      <c r="P328" s="6">
        <v>133</v>
      </c>
    </row>
    <row r="329" spans="1:16" x14ac:dyDescent="0.3">
      <c r="A329" s="6" t="s">
        <v>711</v>
      </c>
      <c r="B329" s="6">
        <v>41</v>
      </c>
      <c r="C329" s="6" t="s">
        <v>25</v>
      </c>
      <c r="D329" s="6" t="s">
        <v>55</v>
      </c>
      <c r="E329" s="6" t="s">
        <v>34</v>
      </c>
      <c r="F329" s="6">
        <v>1328</v>
      </c>
      <c r="G329" s="6">
        <v>145482.03</v>
      </c>
      <c r="H329" s="7">
        <v>44352</v>
      </c>
      <c r="I329" s="6" t="s">
        <v>66</v>
      </c>
      <c r="J329" s="6" t="s">
        <v>712</v>
      </c>
      <c r="K329" s="6" t="s">
        <v>37</v>
      </c>
      <c r="L329" s="6" t="s">
        <v>38</v>
      </c>
      <c r="M329" s="6" t="s">
        <v>39</v>
      </c>
      <c r="N329" s="6">
        <v>2.69</v>
      </c>
      <c r="O329" s="4" t="str">
        <f t="shared" si="5"/>
        <v>Average</v>
      </c>
      <c r="P329" s="6">
        <v>183</v>
      </c>
    </row>
    <row r="330" spans="1:16" x14ac:dyDescent="0.3">
      <c r="A330" s="6" t="s">
        <v>713</v>
      </c>
      <c r="B330" s="6">
        <v>29</v>
      </c>
      <c r="C330" s="6" t="s">
        <v>62</v>
      </c>
      <c r="D330" s="6" t="s">
        <v>47</v>
      </c>
      <c r="E330" s="6" t="s">
        <v>18</v>
      </c>
      <c r="F330" s="6">
        <v>1329</v>
      </c>
      <c r="G330" s="6">
        <v>145083.01999999999</v>
      </c>
      <c r="H330" s="7">
        <v>42239</v>
      </c>
      <c r="I330" s="6" t="s">
        <v>70</v>
      </c>
      <c r="J330" s="6" t="s">
        <v>714</v>
      </c>
      <c r="K330" s="6" t="s">
        <v>43</v>
      </c>
      <c r="L330" s="6" t="s">
        <v>44</v>
      </c>
      <c r="M330" s="6" t="s">
        <v>45</v>
      </c>
      <c r="N330" s="6">
        <v>1.92</v>
      </c>
      <c r="O330" s="4" t="str">
        <f t="shared" si="5"/>
        <v>Poor</v>
      </c>
      <c r="P330" s="6">
        <v>45</v>
      </c>
    </row>
    <row r="331" spans="1:16" x14ac:dyDescent="0.3">
      <c r="A331" s="6" t="s">
        <v>715</v>
      </c>
      <c r="B331" s="6">
        <v>30</v>
      </c>
      <c r="C331" s="6" t="s">
        <v>25</v>
      </c>
      <c r="D331" s="6" t="s">
        <v>17</v>
      </c>
      <c r="E331" s="6" t="s">
        <v>18</v>
      </c>
      <c r="F331" s="6">
        <v>1330</v>
      </c>
      <c r="G331" s="6">
        <v>93335.37</v>
      </c>
      <c r="H331" s="7">
        <v>37496</v>
      </c>
      <c r="I331" s="6" t="s">
        <v>73</v>
      </c>
      <c r="J331" s="6" t="s">
        <v>716</v>
      </c>
      <c r="K331" s="6" t="s">
        <v>51</v>
      </c>
      <c r="L331" s="6" t="s">
        <v>52</v>
      </c>
      <c r="M331" s="6" t="s">
        <v>53</v>
      </c>
      <c r="N331" s="6">
        <v>2.77</v>
      </c>
      <c r="O331" s="4" t="str">
        <f t="shared" si="5"/>
        <v>Average</v>
      </c>
      <c r="P331" s="6">
        <v>77</v>
      </c>
    </row>
    <row r="332" spans="1:16" x14ac:dyDescent="0.3">
      <c r="A332" s="6" t="s">
        <v>717</v>
      </c>
      <c r="B332" s="6">
        <v>35</v>
      </c>
      <c r="C332" s="6" t="s">
        <v>16</v>
      </c>
      <c r="D332" s="6" t="s">
        <v>55</v>
      </c>
      <c r="E332" s="6" t="s">
        <v>18</v>
      </c>
      <c r="F332" s="6">
        <v>1331</v>
      </c>
      <c r="G332" s="6">
        <v>184869.66</v>
      </c>
      <c r="H332" s="7">
        <v>41911</v>
      </c>
      <c r="I332" s="6" t="s">
        <v>19</v>
      </c>
      <c r="J332" s="6" t="s">
        <v>718</v>
      </c>
      <c r="K332" s="6" t="s">
        <v>21</v>
      </c>
      <c r="L332" s="6" t="s">
        <v>22</v>
      </c>
      <c r="M332" s="6" t="s">
        <v>23</v>
      </c>
      <c r="N332" s="6">
        <v>4.92</v>
      </c>
      <c r="O332" s="4" t="str">
        <f t="shared" si="5"/>
        <v>Excellent</v>
      </c>
      <c r="P332" s="6">
        <v>28</v>
      </c>
    </row>
    <row r="333" spans="1:16" x14ac:dyDescent="0.3">
      <c r="A333" s="6" t="s">
        <v>719</v>
      </c>
      <c r="B333" s="6">
        <v>27</v>
      </c>
      <c r="C333" s="6" t="s">
        <v>16</v>
      </c>
      <c r="D333" s="6" t="s">
        <v>55</v>
      </c>
      <c r="E333" s="6" t="s">
        <v>27</v>
      </c>
      <c r="F333" s="6">
        <v>1332</v>
      </c>
      <c r="G333" s="6">
        <v>148210.6</v>
      </c>
      <c r="H333" s="7">
        <v>39180</v>
      </c>
      <c r="I333" s="6" t="s">
        <v>28</v>
      </c>
      <c r="J333" s="6" t="s">
        <v>720</v>
      </c>
      <c r="K333" s="6" t="s">
        <v>30</v>
      </c>
      <c r="L333" s="6" t="s">
        <v>31</v>
      </c>
      <c r="M333" s="6" t="s">
        <v>32</v>
      </c>
      <c r="N333" s="6">
        <v>2.91</v>
      </c>
      <c r="O333" s="4" t="str">
        <f t="shared" si="5"/>
        <v>Average</v>
      </c>
      <c r="P333" s="6">
        <v>78</v>
      </c>
    </row>
    <row r="334" spans="1:16" x14ac:dyDescent="0.3">
      <c r="A334" s="6" t="s">
        <v>721</v>
      </c>
      <c r="B334" s="6">
        <v>22</v>
      </c>
      <c r="C334" s="6" t="s">
        <v>16</v>
      </c>
      <c r="D334" s="6" t="s">
        <v>47</v>
      </c>
      <c r="E334" s="6" t="s">
        <v>80</v>
      </c>
      <c r="F334" s="6">
        <v>1333</v>
      </c>
      <c r="G334" s="6">
        <v>88084.17</v>
      </c>
      <c r="H334" s="7">
        <v>40783</v>
      </c>
      <c r="I334" s="6" t="s">
        <v>35</v>
      </c>
      <c r="J334" s="6" t="s">
        <v>722</v>
      </c>
      <c r="K334" s="6" t="s">
        <v>37</v>
      </c>
      <c r="L334" s="6" t="s">
        <v>38</v>
      </c>
      <c r="M334" s="6" t="s">
        <v>39</v>
      </c>
      <c r="N334" s="6">
        <v>4.9800000000000004</v>
      </c>
      <c r="O334" s="4" t="str">
        <f t="shared" si="5"/>
        <v>Excellent</v>
      </c>
      <c r="P334" s="6">
        <v>79</v>
      </c>
    </row>
    <row r="335" spans="1:16" x14ac:dyDescent="0.3">
      <c r="A335" s="6" t="s">
        <v>723</v>
      </c>
      <c r="B335" s="6">
        <v>30</v>
      </c>
      <c r="C335" s="6" t="s">
        <v>16</v>
      </c>
      <c r="D335" s="6" t="s">
        <v>47</v>
      </c>
      <c r="E335" s="6" t="s">
        <v>80</v>
      </c>
      <c r="F335" s="6">
        <v>1334</v>
      </c>
      <c r="G335" s="6">
        <v>138753.64000000001</v>
      </c>
      <c r="H335" s="7">
        <v>41067</v>
      </c>
      <c r="I335" s="6" t="s">
        <v>41</v>
      </c>
      <c r="J335" s="6" t="s">
        <v>724</v>
      </c>
      <c r="K335" s="6" t="s">
        <v>43</v>
      </c>
      <c r="L335" s="6" t="s">
        <v>44</v>
      </c>
      <c r="M335" s="6" t="s">
        <v>45</v>
      </c>
      <c r="N335" s="6">
        <v>1.41</v>
      </c>
      <c r="O335" s="4" t="str">
        <f t="shared" si="5"/>
        <v>Poor</v>
      </c>
      <c r="P335" s="6">
        <v>66</v>
      </c>
    </row>
    <row r="336" spans="1:16" x14ac:dyDescent="0.3">
      <c r="A336" s="6" t="s">
        <v>725</v>
      </c>
      <c r="B336" s="6">
        <v>37</v>
      </c>
      <c r="C336" s="6" t="s">
        <v>25</v>
      </c>
      <c r="D336" s="6" t="s">
        <v>69</v>
      </c>
      <c r="E336" s="6" t="s">
        <v>18</v>
      </c>
      <c r="F336" s="6">
        <v>1335</v>
      </c>
      <c r="G336" s="6">
        <v>94405.37</v>
      </c>
      <c r="H336" s="7">
        <v>41302</v>
      </c>
      <c r="I336" s="6" t="s">
        <v>49</v>
      </c>
      <c r="J336" s="6" t="s">
        <v>726</v>
      </c>
      <c r="K336" s="6" t="s">
        <v>51</v>
      </c>
      <c r="L336" s="6" t="s">
        <v>52</v>
      </c>
      <c r="M336" s="6" t="s">
        <v>53</v>
      </c>
      <c r="N336" s="6">
        <v>1.7</v>
      </c>
      <c r="O336" s="4" t="str">
        <f t="shared" si="5"/>
        <v>Poor</v>
      </c>
      <c r="P336" s="6">
        <v>199</v>
      </c>
    </row>
    <row r="337" spans="1:16" x14ac:dyDescent="0.3">
      <c r="A337" s="6" t="s">
        <v>727</v>
      </c>
      <c r="B337" s="6">
        <v>37</v>
      </c>
      <c r="C337" s="6" t="s">
        <v>62</v>
      </c>
      <c r="D337" s="6" t="s">
        <v>55</v>
      </c>
      <c r="E337" s="6" t="s">
        <v>18</v>
      </c>
      <c r="F337" s="6">
        <v>1336</v>
      </c>
      <c r="G337" s="6">
        <v>73687.56</v>
      </c>
      <c r="H337" s="7">
        <v>40254</v>
      </c>
      <c r="I337" s="6" t="s">
        <v>56</v>
      </c>
      <c r="J337" s="6" t="s">
        <v>728</v>
      </c>
      <c r="K337" s="6" t="s">
        <v>21</v>
      </c>
      <c r="L337" s="6" t="s">
        <v>22</v>
      </c>
      <c r="M337" s="6" t="s">
        <v>23</v>
      </c>
      <c r="N337" s="6">
        <v>1.51</v>
      </c>
      <c r="O337" s="4" t="str">
        <f t="shared" si="5"/>
        <v>Poor</v>
      </c>
      <c r="P337" s="6">
        <v>24</v>
      </c>
    </row>
    <row r="338" spans="1:16" x14ac:dyDescent="0.3">
      <c r="A338" s="6" t="s">
        <v>729</v>
      </c>
      <c r="B338" s="6">
        <v>33</v>
      </c>
      <c r="C338" s="6" t="s">
        <v>25</v>
      </c>
      <c r="D338" s="6" t="s">
        <v>17</v>
      </c>
      <c r="E338" s="6" t="s">
        <v>80</v>
      </c>
      <c r="F338" s="6">
        <v>1337</v>
      </c>
      <c r="G338" s="6">
        <v>102137.01</v>
      </c>
      <c r="H338" s="7">
        <v>38651</v>
      </c>
      <c r="I338" s="6" t="s">
        <v>63</v>
      </c>
      <c r="J338" s="6" t="s">
        <v>730</v>
      </c>
      <c r="K338" s="6" t="s">
        <v>30</v>
      </c>
      <c r="L338" s="6" t="s">
        <v>31</v>
      </c>
      <c r="M338" s="6" t="s">
        <v>32</v>
      </c>
      <c r="N338" s="6">
        <v>2.63</v>
      </c>
      <c r="O338" s="4" t="str">
        <f t="shared" si="5"/>
        <v>Average</v>
      </c>
      <c r="P338" s="6">
        <v>7</v>
      </c>
    </row>
    <row r="339" spans="1:16" x14ac:dyDescent="0.3">
      <c r="A339" s="6" t="s">
        <v>731</v>
      </c>
      <c r="B339" s="6">
        <v>26</v>
      </c>
      <c r="C339" s="6" t="s">
        <v>62</v>
      </c>
      <c r="D339" s="6" t="s">
        <v>69</v>
      </c>
      <c r="E339" s="6" t="s">
        <v>18</v>
      </c>
      <c r="F339" s="6">
        <v>1338</v>
      </c>
      <c r="G339" s="6">
        <v>130733.75999999999</v>
      </c>
      <c r="H339" s="7">
        <v>38905</v>
      </c>
      <c r="I339" s="6" t="s">
        <v>66</v>
      </c>
      <c r="J339" s="6" t="s">
        <v>732</v>
      </c>
      <c r="K339" s="6" t="s">
        <v>37</v>
      </c>
      <c r="L339" s="6" t="s">
        <v>38</v>
      </c>
      <c r="M339" s="6" t="s">
        <v>39</v>
      </c>
      <c r="N339" s="6">
        <v>3.95</v>
      </c>
      <c r="O339" s="4" t="str">
        <f t="shared" si="5"/>
        <v>Good</v>
      </c>
      <c r="P339" s="6">
        <v>187</v>
      </c>
    </row>
    <row r="340" spans="1:16" x14ac:dyDescent="0.3">
      <c r="A340" s="6" t="s">
        <v>733</v>
      </c>
      <c r="B340" s="6">
        <v>61</v>
      </c>
      <c r="C340" s="6" t="s">
        <v>25</v>
      </c>
      <c r="D340" s="6" t="s">
        <v>69</v>
      </c>
      <c r="E340" s="6" t="s">
        <v>34</v>
      </c>
      <c r="F340" s="6">
        <v>1339</v>
      </c>
      <c r="G340" s="6">
        <v>147300</v>
      </c>
      <c r="H340" s="7">
        <v>44704</v>
      </c>
      <c r="I340" s="6" t="s">
        <v>70</v>
      </c>
      <c r="J340" s="6" t="s">
        <v>734</v>
      </c>
      <c r="K340" s="6" t="s">
        <v>43</v>
      </c>
      <c r="L340" s="6" t="s">
        <v>44</v>
      </c>
      <c r="M340" s="6" t="s">
        <v>45</v>
      </c>
      <c r="N340" s="6">
        <v>4.3600000000000003</v>
      </c>
      <c r="O340" s="4" t="str">
        <f t="shared" si="5"/>
        <v>Excellent</v>
      </c>
      <c r="P340" s="6">
        <v>196</v>
      </c>
    </row>
    <row r="341" spans="1:16" x14ac:dyDescent="0.3">
      <c r="A341" s="6" t="s">
        <v>735</v>
      </c>
      <c r="B341" s="6">
        <v>50</v>
      </c>
      <c r="C341" s="6" t="s">
        <v>62</v>
      </c>
      <c r="D341" s="6" t="s">
        <v>17</v>
      </c>
      <c r="E341" s="6" t="s">
        <v>48</v>
      </c>
      <c r="F341" s="6">
        <v>1340</v>
      </c>
      <c r="G341" s="6">
        <v>175109.59</v>
      </c>
      <c r="H341" s="7">
        <v>43293</v>
      </c>
      <c r="I341" s="6" t="s">
        <v>73</v>
      </c>
      <c r="J341" s="6" t="s">
        <v>736</v>
      </c>
      <c r="K341" s="6" t="s">
        <v>51</v>
      </c>
      <c r="L341" s="6" t="s">
        <v>52</v>
      </c>
      <c r="M341" s="6" t="s">
        <v>53</v>
      </c>
      <c r="N341" s="6">
        <v>3.07</v>
      </c>
      <c r="O341" s="4" t="str">
        <f t="shared" si="5"/>
        <v>Good</v>
      </c>
      <c r="P341" s="6">
        <v>4</v>
      </c>
    </row>
    <row r="342" spans="1:16" x14ac:dyDescent="0.3">
      <c r="A342" s="6" t="s">
        <v>737</v>
      </c>
      <c r="B342" s="6">
        <v>48</v>
      </c>
      <c r="C342" s="6" t="s">
        <v>62</v>
      </c>
      <c r="D342" s="6" t="s">
        <v>47</v>
      </c>
      <c r="E342" s="6" t="s">
        <v>34</v>
      </c>
      <c r="F342" s="6">
        <v>1341</v>
      </c>
      <c r="G342" s="6">
        <v>150809.65</v>
      </c>
      <c r="H342" s="7">
        <v>43668</v>
      </c>
      <c r="I342" s="6" t="s">
        <v>19</v>
      </c>
      <c r="J342" s="6" t="s">
        <v>738</v>
      </c>
      <c r="K342" s="6" t="s">
        <v>21</v>
      </c>
      <c r="L342" s="6" t="s">
        <v>22</v>
      </c>
      <c r="M342" s="6" t="s">
        <v>23</v>
      </c>
      <c r="N342" s="6">
        <v>4.42</v>
      </c>
      <c r="O342" s="4" t="str">
        <f t="shared" si="5"/>
        <v>Excellent</v>
      </c>
      <c r="P342" s="6">
        <v>52</v>
      </c>
    </row>
    <row r="343" spans="1:16" x14ac:dyDescent="0.3">
      <c r="A343" s="6" t="s">
        <v>739</v>
      </c>
      <c r="B343" s="6">
        <v>32</v>
      </c>
      <c r="C343" s="6" t="s">
        <v>25</v>
      </c>
      <c r="D343" s="6" t="s">
        <v>47</v>
      </c>
      <c r="E343" s="6" t="s">
        <v>80</v>
      </c>
      <c r="F343" s="6">
        <v>1342</v>
      </c>
      <c r="G343" s="6">
        <v>94836.61</v>
      </c>
      <c r="H343" s="7">
        <v>38099</v>
      </c>
      <c r="I343" s="6" t="s">
        <v>28</v>
      </c>
      <c r="J343" s="6" t="s">
        <v>740</v>
      </c>
      <c r="K343" s="6" t="s">
        <v>30</v>
      </c>
      <c r="L343" s="6" t="s">
        <v>31</v>
      </c>
      <c r="M343" s="6" t="s">
        <v>32</v>
      </c>
      <c r="N343" s="6">
        <v>4.82</v>
      </c>
      <c r="O343" s="4" t="str">
        <f t="shared" si="5"/>
        <v>Excellent</v>
      </c>
      <c r="P343" s="6">
        <v>132</v>
      </c>
    </row>
    <row r="344" spans="1:16" x14ac:dyDescent="0.3">
      <c r="A344" s="6" t="s">
        <v>741</v>
      </c>
      <c r="B344" s="6">
        <v>49</v>
      </c>
      <c r="C344" s="6" t="s">
        <v>16</v>
      </c>
      <c r="D344" s="6" t="s">
        <v>55</v>
      </c>
      <c r="E344" s="6" t="s">
        <v>18</v>
      </c>
      <c r="F344" s="6">
        <v>1343</v>
      </c>
      <c r="G344" s="6">
        <v>99829.42</v>
      </c>
      <c r="H344" s="7">
        <v>38694</v>
      </c>
      <c r="I344" s="6" t="s">
        <v>35</v>
      </c>
      <c r="J344" s="6" t="s">
        <v>742</v>
      </c>
      <c r="K344" s="6" t="s">
        <v>37</v>
      </c>
      <c r="L344" s="6" t="s">
        <v>38</v>
      </c>
      <c r="M344" s="6" t="s">
        <v>39</v>
      </c>
      <c r="N344" s="6">
        <v>1.02</v>
      </c>
      <c r="O344" s="4" t="str">
        <f t="shared" si="5"/>
        <v>Poor</v>
      </c>
      <c r="P344" s="6">
        <v>61</v>
      </c>
    </row>
    <row r="345" spans="1:16" x14ac:dyDescent="0.3">
      <c r="A345" s="6" t="s">
        <v>743</v>
      </c>
      <c r="B345" s="6">
        <v>57</v>
      </c>
      <c r="C345" s="6" t="s">
        <v>25</v>
      </c>
      <c r="D345" s="6" t="s">
        <v>69</v>
      </c>
      <c r="E345" s="6" t="s">
        <v>48</v>
      </c>
      <c r="F345" s="6">
        <v>1344</v>
      </c>
      <c r="G345" s="6">
        <v>133304.69</v>
      </c>
      <c r="H345" s="7">
        <v>40325</v>
      </c>
      <c r="I345" s="6" t="s">
        <v>41</v>
      </c>
      <c r="J345" s="6" t="s">
        <v>744</v>
      </c>
      <c r="K345" s="6" t="s">
        <v>43</v>
      </c>
      <c r="L345" s="6" t="s">
        <v>44</v>
      </c>
      <c r="M345" s="6" t="s">
        <v>45</v>
      </c>
      <c r="N345" s="6">
        <v>1.66</v>
      </c>
      <c r="O345" s="4" t="str">
        <f t="shared" si="5"/>
        <v>Poor</v>
      </c>
      <c r="P345" s="6">
        <v>103</v>
      </c>
    </row>
    <row r="346" spans="1:16" x14ac:dyDescent="0.3">
      <c r="A346" s="6" t="s">
        <v>745</v>
      </c>
      <c r="B346" s="6">
        <v>63</v>
      </c>
      <c r="C346" s="6" t="s">
        <v>16</v>
      </c>
      <c r="D346" s="6" t="s">
        <v>17</v>
      </c>
      <c r="E346" s="6" t="s">
        <v>18</v>
      </c>
      <c r="F346" s="6">
        <v>1345</v>
      </c>
      <c r="G346" s="6">
        <v>176496.43</v>
      </c>
      <c r="H346" s="7">
        <v>42868</v>
      </c>
      <c r="I346" s="6" t="s">
        <v>49</v>
      </c>
      <c r="J346" s="6" t="s">
        <v>746</v>
      </c>
      <c r="K346" s="6" t="s">
        <v>51</v>
      </c>
      <c r="L346" s="6" t="s">
        <v>52</v>
      </c>
      <c r="M346" s="6" t="s">
        <v>53</v>
      </c>
      <c r="N346" s="6">
        <v>1.72</v>
      </c>
      <c r="O346" s="4" t="str">
        <f t="shared" si="5"/>
        <v>Poor</v>
      </c>
      <c r="P346" s="6">
        <v>69</v>
      </c>
    </row>
    <row r="347" spans="1:16" x14ac:dyDescent="0.3">
      <c r="A347" s="6" t="s">
        <v>747</v>
      </c>
      <c r="B347" s="6">
        <v>40</v>
      </c>
      <c r="C347" s="6" t="s">
        <v>25</v>
      </c>
      <c r="D347" s="6" t="s">
        <v>17</v>
      </c>
      <c r="E347" s="6" t="s">
        <v>34</v>
      </c>
      <c r="F347" s="6">
        <v>1346</v>
      </c>
      <c r="G347" s="6">
        <v>128477.99</v>
      </c>
      <c r="H347" s="7">
        <v>40130</v>
      </c>
      <c r="I347" s="6" t="s">
        <v>56</v>
      </c>
      <c r="J347" s="6" t="s">
        <v>748</v>
      </c>
      <c r="K347" s="6" t="s">
        <v>21</v>
      </c>
      <c r="L347" s="6" t="s">
        <v>22</v>
      </c>
      <c r="M347" s="6" t="s">
        <v>23</v>
      </c>
      <c r="N347" s="6">
        <v>4.97</v>
      </c>
      <c r="O347" s="4" t="str">
        <f t="shared" si="5"/>
        <v>Excellent</v>
      </c>
      <c r="P347" s="6">
        <v>60</v>
      </c>
    </row>
    <row r="348" spans="1:16" x14ac:dyDescent="0.3">
      <c r="A348" s="6" t="s">
        <v>749</v>
      </c>
      <c r="B348" s="6">
        <v>56</v>
      </c>
      <c r="C348" s="6" t="s">
        <v>62</v>
      </c>
      <c r="D348" s="6" t="s">
        <v>17</v>
      </c>
      <c r="E348" s="6" t="s">
        <v>18</v>
      </c>
      <c r="F348" s="6">
        <v>1347</v>
      </c>
      <c r="G348" s="6">
        <v>164126.15</v>
      </c>
      <c r="H348" s="7">
        <v>39618</v>
      </c>
      <c r="I348" s="6" t="s">
        <v>63</v>
      </c>
      <c r="J348" s="6" t="s">
        <v>750</v>
      </c>
      <c r="K348" s="6" t="s">
        <v>30</v>
      </c>
      <c r="L348" s="6" t="s">
        <v>31</v>
      </c>
      <c r="M348" s="6" t="s">
        <v>32</v>
      </c>
      <c r="N348" s="6">
        <v>4.5999999999999996</v>
      </c>
      <c r="O348" s="4" t="str">
        <f t="shared" si="5"/>
        <v>Excellent</v>
      </c>
      <c r="P348" s="6">
        <v>31</v>
      </c>
    </row>
    <row r="349" spans="1:16" x14ac:dyDescent="0.3">
      <c r="A349" s="6" t="s">
        <v>751</v>
      </c>
      <c r="B349" s="6">
        <v>52</v>
      </c>
      <c r="C349" s="6" t="s">
        <v>16</v>
      </c>
      <c r="D349" s="6" t="s">
        <v>69</v>
      </c>
      <c r="E349" s="6" t="s">
        <v>34</v>
      </c>
      <c r="F349" s="6">
        <v>1348</v>
      </c>
      <c r="G349" s="6">
        <v>135564.09</v>
      </c>
      <c r="H349" s="7">
        <v>39475</v>
      </c>
      <c r="I349" s="6" t="s">
        <v>66</v>
      </c>
      <c r="J349" s="6" t="s">
        <v>752</v>
      </c>
      <c r="K349" s="6" t="s">
        <v>37</v>
      </c>
      <c r="L349" s="6" t="s">
        <v>38</v>
      </c>
      <c r="M349" s="6" t="s">
        <v>39</v>
      </c>
      <c r="N349" s="6">
        <v>1.42</v>
      </c>
      <c r="O349" s="4" t="str">
        <f t="shared" si="5"/>
        <v>Poor</v>
      </c>
      <c r="P349" s="6">
        <v>11</v>
      </c>
    </row>
    <row r="350" spans="1:16" x14ac:dyDescent="0.3">
      <c r="A350" s="6" t="s">
        <v>753</v>
      </c>
      <c r="B350" s="6">
        <v>40</v>
      </c>
      <c r="C350" s="6" t="s">
        <v>62</v>
      </c>
      <c r="D350" s="6" t="s">
        <v>26</v>
      </c>
      <c r="E350" s="6" t="s">
        <v>48</v>
      </c>
      <c r="F350" s="6">
        <v>1349</v>
      </c>
      <c r="G350" s="6">
        <v>146714.74</v>
      </c>
      <c r="H350" s="7">
        <v>37599</v>
      </c>
      <c r="I350" s="6" t="s">
        <v>70</v>
      </c>
      <c r="J350" s="6" t="s">
        <v>754</v>
      </c>
      <c r="K350" s="6" t="s">
        <v>43</v>
      </c>
      <c r="L350" s="6" t="s">
        <v>44</v>
      </c>
      <c r="M350" s="6" t="s">
        <v>45</v>
      </c>
      <c r="N350" s="6">
        <v>4.97</v>
      </c>
      <c r="O350" s="4" t="str">
        <f t="shared" si="5"/>
        <v>Excellent</v>
      </c>
      <c r="P350" s="6">
        <v>71</v>
      </c>
    </row>
    <row r="351" spans="1:16" x14ac:dyDescent="0.3">
      <c r="A351" s="6" t="s">
        <v>755</v>
      </c>
      <c r="B351" s="6">
        <v>45</v>
      </c>
      <c r="C351" s="6" t="s">
        <v>62</v>
      </c>
      <c r="D351" s="6" t="s">
        <v>26</v>
      </c>
      <c r="E351" s="6" t="s">
        <v>27</v>
      </c>
      <c r="F351" s="6">
        <v>1350</v>
      </c>
      <c r="G351" s="6">
        <v>178454.62</v>
      </c>
      <c r="H351" s="7">
        <v>44019</v>
      </c>
      <c r="I351" s="6" t="s">
        <v>73</v>
      </c>
      <c r="J351" s="6" t="s">
        <v>756</v>
      </c>
      <c r="K351" s="6" t="s">
        <v>51</v>
      </c>
      <c r="L351" s="6" t="s">
        <v>52</v>
      </c>
      <c r="M351" s="6" t="s">
        <v>53</v>
      </c>
      <c r="N351" s="6">
        <v>1.71</v>
      </c>
      <c r="O351" s="4" t="str">
        <f t="shared" si="5"/>
        <v>Poor</v>
      </c>
      <c r="P351" s="6">
        <v>160</v>
      </c>
    </row>
    <row r="352" spans="1:16" x14ac:dyDescent="0.3">
      <c r="A352" s="6" t="s">
        <v>757</v>
      </c>
      <c r="B352" s="6">
        <v>23</v>
      </c>
      <c r="C352" s="6" t="s">
        <v>62</v>
      </c>
      <c r="D352" s="6" t="s">
        <v>55</v>
      </c>
      <c r="E352" s="6" t="s">
        <v>27</v>
      </c>
      <c r="F352" s="6">
        <v>1351</v>
      </c>
      <c r="G352" s="6">
        <v>115852.17</v>
      </c>
      <c r="H352" s="7">
        <v>43043</v>
      </c>
      <c r="I352" s="6" t="s">
        <v>19</v>
      </c>
      <c r="J352" s="6" t="s">
        <v>758</v>
      </c>
      <c r="K352" s="6" t="s">
        <v>21</v>
      </c>
      <c r="L352" s="6" t="s">
        <v>22</v>
      </c>
      <c r="M352" s="6" t="s">
        <v>23</v>
      </c>
      <c r="N352" s="6">
        <v>2.29</v>
      </c>
      <c r="O352" s="4" t="str">
        <f t="shared" si="5"/>
        <v>Average</v>
      </c>
      <c r="P352" s="6">
        <v>176</v>
      </c>
    </row>
    <row r="353" spans="1:16" x14ac:dyDescent="0.3">
      <c r="A353" s="6" t="s">
        <v>759</v>
      </c>
      <c r="B353" s="6">
        <v>28</v>
      </c>
      <c r="C353" s="6" t="s">
        <v>25</v>
      </c>
      <c r="D353" s="6" t="s">
        <v>69</v>
      </c>
      <c r="E353" s="6" t="s">
        <v>48</v>
      </c>
      <c r="F353" s="6">
        <v>1352</v>
      </c>
      <c r="G353" s="6">
        <v>154631.42000000001</v>
      </c>
      <c r="H353" s="7">
        <v>40446</v>
      </c>
      <c r="I353" s="6" t="s">
        <v>28</v>
      </c>
      <c r="J353" s="6" t="s">
        <v>760</v>
      </c>
      <c r="K353" s="6" t="s">
        <v>30</v>
      </c>
      <c r="L353" s="6" t="s">
        <v>31</v>
      </c>
      <c r="M353" s="6" t="s">
        <v>32</v>
      </c>
      <c r="N353" s="6">
        <v>4.5599999999999996</v>
      </c>
      <c r="O353" s="4" t="str">
        <f t="shared" si="5"/>
        <v>Excellent</v>
      </c>
      <c r="P353" s="6">
        <v>121</v>
      </c>
    </row>
    <row r="354" spans="1:16" x14ac:dyDescent="0.3">
      <c r="A354" s="6" t="s">
        <v>761</v>
      </c>
      <c r="B354" s="6">
        <v>64</v>
      </c>
      <c r="C354" s="6" t="s">
        <v>62</v>
      </c>
      <c r="D354" s="6" t="s">
        <v>69</v>
      </c>
      <c r="E354" s="6" t="s">
        <v>18</v>
      </c>
      <c r="F354" s="6">
        <v>1353</v>
      </c>
      <c r="G354" s="6">
        <v>175091.99</v>
      </c>
      <c r="H354" s="7">
        <v>43642</v>
      </c>
      <c r="I354" s="6" t="s">
        <v>35</v>
      </c>
      <c r="J354" s="6" t="s">
        <v>762</v>
      </c>
      <c r="K354" s="6" t="s">
        <v>37</v>
      </c>
      <c r="L354" s="6" t="s">
        <v>38</v>
      </c>
      <c r="M354" s="6" t="s">
        <v>39</v>
      </c>
      <c r="N354" s="6">
        <v>1.0900000000000001</v>
      </c>
      <c r="O354" s="4" t="str">
        <f t="shared" si="5"/>
        <v>Poor</v>
      </c>
      <c r="P354" s="6">
        <v>169</v>
      </c>
    </row>
    <row r="355" spans="1:16" x14ac:dyDescent="0.3">
      <c r="A355" s="6" t="s">
        <v>763</v>
      </c>
      <c r="B355" s="6">
        <v>52</v>
      </c>
      <c r="C355" s="6" t="s">
        <v>25</v>
      </c>
      <c r="D355" s="6" t="s">
        <v>26</v>
      </c>
      <c r="E355" s="6" t="s">
        <v>27</v>
      </c>
      <c r="F355" s="6">
        <v>1354</v>
      </c>
      <c r="G355" s="6">
        <v>147273.34</v>
      </c>
      <c r="H355" s="7">
        <v>37444</v>
      </c>
      <c r="I355" s="6" t="s">
        <v>41</v>
      </c>
      <c r="J355" s="6" t="s">
        <v>764</v>
      </c>
      <c r="K355" s="6" t="s">
        <v>43</v>
      </c>
      <c r="L355" s="6" t="s">
        <v>44</v>
      </c>
      <c r="M355" s="6" t="s">
        <v>45</v>
      </c>
      <c r="N355" s="6">
        <v>2.2799999999999998</v>
      </c>
      <c r="O355" s="4" t="str">
        <f t="shared" si="5"/>
        <v>Average</v>
      </c>
      <c r="P355" s="6">
        <v>64</v>
      </c>
    </row>
    <row r="356" spans="1:16" x14ac:dyDescent="0.3">
      <c r="A356" s="6" t="s">
        <v>765</v>
      </c>
      <c r="B356" s="6">
        <v>38</v>
      </c>
      <c r="C356" s="6" t="s">
        <v>16</v>
      </c>
      <c r="D356" s="6" t="s">
        <v>47</v>
      </c>
      <c r="E356" s="6" t="s">
        <v>34</v>
      </c>
      <c r="F356" s="6">
        <v>1355</v>
      </c>
      <c r="G356" s="6">
        <v>59352.45</v>
      </c>
      <c r="H356" s="7">
        <v>39330</v>
      </c>
      <c r="I356" s="6" t="s">
        <v>49</v>
      </c>
      <c r="J356" s="6" t="s">
        <v>766</v>
      </c>
      <c r="K356" s="6" t="s">
        <v>51</v>
      </c>
      <c r="L356" s="6" t="s">
        <v>52</v>
      </c>
      <c r="M356" s="6" t="s">
        <v>53</v>
      </c>
      <c r="N356" s="6">
        <v>2.85</v>
      </c>
      <c r="O356" s="4" t="str">
        <f t="shared" si="5"/>
        <v>Average</v>
      </c>
      <c r="P356" s="6">
        <v>153</v>
      </c>
    </row>
    <row r="357" spans="1:16" x14ac:dyDescent="0.3">
      <c r="A357" s="6" t="s">
        <v>767</v>
      </c>
      <c r="B357" s="6">
        <v>48</v>
      </c>
      <c r="C357" s="6" t="s">
        <v>62</v>
      </c>
      <c r="D357" s="6" t="s">
        <v>26</v>
      </c>
      <c r="E357" s="6" t="s">
        <v>27</v>
      </c>
      <c r="F357" s="6">
        <v>1356</v>
      </c>
      <c r="G357" s="6">
        <v>122891.69</v>
      </c>
      <c r="H357" s="7">
        <v>40829</v>
      </c>
      <c r="I357" s="6" t="s">
        <v>56</v>
      </c>
      <c r="J357" s="6" t="s">
        <v>768</v>
      </c>
      <c r="K357" s="6" t="s">
        <v>21</v>
      </c>
      <c r="L357" s="6" t="s">
        <v>22</v>
      </c>
      <c r="M357" s="6" t="s">
        <v>23</v>
      </c>
      <c r="N357" s="6">
        <v>1.29</v>
      </c>
      <c r="O357" s="4" t="str">
        <f t="shared" si="5"/>
        <v>Poor</v>
      </c>
      <c r="P357" s="6">
        <v>182</v>
      </c>
    </row>
    <row r="358" spans="1:16" x14ac:dyDescent="0.3">
      <c r="A358" s="6" t="s">
        <v>769</v>
      </c>
      <c r="B358" s="6">
        <v>57</v>
      </c>
      <c r="C358" s="6" t="s">
        <v>16</v>
      </c>
      <c r="D358" s="6" t="s">
        <v>69</v>
      </c>
      <c r="E358" s="6" t="s">
        <v>34</v>
      </c>
      <c r="F358" s="6">
        <v>1357</v>
      </c>
      <c r="G358" s="6">
        <v>139326.73000000001</v>
      </c>
      <c r="H358" s="7">
        <v>39871</v>
      </c>
      <c r="I358" s="6" t="s">
        <v>63</v>
      </c>
      <c r="J358" s="6" t="s">
        <v>770</v>
      </c>
      <c r="K358" s="6" t="s">
        <v>30</v>
      </c>
      <c r="L358" s="6" t="s">
        <v>31</v>
      </c>
      <c r="M358" s="6" t="s">
        <v>32</v>
      </c>
      <c r="N358" s="6">
        <v>3.74</v>
      </c>
      <c r="O358" s="4" t="str">
        <f t="shared" si="5"/>
        <v>Good</v>
      </c>
      <c r="P358" s="6">
        <v>26</v>
      </c>
    </row>
    <row r="359" spans="1:16" x14ac:dyDescent="0.3">
      <c r="A359" s="6" t="s">
        <v>771</v>
      </c>
      <c r="B359" s="6">
        <v>64</v>
      </c>
      <c r="C359" s="6" t="s">
        <v>16</v>
      </c>
      <c r="D359" s="6" t="s">
        <v>17</v>
      </c>
      <c r="E359" s="6" t="s">
        <v>48</v>
      </c>
      <c r="F359" s="6">
        <v>1358</v>
      </c>
      <c r="G359" s="6">
        <v>93443.82</v>
      </c>
      <c r="H359" s="7">
        <v>41675</v>
      </c>
      <c r="I359" s="6" t="s">
        <v>66</v>
      </c>
      <c r="J359" s="6" t="s">
        <v>772</v>
      </c>
      <c r="K359" s="6" t="s">
        <v>37</v>
      </c>
      <c r="L359" s="6" t="s">
        <v>38</v>
      </c>
      <c r="M359" s="6" t="s">
        <v>39</v>
      </c>
      <c r="N359" s="6">
        <v>1.4</v>
      </c>
      <c r="O359" s="4" t="str">
        <f t="shared" si="5"/>
        <v>Poor</v>
      </c>
      <c r="P359" s="6">
        <v>91</v>
      </c>
    </row>
    <row r="360" spans="1:16" x14ac:dyDescent="0.3">
      <c r="A360" s="6" t="s">
        <v>773</v>
      </c>
      <c r="B360" s="6">
        <v>31</v>
      </c>
      <c r="C360" s="6" t="s">
        <v>25</v>
      </c>
      <c r="D360" s="6" t="s">
        <v>69</v>
      </c>
      <c r="E360" s="6" t="s">
        <v>27</v>
      </c>
      <c r="F360" s="6">
        <v>1359</v>
      </c>
      <c r="G360" s="6">
        <v>141212.79</v>
      </c>
      <c r="H360" s="7">
        <v>44345</v>
      </c>
      <c r="I360" s="6" t="s">
        <v>70</v>
      </c>
      <c r="J360" s="6" t="s">
        <v>774</v>
      </c>
      <c r="K360" s="6" t="s">
        <v>43</v>
      </c>
      <c r="L360" s="6" t="s">
        <v>44</v>
      </c>
      <c r="M360" s="6" t="s">
        <v>45</v>
      </c>
      <c r="N360" s="6">
        <v>4.8499999999999996</v>
      </c>
      <c r="O360" s="4" t="str">
        <f t="shared" si="5"/>
        <v>Excellent</v>
      </c>
      <c r="P360" s="6">
        <v>70</v>
      </c>
    </row>
    <row r="361" spans="1:16" x14ac:dyDescent="0.3">
      <c r="A361" s="6" t="s">
        <v>775</v>
      </c>
      <c r="B361" s="6">
        <v>35</v>
      </c>
      <c r="C361" s="6" t="s">
        <v>16</v>
      </c>
      <c r="D361" s="6" t="s">
        <v>55</v>
      </c>
      <c r="E361" s="6" t="s">
        <v>48</v>
      </c>
      <c r="F361" s="6">
        <v>1360</v>
      </c>
      <c r="G361" s="6">
        <v>185599.66</v>
      </c>
      <c r="H361" s="7">
        <v>41005</v>
      </c>
      <c r="I361" s="6" t="s">
        <v>73</v>
      </c>
      <c r="J361" s="6" t="s">
        <v>776</v>
      </c>
      <c r="K361" s="6" t="s">
        <v>51</v>
      </c>
      <c r="L361" s="6" t="s">
        <v>52</v>
      </c>
      <c r="M361" s="6" t="s">
        <v>53</v>
      </c>
      <c r="N361" s="6">
        <v>4.58</v>
      </c>
      <c r="O361" s="4" t="str">
        <f t="shared" si="5"/>
        <v>Excellent</v>
      </c>
      <c r="P361" s="6">
        <v>4</v>
      </c>
    </row>
    <row r="362" spans="1:16" x14ac:dyDescent="0.3">
      <c r="A362" s="6" t="s">
        <v>777</v>
      </c>
      <c r="B362" s="6">
        <v>28</v>
      </c>
      <c r="C362" s="6" t="s">
        <v>25</v>
      </c>
      <c r="D362" s="6" t="s">
        <v>26</v>
      </c>
      <c r="E362" s="6" t="s">
        <v>80</v>
      </c>
      <c r="F362" s="6">
        <v>1361</v>
      </c>
      <c r="G362" s="6">
        <v>140652.57999999999</v>
      </c>
      <c r="H362" s="7">
        <v>41632</v>
      </c>
      <c r="I362" s="6" t="s">
        <v>19</v>
      </c>
      <c r="J362" s="6" t="s">
        <v>778</v>
      </c>
      <c r="K362" s="6" t="s">
        <v>21</v>
      </c>
      <c r="L362" s="6" t="s">
        <v>22</v>
      </c>
      <c r="M362" s="6" t="s">
        <v>23</v>
      </c>
      <c r="N362" s="6">
        <v>1.2</v>
      </c>
      <c r="O362" s="4" t="str">
        <f t="shared" si="5"/>
        <v>Poor</v>
      </c>
      <c r="P362" s="6">
        <v>84</v>
      </c>
    </row>
    <row r="363" spans="1:16" x14ac:dyDescent="0.3">
      <c r="A363" s="6" t="s">
        <v>779</v>
      </c>
      <c r="B363" s="6">
        <v>60</v>
      </c>
      <c r="C363" s="6" t="s">
        <v>25</v>
      </c>
      <c r="D363" s="6" t="s">
        <v>55</v>
      </c>
      <c r="E363" s="6" t="s">
        <v>48</v>
      </c>
      <c r="F363" s="6">
        <v>1362</v>
      </c>
      <c r="G363" s="6">
        <v>52839.72</v>
      </c>
      <c r="H363" s="7">
        <v>40412</v>
      </c>
      <c r="I363" s="6" t="s">
        <v>28</v>
      </c>
      <c r="J363" s="6" t="s">
        <v>780</v>
      </c>
      <c r="K363" s="6" t="s">
        <v>30</v>
      </c>
      <c r="L363" s="6" t="s">
        <v>31</v>
      </c>
      <c r="M363" s="6" t="s">
        <v>32</v>
      </c>
      <c r="N363" s="6">
        <v>1.1599999999999999</v>
      </c>
      <c r="O363" s="4" t="str">
        <f t="shared" si="5"/>
        <v>Poor</v>
      </c>
      <c r="P363" s="6">
        <v>2</v>
      </c>
    </row>
    <row r="364" spans="1:16" x14ac:dyDescent="0.3">
      <c r="A364" s="6" t="s">
        <v>781</v>
      </c>
      <c r="B364" s="6">
        <v>61</v>
      </c>
      <c r="C364" s="6" t="s">
        <v>16</v>
      </c>
      <c r="D364" s="6" t="s">
        <v>26</v>
      </c>
      <c r="E364" s="6" t="s">
        <v>27</v>
      </c>
      <c r="F364" s="6">
        <v>1363</v>
      </c>
      <c r="G364" s="6">
        <v>127516.1</v>
      </c>
      <c r="H364" s="7">
        <v>39851</v>
      </c>
      <c r="I364" s="6" t="s">
        <v>35</v>
      </c>
      <c r="J364" s="6" t="s">
        <v>782</v>
      </c>
      <c r="K364" s="6" t="s">
        <v>37</v>
      </c>
      <c r="L364" s="6" t="s">
        <v>38</v>
      </c>
      <c r="M364" s="6" t="s">
        <v>39</v>
      </c>
      <c r="N364" s="6">
        <v>4.5</v>
      </c>
      <c r="O364" s="4" t="str">
        <f t="shared" si="5"/>
        <v>Excellent</v>
      </c>
      <c r="P364" s="6">
        <v>134</v>
      </c>
    </row>
    <row r="365" spans="1:16" x14ac:dyDescent="0.3">
      <c r="A365" s="6" t="s">
        <v>783</v>
      </c>
      <c r="B365" s="6">
        <v>30</v>
      </c>
      <c r="C365" s="6" t="s">
        <v>16</v>
      </c>
      <c r="D365" s="6" t="s">
        <v>26</v>
      </c>
      <c r="E365" s="6" t="s">
        <v>34</v>
      </c>
      <c r="F365" s="6">
        <v>1364</v>
      </c>
      <c r="G365" s="6">
        <v>92964.75</v>
      </c>
      <c r="H365" s="7">
        <v>40345</v>
      </c>
      <c r="I365" s="6" t="s">
        <v>41</v>
      </c>
      <c r="J365" s="6" t="s">
        <v>784</v>
      </c>
      <c r="K365" s="6" t="s">
        <v>43</v>
      </c>
      <c r="L365" s="6" t="s">
        <v>44</v>
      </c>
      <c r="M365" s="6" t="s">
        <v>45</v>
      </c>
      <c r="N365" s="6">
        <v>1.35</v>
      </c>
      <c r="O365" s="4" t="str">
        <f t="shared" si="5"/>
        <v>Poor</v>
      </c>
      <c r="P365" s="6">
        <v>44</v>
      </c>
    </row>
    <row r="366" spans="1:16" x14ac:dyDescent="0.3">
      <c r="A366" s="6" t="s">
        <v>785</v>
      </c>
      <c r="B366" s="6">
        <v>35</v>
      </c>
      <c r="C366" s="6" t="s">
        <v>16</v>
      </c>
      <c r="D366" s="6" t="s">
        <v>55</v>
      </c>
      <c r="E366" s="6" t="s">
        <v>48</v>
      </c>
      <c r="F366" s="6">
        <v>1365</v>
      </c>
      <c r="G366" s="6">
        <v>130541.47</v>
      </c>
      <c r="H366" s="7">
        <v>38622</v>
      </c>
      <c r="I366" s="6" t="s">
        <v>49</v>
      </c>
      <c r="J366" s="6" t="s">
        <v>786</v>
      </c>
      <c r="K366" s="6" t="s">
        <v>51</v>
      </c>
      <c r="L366" s="6" t="s">
        <v>52</v>
      </c>
      <c r="M366" s="6" t="s">
        <v>53</v>
      </c>
      <c r="N366" s="6">
        <v>1.64</v>
      </c>
      <c r="O366" s="4" t="str">
        <f t="shared" si="5"/>
        <v>Poor</v>
      </c>
      <c r="P366" s="6">
        <v>108</v>
      </c>
    </row>
    <row r="367" spans="1:16" x14ac:dyDescent="0.3">
      <c r="A367" s="6" t="s">
        <v>787</v>
      </c>
      <c r="B367" s="6">
        <v>29</v>
      </c>
      <c r="C367" s="6" t="s">
        <v>25</v>
      </c>
      <c r="D367" s="6" t="s">
        <v>55</v>
      </c>
      <c r="E367" s="6" t="s">
        <v>27</v>
      </c>
      <c r="F367" s="6">
        <v>1366</v>
      </c>
      <c r="G367" s="6">
        <v>159085.45000000001</v>
      </c>
      <c r="H367" s="7">
        <v>43813</v>
      </c>
      <c r="I367" s="6" t="s">
        <v>56</v>
      </c>
      <c r="J367" s="6" t="s">
        <v>788</v>
      </c>
      <c r="K367" s="6" t="s">
        <v>21</v>
      </c>
      <c r="L367" s="6" t="s">
        <v>22</v>
      </c>
      <c r="M367" s="6" t="s">
        <v>23</v>
      </c>
      <c r="N367" s="6">
        <v>3.53</v>
      </c>
      <c r="O367" s="4" t="str">
        <f t="shared" si="5"/>
        <v>Good</v>
      </c>
      <c r="P367" s="6">
        <v>16</v>
      </c>
    </row>
    <row r="368" spans="1:16" x14ac:dyDescent="0.3">
      <c r="A368" s="6" t="s">
        <v>789</v>
      </c>
      <c r="B368" s="6">
        <v>38</v>
      </c>
      <c r="C368" s="6" t="s">
        <v>25</v>
      </c>
      <c r="D368" s="6" t="s">
        <v>17</v>
      </c>
      <c r="E368" s="6" t="s">
        <v>18</v>
      </c>
      <c r="F368" s="6">
        <v>1367</v>
      </c>
      <c r="G368" s="6">
        <v>68096.73</v>
      </c>
      <c r="H368" s="7">
        <v>36529</v>
      </c>
      <c r="I368" s="6" t="s">
        <v>63</v>
      </c>
      <c r="J368" s="6" t="s">
        <v>790</v>
      </c>
      <c r="K368" s="6" t="s">
        <v>30</v>
      </c>
      <c r="L368" s="6" t="s">
        <v>31</v>
      </c>
      <c r="M368" s="6" t="s">
        <v>32</v>
      </c>
      <c r="N368" s="6">
        <v>1.84</v>
      </c>
      <c r="O368" s="4" t="str">
        <f t="shared" si="5"/>
        <v>Poor</v>
      </c>
      <c r="P368" s="6">
        <v>141</v>
      </c>
    </row>
    <row r="369" spans="1:16" x14ac:dyDescent="0.3">
      <c r="A369" s="6" t="s">
        <v>791</v>
      </c>
      <c r="B369" s="6">
        <v>44</v>
      </c>
      <c r="C369" s="6" t="s">
        <v>16</v>
      </c>
      <c r="D369" s="6" t="s">
        <v>55</v>
      </c>
      <c r="E369" s="6" t="s">
        <v>34</v>
      </c>
      <c r="F369" s="6">
        <v>1368</v>
      </c>
      <c r="G369" s="6">
        <v>55179.66</v>
      </c>
      <c r="H369" s="7">
        <v>43519</v>
      </c>
      <c r="I369" s="6" t="s">
        <v>66</v>
      </c>
      <c r="J369" s="6" t="s">
        <v>792</v>
      </c>
      <c r="K369" s="6" t="s">
        <v>37</v>
      </c>
      <c r="L369" s="6" t="s">
        <v>38</v>
      </c>
      <c r="M369" s="6" t="s">
        <v>39</v>
      </c>
      <c r="N369" s="6">
        <v>2.36</v>
      </c>
      <c r="O369" s="4" t="str">
        <f t="shared" si="5"/>
        <v>Average</v>
      </c>
      <c r="P369" s="6">
        <v>56</v>
      </c>
    </row>
    <row r="370" spans="1:16" x14ac:dyDescent="0.3">
      <c r="A370" s="6" t="s">
        <v>793</v>
      </c>
      <c r="B370" s="6">
        <v>37</v>
      </c>
      <c r="C370" s="6" t="s">
        <v>25</v>
      </c>
      <c r="D370" s="6" t="s">
        <v>47</v>
      </c>
      <c r="E370" s="6" t="s">
        <v>18</v>
      </c>
      <c r="F370" s="6">
        <v>1369</v>
      </c>
      <c r="G370" s="6">
        <v>199478.17</v>
      </c>
      <c r="H370" s="7">
        <v>42674</v>
      </c>
      <c r="I370" s="6" t="s">
        <v>70</v>
      </c>
      <c r="J370" s="6" t="s">
        <v>794</v>
      </c>
      <c r="K370" s="6" t="s">
        <v>43</v>
      </c>
      <c r="L370" s="6" t="s">
        <v>44</v>
      </c>
      <c r="M370" s="6" t="s">
        <v>45</v>
      </c>
      <c r="N370" s="6">
        <v>3.96</v>
      </c>
      <c r="O370" s="4" t="str">
        <f t="shared" si="5"/>
        <v>Good</v>
      </c>
      <c r="P370" s="6">
        <v>122</v>
      </c>
    </row>
    <row r="371" spans="1:16" x14ac:dyDescent="0.3">
      <c r="A371" s="6" t="s">
        <v>795</v>
      </c>
      <c r="B371" s="6">
        <v>47</v>
      </c>
      <c r="C371" s="6" t="s">
        <v>16</v>
      </c>
      <c r="D371" s="6" t="s">
        <v>69</v>
      </c>
      <c r="E371" s="6" t="s">
        <v>18</v>
      </c>
      <c r="F371" s="6">
        <v>1370</v>
      </c>
      <c r="G371" s="6">
        <v>76369.25</v>
      </c>
      <c r="H371" s="7">
        <v>39552</v>
      </c>
      <c r="I371" s="6" t="s">
        <v>73</v>
      </c>
      <c r="J371" s="6" t="s">
        <v>796</v>
      </c>
      <c r="K371" s="6" t="s">
        <v>51</v>
      </c>
      <c r="L371" s="6" t="s">
        <v>52</v>
      </c>
      <c r="M371" s="6" t="s">
        <v>53</v>
      </c>
      <c r="N371" s="6">
        <v>1.98</v>
      </c>
      <c r="O371" s="4" t="str">
        <f t="shared" si="5"/>
        <v>Poor</v>
      </c>
      <c r="P371" s="6">
        <v>182</v>
      </c>
    </row>
    <row r="372" spans="1:16" x14ac:dyDescent="0.3">
      <c r="A372" s="6" t="s">
        <v>797</v>
      </c>
      <c r="B372" s="6">
        <v>30</v>
      </c>
      <c r="C372" s="6" t="s">
        <v>25</v>
      </c>
      <c r="D372" s="6" t="s">
        <v>17</v>
      </c>
      <c r="E372" s="6" t="s">
        <v>80</v>
      </c>
      <c r="F372" s="6">
        <v>1371</v>
      </c>
      <c r="G372" s="6">
        <v>180074.03</v>
      </c>
      <c r="H372" s="7">
        <v>40305</v>
      </c>
      <c r="I372" s="6" t="s">
        <v>19</v>
      </c>
      <c r="J372" s="6" t="s">
        <v>798</v>
      </c>
      <c r="K372" s="6" t="s">
        <v>21</v>
      </c>
      <c r="L372" s="6" t="s">
        <v>22</v>
      </c>
      <c r="M372" s="6" t="s">
        <v>23</v>
      </c>
      <c r="N372" s="6">
        <v>1.47</v>
      </c>
      <c r="O372" s="4" t="str">
        <f t="shared" si="5"/>
        <v>Poor</v>
      </c>
      <c r="P372" s="6">
        <v>172</v>
      </c>
    </row>
    <row r="373" spans="1:16" x14ac:dyDescent="0.3">
      <c r="A373" s="6" t="s">
        <v>799</v>
      </c>
      <c r="B373" s="6">
        <v>57</v>
      </c>
      <c r="C373" s="6" t="s">
        <v>25</v>
      </c>
      <c r="D373" s="6" t="s">
        <v>26</v>
      </c>
      <c r="E373" s="6" t="s">
        <v>48</v>
      </c>
      <c r="F373" s="6">
        <v>1372</v>
      </c>
      <c r="G373" s="6">
        <v>90747.19</v>
      </c>
      <c r="H373" s="7">
        <v>36864</v>
      </c>
      <c r="I373" s="6" t="s">
        <v>28</v>
      </c>
      <c r="J373" s="6" t="s">
        <v>800</v>
      </c>
      <c r="K373" s="6" t="s">
        <v>30</v>
      </c>
      <c r="L373" s="6" t="s">
        <v>31</v>
      </c>
      <c r="M373" s="6" t="s">
        <v>32</v>
      </c>
      <c r="N373" s="6">
        <v>4.21</v>
      </c>
      <c r="O373" s="4" t="str">
        <f t="shared" si="5"/>
        <v>Excellent</v>
      </c>
      <c r="P373" s="6">
        <v>137</v>
      </c>
    </row>
    <row r="374" spans="1:16" x14ac:dyDescent="0.3">
      <c r="A374" s="6" t="s">
        <v>801</v>
      </c>
      <c r="B374" s="6">
        <v>28</v>
      </c>
      <c r="C374" s="6" t="s">
        <v>62</v>
      </c>
      <c r="D374" s="6" t="s">
        <v>47</v>
      </c>
      <c r="E374" s="6" t="s">
        <v>18</v>
      </c>
      <c r="F374" s="6">
        <v>1373</v>
      </c>
      <c r="G374" s="6">
        <v>136176.37</v>
      </c>
      <c r="H374" s="7">
        <v>42453</v>
      </c>
      <c r="I374" s="6" t="s">
        <v>35</v>
      </c>
      <c r="J374" s="6" t="s">
        <v>802</v>
      </c>
      <c r="K374" s="6" t="s">
        <v>37</v>
      </c>
      <c r="L374" s="6" t="s">
        <v>38</v>
      </c>
      <c r="M374" s="6" t="s">
        <v>39</v>
      </c>
      <c r="N374" s="6">
        <v>1.1399999999999999</v>
      </c>
      <c r="O374" s="4" t="str">
        <f t="shared" si="5"/>
        <v>Poor</v>
      </c>
      <c r="P374" s="6">
        <v>182</v>
      </c>
    </row>
    <row r="375" spans="1:16" x14ac:dyDescent="0.3">
      <c r="A375" s="6" t="s">
        <v>803</v>
      </c>
      <c r="B375" s="6">
        <v>39</v>
      </c>
      <c r="C375" s="6" t="s">
        <v>62</v>
      </c>
      <c r="D375" s="6" t="s">
        <v>55</v>
      </c>
      <c r="E375" s="6" t="s">
        <v>34</v>
      </c>
      <c r="F375" s="6">
        <v>1374</v>
      </c>
      <c r="G375" s="6">
        <v>100792.17</v>
      </c>
      <c r="H375" s="7">
        <v>40952</v>
      </c>
      <c r="I375" s="6" t="s">
        <v>41</v>
      </c>
      <c r="J375" s="6" t="s">
        <v>804</v>
      </c>
      <c r="K375" s="6" t="s">
        <v>43</v>
      </c>
      <c r="L375" s="6" t="s">
        <v>44</v>
      </c>
      <c r="M375" s="6" t="s">
        <v>45</v>
      </c>
      <c r="N375" s="6">
        <v>2.09</v>
      </c>
      <c r="O375" s="4" t="str">
        <f t="shared" si="5"/>
        <v>Average</v>
      </c>
      <c r="P375" s="6">
        <v>96</v>
      </c>
    </row>
    <row r="376" spans="1:16" x14ac:dyDescent="0.3">
      <c r="A376" s="6" t="s">
        <v>805</v>
      </c>
      <c r="B376" s="6">
        <v>29</v>
      </c>
      <c r="C376" s="6" t="s">
        <v>16</v>
      </c>
      <c r="D376" s="6" t="s">
        <v>55</v>
      </c>
      <c r="E376" s="6" t="s">
        <v>18</v>
      </c>
      <c r="F376" s="6">
        <v>1375</v>
      </c>
      <c r="G376" s="6">
        <v>78449.41</v>
      </c>
      <c r="H376" s="7">
        <v>42358</v>
      </c>
      <c r="I376" s="6" t="s">
        <v>49</v>
      </c>
      <c r="J376" s="6" t="s">
        <v>806</v>
      </c>
      <c r="K376" s="6" t="s">
        <v>51</v>
      </c>
      <c r="L376" s="6" t="s">
        <v>52</v>
      </c>
      <c r="M376" s="6" t="s">
        <v>53</v>
      </c>
      <c r="N376" s="6">
        <v>2.2999999999999998</v>
      </c>
      <c r="O376" s="4" t="str">
        <f t="shared" si="5"/>
        <v>Average</v>
      </c>
      <c r="P376" s="6">
        <v>199</v>
      </c>
    </row>
    <row r="377" spans="1:16" x14ac:dyDescent="0.3">
      <c r="A377" s="6" t="s">
        <v>807</v>
      </c>
      <c r="B377" s="6">
        <v>42</v>
      </c>
      <c r="C377" s="6" t="s">
        <v>62</v>
      </c>
      <c r="D377" s="6" t="s">
        <v>47</v>
      </c>
      <c r="E377" s="6" t="s">
        <v>80</v>
      </c>
      <c r="F377" s="6">
        <v>1376</v>
      </c>
      <c r="G377" s="6">
        <v>120435.9</v>
      </c>
      <c r="H377" s="7">
        <v>41260</v>
      </c>
      <c r="I377" s="6" t="s">
        <v>56</v>
      </c>
      <c r="J377" s="6" t="s">
        <v>808</v>
      </c>
      <c r="K377" s="6" t="s">
        <v>21</v>
      </c>
      <c r="L377" s="6" t="s">
        <v>22</v>
      </c>
      <c r="M377" s="6" t="s">
        <v>23</v>
      </c>
      <c r="N377" s="6">
        <v>2.11</v>
      </c>
      <c r="O377" s="4" t="str">
        <f t="shared" si="5"/>
        <v>Average</v>
      </c>
      <c r="P377" s="6">
        <v>170</v>
      </c>
    </row>
    <row r="378" spans="1:16" x14ac:dyDescent="0.3">
      <c r="A378" s="6" t="s">
        <v>809</v>
      </c>
      <c r="B378" s="6">
        <v>47</v>
      </c>
      <c r="C378" s="6" t="s">
        <v>25</v>
      </c>
      <c r="D378" s="6" t="s">
        <v>69</v>
      </c>
      <c r="E378" s="6" t="s">
        <v>27</v>
      </c>
      <c r="F378" s="6">
        <v>1377</v>
      </c>
      <c r="G378" s="6">
        <v>168409.03</v>
      </c>
      <c r="H378" s="7">
        <v>43094</v>
      </c>
      <c r="I378" s="6" t="s">
        <v>63</v>
      </c>
      <c r="J378" s="6" t="s">
        <v>810</v>
      </c>
      <c r="K378" s="6" t="s">
        <v>30</v>
      </c>
      <c r="L378" s="6" t="s">
        <v>31</v>
      </c>
      <c r="M378" s="6" t="s">
        <v>32</v>
      </c>
      <c r="N378" s="6">
        <v>4.58</v>
      </c>
      <c r="O378" s="4" t="str">
        <f t="shared" si="5"/>
        <v>Excellent</v>
      </c>
      <c r="P378" s="6">
        <v>121</v>
      </c>
    </row>
    <row r="379" spans="1:16" x14ac:dyDescent="0.3">
      <c r="A379" s="6" t="s">
        <v>811</v>
      </c>
      <c r="B379" s="6">
        <v>24</v>
      </c>
      <c r="C379" s="6" t="s">
        <v>16</v>
      </c>
      <c r="D379" s="6" t="s">
        <v>47</v>
      </c>
      <c r="E379" s="6" t="s">
        <v>34</v>
      </c>
      <c r="F379" s="6">
        <v>1378</v>
      </c>
      <c r="G379" s="6">
        <v>165542.69</v>
      </c>
      <c r="H379" s="7">
        <v>37648</v>
      </c>
      <c r="I379" s="6" t="s">
        <v>66</v>
      </c>
      <c r="J379" s="6" t="s">
        <v>812</v>
      </c>
      <c r="K379" s="6" t="s">
        <v>37</v>
      </c>
      <c r="L379" s="6" t="s">
        <v>38</v>
      </c>
      <c r="M379" s="6" t="s">
        <v>39</v>
      </c>
      <c r="N379" s="6">
        <v>1.47</v>
      </c>
      <c r="O379" s="4" t="str">
        <f t="shared" si="5"/>
        <v>Poor</v>
      </c>
      <c r="P379" s="6">
        <v>8</v>
      </c>
    </row>
    <row r="380" spans="1:16" x14ac:dyDescent="0.3">
      <c r="A380" s="6" t="s">
        <v>813</v>
      </c>
      <c r="B380" s="6">
        <v>38</v>
      </c>
      <c r="C380" s="6" t="s">
        <v>62</v>
      </c>
      <c r="D380" s="6" t="s">
        <v>26</v>
      </c>
      <c r="E380" s="6" t="s">
        <v>34</v>
      </c>
      <c r="F380" s="6">
        <v>1379</v>
      </c>
      <c r="G380" s="6">
        <v>158346.10999999999</v>
      </c>
      <c r="H380" s="7">
        <v>42012</v>
      </c>
      <c r="I380" s="6" t="s">
        <v>70</v>
      </c>
      <c r="J380" s="6" t="s">
        <v>814</v>
      </c>
      <c r="K380" s="6" t="s">
        <v>43</v>
      </c>
      <c r="L380" s="6" t="s">
        <v>44</v>
      </c>
      <c r="M380" s="6" t="s">
        <v>45</v>
      </c>
      <c r="N380" s="6">
        <v>1.21</v>
      </c>
      <c r="O380" s="4" t="str">
        <f t="shared" si="5"/>
        <v>Poor</v>
      </c>
      <c r="P380" s="6">
        <v>49</v>
      </c>
    </row>
    <row r="381" spans="1:16" x14ac:dyDescent="0.3">
      <c r="A381" s="6" t="s">
        <v>815</v>
      </c>
      <c r="B381" s="6">
        <v>45</v>
      </c>
      <c r="C381" s="6" t="s">
        <v>16</v>
      </c>
      <c r="D381" s="6" t="s">
        <v>47</v>
      </c>
      <c r="E381" s="6" t="s">
        <v>27</v>
      </c>
      <c r="F381" s="6">
        <v>1380</v>
      </c>
      <c r="G381" s="6">
        <v>183095.37</v>
      </c>
      <c r="H381" s="7">
        <v>39811</v>
      </c>
      <c r="I381" s="6" t="s">
        <v>73</v>
      </c>
      <c r="J381" s="6" t="s">
        <v>816</v>
      </c>
      <c r="K381" s="6" t="s">
        <v>51</v>
      </c>
      <c r="L381" s="6" t="s">
        <v>52</v>
      </c>
      <c r="M381" s="6" t="s">
        <v>53</v>
      </c>
      <c r="N381" s="6">
        <v>1.46</v>
      </c>
      <c r="O381" s="4" t="str">
        <f t="shared" si="5"/>
        <v>Poor</v>
      </c>
      <c r="P381" s="6">
        <v>182</v>
      </c>
    </row>
    <row r="382" spans="1:16" x14ac:dyDescent="0.3">
      <c r="A382" s="6" t="s">
        <v>817</v>
      </c>
      <c r="B382" s="6">
        <v>46</v>
      </c>
      <c r="C382" s="6" t="s">
        <v>16</v>
      </c>
      <c r="D382" s="6" t="s">
        <v>17</v>
      </c>
      <c r="E382" s="6" t="s">
        <v>80</v>
      </c>
      <c r="F382" s="6">
        <v>1381</v>
      </c>
      <c r="G382" s="6">
        <v>86625.51</v>
      </c>
      <c r="H382" s="7">
        <v>42396</v>
      </c>
      <c r="I382" s="6" t="s">
        <v>19</v>
      </c>
      <c r="J382" s="6" t="s">
        <v>818</v>
      </c>
      <c r="K382" s="6" t="s">
        <v>21</v>
      </c>
      <c r="L382" s="6" t="s">
        <v>22</v>
      </c>
      <c r="M382" s="6" t="s">
        <v>23</v>
      </c>
      <c r="N382" s="6">
        <v>1.42</v>
      </c>
      <c r="O382" s="4" t="str">
        <f t="shared" si="5"/>
        <v>Poor</v>
      </c>
      <c r="P382" s="6">
        <v>104</v>
      </c>
    </row>
    <row r="383" spans="1:16" x14ac:dyDescent="0.3">
      <c r="A383" s="6" t="s">
        <v>819</v>
      </c>
      <c r="B383" s="6">
        <v>26</v>
      </c>
      <c r="C383" s="6" t="s">
        <v>25</v>
      </c>
      <c r="D383" s="6" t="s">
        <v>47</v>
      </c>
      <c r="E383" s="6" t="s">
        <v>80</v>
      </c>
      <c r="F383" s="6">
        <v>1382</v>
      </c>
      <c r="G383" s="6">
        <v>107360.69</v>
      </c>
      <c r="H383" s="7">
        <v>43306</v>
      </c>
      <c r="I383" s="6" t="s">
        <v>28</v>
      </c>
      <c r="J383" s="6" t="s">
        <v>820</v>
      </c>
      <c r="K383" s="6" t="s">
        <v>30</v>
      </c>
      <c r="L383" s="6" t="s">
        <v>31</v>
      </c>
      <c r="M383" s="6" t="s">
        <v>32</v>
      </c>
      <c r="N383" s="6">
        <v>1.1100000000000001</v>
      </c>
      <c r="O383" s="4" t="str">
        <f t="shared" si="5"/>
        <v>Poor</v>
      </c>
      <c r="P383" s="6">
        <v>9</v>
      </c>
    </row>
    <row r="384" spans="1:16" x14ac:dyDescent="0.3">
      <c r="A384" s="6" t="s">
        <v>821</v>
      </c>
      <c r="B384" s="6">
        <v>58</v>
      </c>
      <c r="C384" s="6" t="s">
        <v>62</v>
      </c>
      <c r="D384" s="6" t="s">
        <v>47</v>
      </c>
      <c r="E384" s="6" t="s">
        <v>48</v>
      </c>
      <c r="F384" s="6">
        <v>1383</v>
      </c>
      <c r="G384" s="6">
        <v>79133.89</v>
      </c>
      <c r="H384" s="7">
        <v>41173</v>
      </c>
      <c r="I384" s="6" t="s">
        <v>35</v>
      </c>
      <c r="J384" s="6" t="s">
        <v>822</v>
      </c>
      <c r="K384" s="6" t="s">
        <v>37</v>
      </c>
      <c r="L384" s="6" t="s">
        <v>38</v>
      </c>
      <c r="M384" s="6" t="s">
        <v>39</v>
      </c>
      <c r="N384" s="6">
        <v>2.06</v>
      </c>
      <c r="O384" s="4" t="str">
        <f t="shared" si="5"/>
        <v>Average</v>
      </c>
      <c r="P384" s="6">
        <v>174</v>
      </c>
    </row>
    <row r="385" spans="1:16" x14ac:dyDescent="0.3">
      <c r="A385" s="6" t="s">
        <v>823</v>
      </c>
      <c r="B385" s="6">
        <v>45</v>
      </c>
      <c r="C385" s="6" t="s">
        <v>25</v>
      </c>
      <c r="D385" s="6" t="s">
        <v>26</v>
      </c>
      <c r="E385" s="6" t="s">
        <v>34</v>
      </c>
      <c r="F385" s="6">
        <v>1384</v>
      </c>
      <c r="G385" s="6">
        <v>98849.600000000006</v>
      </c>
      <c r="H385" s="7">
        <v>39335</v>
      </c>
      <c r="I385" s="6" t="s">
        <v>41</v>
      </c>
      <c r="J385" s="6" t="s">
        <v>824</v>
      </c>
      <c r="K385" s="6" t="s">
        <v>43</v>
      </c>
      <c r="L385" s="6" t="s">
        <v>44</v>
      </c>
      <c r="M385" s="6" t="s">
        <v>45</v>
      </c>
      <c r="N385" s="6">
        <v>4.09</v>
      </c>
      <c r="O385" s="4" t="str">
        <f t="shared" si="5"/>
        <v>Excellent</v>
      </c>
      <c r="P385" s="6">
        <v>86</v>
      </c>
    </row>
    <row r="386" spans="1:16" x14ac:dyDescent="0.3">
      <c r="A386" s="6" t="s">
        <v>825</v>
      </c>
      <c r="B386" s="6">
        <v>52</v>
      </c>
      <c r="C386" s="6" t="s">
        <v>16</v>
      </c>
      <c r="D386" s="6" t="s">
        <v>26</v>
      </c>
      <c r="E386" s="6" t="s">
        <v>48</v>
      </c>
      <c r="F386" s="6">
        <v>1385</v>
      </c>
      <c r="G386" s="6">
        <v>83955.17</v>
      </c>
      <c r="H386" s="7">
        <v>44913</v>
      </c>
      <c r="I386" s="6" t="s">
        <v>49</v>
      </c>
      <c r="J386" s="6" t="s">
        <v>826</v>
      </c>
      <c r="K386" s="6" t="s">
        <v>51</v>
      </c>
      <c r="L386" s="6" t="s">
        <v>52</v>
      </c>
      <c r="M386" s="6" t="s">
        <v>53</v>
      </c>
      <c r="N386" s="6">
        <v>1.1299999999999999</v>
      </c>
      <c r="O386" s="4" t="str">
        <f t="shared" si="5"/>
        <v>Poor</v>
      </c>
      <c r="P386" s="6">
        <v>7</v>
      </c>
    </row>
    <row r="387" spans="1:16" x14ac:dyDescent="0.3">
      <c r="A387" s="6" t="s">
        <v>827</v>
      </c>
      <c r="B387" s="6">
        <v>47</v>
      </c>
      <c r="C387" s="6" t="s">
        <v>16</v>
      </c>
      <c r="D387" s="6" t="s">
        <v>69</v>
      </c>
      <c r="E387" s="6" t="s">
        <v>18</v>
      </c>
      <c r="F387" s="6">
        <v>1386</v>
      </c>
      <c r="G387" s="6">
        <v>55945.15</v>
      </c>
      <c r="H387" s="7">
        <v>36699</v>
      </c>
      <c r="I387" s="6" t="s">
        <v>56</v>
      </c>
      <c r="J387" s="6" t="s">
        <v>828</v>
      </c>
      <c r="K387" s="6" t="s">
        <v>21</v>
      </c>
      <c r="L387" s="6" t="s">
        <v>22</v>
      </c>
      <c r="M387" s="6" t="s">
        <v>23</v>
      </c>
      <c r="N387" s="6">
        <v>4.34</v>
      </c>
      <c r="O387" s="4" t="str">
        <f t="shared" ref="O387:O450" si="6">IF(N387&gt;=4,"Excellent",IF(N387&gt;=3,"Good",IF(N387&gt;=2,"Average","Poor")))</f>
        <v>Excellent</v>
      </c>
      <c r="P387" s="6">
        <v>140</v>
      </c>
    </row>
    <row r="388" spans="1:16" x14ac:dyDescent="0.3">
      <c r="A388" s="6" t="s">
        <v>829</v>
      </c>
      <c r="B388" s="6">
        <v>42</v>
      </c>
      <c r="C388" s="6" t="s">
        <v>16</v>
      </c>
      <c r="D388" s="6" t="s">
        <v>26</v>
      </c>
      <c r="E388" s="6" t="s">
        <v>48</v>
      </c>
      <c r="F388" s="6">
        <v>1387</v>
      </c>
      <c r="G388" s="6">
        <v>189257.88</v>
      </c>
      <c r="H388" s="7">
        <v>43222</v>
      </c>
      <c r="I388" s="6" t="s">
        <v>63</v>
      </c>
      <c r="J388" s="6" t="s">
        <v>830</v>
      </c>
      <c r="K388" s="6" t="s">
        <v>30</v>
      </c>
      <c r="L388" s="6" t="s">
        <v>31</v>
      </c>
      <c r="M388" s="6" t="s">
        <v>32</v>
      </c>
      <c r="N388" s="6">
        <v>2.86</v>
      </c>
      <c r="O388" s="4" t="str">
        <f t="shared" si="6"/>
        <v>Average</v>
      </c>
      <c r="P388" s="6">
        <v>162</v>
      </c>
    </row>
    <row r="389" spans="1:16" x14ac:dyDescent="0.3">
      <c r="A389" s="6" t="s">
        <v>831</v>
      </c>
      <c r="B389" s="6">
        <v>55</v>
      </c>
      <c r="C389" s="6" t="s">
        <v>62</v>
      </c>
      <c r="D389" s="6" t="s">
        <v>26</v>
      </c>
      <c r="E389" s="6" t="s">
        <v>48</v>
      </c>
      <c r="F389" s="6">
        <v>1388</v>
      </c>
      <c r="G389" s="6">
        <v>166063.21</v>
      </c>
      <c r="H389" s="7">
        <v>37013</v>
      </c>
      <c r="I389" s="6" t="s">
        <v>66</v>
      </c>
      <c r="J389" s="6" t="s">
        <v>832</v>
      </c>
      <c r="K389" s="6" t="s">
        <v>37</v>
      </c>
      <c r="L389" s="6" t="s">
        <v>38</v>
      </c>
      <c r="M389" s="6" t="s">
        <v>39</v>
      </c>
      <c r="N389" s="6">
        <v>4.66</v>
      </c>
      <c r="O389" s="4" t="str">
        <f t="shared" si="6"/>
        <v>Excellent</v>
      </c>
      <c r="P389" s="6">
        <v>141</v>
      </c>
    </row>
    <row r="390" spans="1:16" x14ac:dyDescent="0.3">
      <c r="A390" s="6" t="s">
        <v>833</v>
      </c>
      <c r="B390" s="6">
        <v>59</v>
      </c>
      <c r="C390" s="6" t="s">
        <v>25</v>
      </c>
      <c r="D390" s="6" t="s">
        <v>26</v>
      </c>
      <c r="E390" s="6" t="s">
        <v>27</v>
      </c>
      <c r="F390" s="6">
        <v>1389</v>
      </c>
      <c r="G390" s="6">
        <v>96180.12</v>
      </c>
      <c r="H390" s="7">
        <v>40608</v>
      </c>
      <c r="I390" s="6" t="s">
        <v>70</v>
      </c>
      <c r="J390" s="6" t="s">
        <v>834</v>
      </c>
      <c r="K390" s="6" t="s">
        <v>43</v>
      </c>
      <c r="L390" s="6" t="s">
        <v>44</v>
      </c>
      <c r="M390" s="6" t="s">
        <v>45</v>
      </c>
      <c r="N390" s="6">
        <v>2.89</v>
      </c>
      <c r="O390" s="4" t="str">
        <f t="shared" si="6"/>
        <v>Average</v>
      </c>
      <c r="P390" s="6">
        <v>128</v>
      </c>
    </row>
    <row r="391" spans="1:16" x14ac:dyDescent="0.3">
      <c r="A391" s="6" t="s">
        <v>835</v>
      </c>
      <c r="B391" s="6">
        <v>45</v>
      </c>
      <c r="C391" s="6" t="s">
        <v>25</v>
      </c>
      <c r="D391" s="6" t="s">
        <v>47</v>
      </c>
      <c r="E391" s="6" t="s">
        <v>48</v>
      </c>
      <c r="F391" s="6">
        <v>1390</v>
      </c>
      <c r="G391" s="6">
        <v>146965.15</v>
      </c>
      <c r="H391" s="7">
        <v>38860</v>
      </c>
      <c r="I391" s="6" t="s">
        <v>73</v>
      </c>
      <c r="J391" s="6" t="s">
        <v>836</v>
      </c>
      <c r="K391" s="6" t="s">
        <v>51</v>
      </c>
      <c r="L391" s="6" t="s">
        <v>52</v>
      </c>
      <c r="M391" s="6" t="s">
        <v>53</v>
      </c>
      <c r="N391" s="6">
        <v>3.38</v>
      </c>
      <c r="O391" s="4" t="str">
        <f t="shared" si="6"/>
        <v>Good</v>
      </c>
      <c r="P391" s="6">
        <v>165</v>
      </c>
    </row>
    <row r="392" spans="1:16" x14ac:dyDescent="0.3">
      <c r="A392" s="6" t="s">
        <v>837</v>
      </c>
      <c r="B392" s="6">
        <v>49</v>
      </c>
      <c r="C392" s="6" t="s">
        <v>62</v>
      </c>
      <c r="D392" s="6" t="s">
        <v>47</v>
      </c>
      <c r="E392" s="6" t="s">
        <v>18</v>
      </c>
      <c r="F392" s="6">
        <v>1391</v>
      </c>
      <c r="G392" s="6">
        <v>50377.71</v>
      </c>
      <c r="H392" s="7">
        <v>39423</v>
      </c>
      <c r="I392" s="6" t="s">
        <v>19</v>
      </c>
      <c r="J392" s="6" t="s">
        <v>838</v>
      </c>
      <c r="K392" s="6" t="s">
        <v>21</v>
      </c>
      <c r="L392" s="6" t="s">
        <v>22</v>
      </c>
      <c r="M392" s="6" t="s">
        <v>23</v>
      </c>
      <c r="N392" s="6">
        <v>4.51</v>
      </c>
      <c r="O392" s="4" t="str">
        <f t="shared" si="6"/>
        <v>Excellent</v>
      </c>
      <c r="P392" s="6">
        <v>3</v>
      </c>
    </row>
    <row r="393" spans="1:16" x14ac:dyDescent="0.3">
      <c r="A393" s="6" t="s">
        <v>839</v>
      </c>
      <c r="B393" s="6">
        <v>51</v>
      </c>
      <c r="C393" s="6" t="s">
        <v>25</v>
      </c>
      <c r="D393" s="6" t="s">
        <v>26</v>
      </c>
      <c r="E393" s="6" t="s">
        <v>48</v>
      </c>
      <c r="F393" s="6">
        <v>1392</v>
      </c>
      <c r="G393" s="6">
        <v>164374.14000000001</v>
      </c>
      <c r="H393" s="7">
        <v>39945</v>
      </c>
      <c r="I393" s="6" t="s">
        <v>28</v>
      </c>
      <c r="J393" s="6" t="s">
        <v>840</v>
      </c>
      <c r="K393" s="6" t="s">
        <v>30</v>
      </c>
      <c r="L393" s="6" t="s">
        <v>31</v>
      </c>
      <c r="M393" s="6" t="s">
        <v>32</v>
      </c>
      <c r="N393" s="6">
        <v>1.35</v>
      </c>
      <c r="O393" s="4" t="str">
        <f t="shared" si="6"/>
        <v>Poor</v>
      </c>
      <c r="P393" s="6">
        <v>28</v>
      </c>
    </row>
    <row r="394" spans="1:16" x14ac:dyDescent="0.3">
      <c r="A394" s="6" t="s">
        <v>841</v>
      </c>
      <c r="B394" s="6">
        <v>55</v>
      </c>
      <c r="C394" s="6" t="s">
        <v>25</v>
      </c>
      <c r="D394" s="6" t="s">
        <v>55</v>
      </c>
      <c r="E394" s="6" t="s">
        <v>80</v>
      </c>
      <c r="F394" s="6">
        <v>1393</v>
      </c>
      <c r="G394" s="6">
        <v>129558.01</v>
      </c>
      <c r="H394" s="7">
        <v>36849</v>
      </c>
      <c r="I394" s="6" t="s">
        <v>35</v>
      </c>
      <c r="J394" s="6" t="s">
        <v>842</v>
      </c>
      <c r="K394" s="6" t="s">
        <v>37</v>
      </c>
      <c r="L394" s="6" t="s">
        <v>38</v>
      </c>
      <c r="M394" s="6" t="s">
        <v>39</v>
      </c>
      <c r="N394" s="6">
        <v>4.63</v>
      </c>
      <c r="O394" s="4" t="str">
        <f t="shared" si="6"/>
        <v>Excellent</v>
      </c>
      <c r="P394" s="6">
        <v>120</v>
      </c>
    </row>
    <row r="395" spans="1:16" x14ac:dyDescent="0.3">
      <c r="A395" s="6" t="s">
        <v>843</v>
      </c>
      <c r="B395" s="6">
        <v>44</v>
      </c>
      <c r="C395" s="6" t="s">
        <v>16</v>
      </c>
      <c r="D395" s="6" t="s">
        <v>26</v>
      </c>
      <c r="E395" s="6" t="s">
        <v>48</v>
      </c>
      <c r="F395" s="6">
        <v>1394</v>
      </c>
      <c r="G395" s="6">
        <v>69389.240000000005</v>
      </c>
      <c r="H395" s="7">
        <v>40313</v>
      </c>
      <c r="I395" s="6" t="s">
        <v>41</v>
      </c>
      <c r="J395" s="6" t="s">
        <v>844</v>
      </c>
      <c r="K395" s="6" t="s">
        <v>43</v>
      </c>
      <c r="L395" s="6" t="s">
        <v>44</v>
      </c>
      <c r="M395" s="6" t="s">
        <v>45</v>
      </c>
      <c r="N395" s="6">
        <v>2.88</v>
      </c>
      <c r="O395" s="4" t="str">
        <f t="shared" si="6"/>
        <v>Average</v>
      </c>
      <c r="P395" s="6">
        <v>101</v>
      </c>
    </row>
    <row r="396" spans="1:16" x14ac:dyDescent="0.3">
      <c r="A396" s="6" t="s">
        <v>845</v>
      </c>
      <c r="B396" s="6">
        <v>29</v>
      </c>
      <c r="C396" s="6" t="s">
        <v>16</v>
      </c>
      <c r="D396" s="6" t="s">
        <v>26</v>
      </c>
      <c r="E396" s="6" t="s">
        <v>27</v>
      </c>
      <c r="F396" s="6">
        <v>1395</v>
      </c>
      <c r="G396" s="6">
        <v>108015.22</v>
      </c>
      <c r="H396" s="7">
        <v>37409</v>
      </c>
      <c r="I396" s="6" t="s">
        <v>49</v>
      </c>
      <c r="J396" s="6" t="s">
        <v>846</v>
      </c>
      <c r="K396" s="6" t="s">
        <v>51</v>
      </c>
      <c r="L396" s="6" t="s">
        <v>52</v>
      </c>
      <c r="M396" s="6" t="s">
        <v>53</v>
      </c>
      <c r="N396" s="6">
        <v>2.92</v>
      </c>
      <c r="O396" s="4" t="str">
        <f t="shared" si="6"/>
        <v>Average</v>
      </c>
      <c r="P396" s="6">
        <v>121</v>
      </c>
    </row>
    <row r="397" spans="1:16" x14ac:dyDescent="0.3">
      <c r="A397" s="6" t="s">
        <v>847</v>
      </c>
      <c r="B397" s="6">
        <v>63</v>
      </c>
      <c r="C397" s="6" t="s">
        <v>16</v>
      </c>
      <c r="D397" s="6" t="s">
        <v>69</v>
      </c>
      <c r="E397" s="6" t="s">
        <v>27</v>
      </c>
      <c r="F397" s="6">
        <v>1396</v>
      </c>
      <c r="G397" s="6">
        <v>66325.66</v>
      </c>
      <c r="H397" s="7">
        <v>36867</v>
      </c>
      <c r="I397" s="6" t="s">
        <v>56</v>
      </c>
      <c r="J397" s="6" t="s">
        <v>848</v>
      </c>
      <c r="K397" s="6" t="s">
        <v>21</v>
      </c>
      <c r="L397" s="6" t="s">
        <v>22</v>
      </c>
      <c r="M397" s="6" t="s">
        <v>23</v>
      </c>
      <c r="N397" s="6">
        <v>3.48</v>
      </c>
      <c r="O397" s="4" t="str">
        <f t="shared" si="6"/>
        <v>Good</v>
      </c>
      <c r="P397" s="6">
        <v>187</v>
      </c>
    </row>
    <row r="398" spans="1:16" x14ac:dyDescent="0.3">
      <c r="A398" s="6" t="s">
        <v>849</v>
      </c>
      <c r="B398" s="6">
        <v>31</v>
      </c>
      <c r="C398" s="6" t="s">
        <v>62</v>
      </c>
      <c r="D398" s="6" t="s">
        <v>26</v>
      </c>
      <c r="E398" s="6" t="s">
        <v>27</v>
      </c>
      <c r="F398" s="6">
        <v>1397</v>
      </c>
      <c r="G398" s="6">
        <v>131376</v>
      </c>
      <c r="H398" s="7">
        <v>40722</v>
      </c>
      <c r="I398" s="6" t="s">
        <v>63</v>
      </c>
      <c r="J398" s="6" t="s">
        <v>850</v>
      </c>
      <c r="K398" s="6" t="s">
        <v>30</v>
      </c>
      <c r="L398" s="6" t="s">
        <v>31</v>
      </c>
      <c r="M398" s="6" t="s">
        <v>32</v>
      </c>
      <c r="N398" s="6">
        <v>4.5</v>
      </c>
      <c r="O398" s="4" t="str">
        <f t="shared" si="6"/>
        <v>Excellent</v>
      </c>
      <c r="P398" s="6">
        <v>16</v>
      </c>
    </row>
    <row r="399" spans="1:16" x14ac:dyDescent="0.3">
      <c r="A399" s="6" t="s">
        <v>851</v>
      </c>
      <c r="B399" s="6">
        <v>22</v>
      </c>
      <c r="C399" s="6" t="s">
        <v>16</v>
      </c>
      <c r="D399" s="6" t="s">
        <v>26</v>
      </c>
      <c r="E399" s="6" t="s">
        <v>48</v>
      </c>
      <c r="F399" s="6">
        <v>1398</v>
      </c>
      <c r="G399" s="6">
        <v>92174.65</v>
      </c>
      <c r="H399" s="7">
        <v>37932</v>
      </c>
      <c r="I399" s="6" t="s">
        <v>66</v>
      </c>
      <c r="J399" s="6" t="s">
        <v>852</v>
      </c>
      <c r="K399" s="6" t="s">
        <v>37</v>
      </c>
      <c r="L399" s="6" t="s">
        <v>38</v>
      </c>
      <c r="M399" s="6" t="s">
        <v>39</v>
      </c>
      <c r="N399" s="6">
        <v>3.88</v>
      </c>
      <c r="O399" s="4" t="str">
        <f t="shared" si="6"/>
        <v>Good</v>
      </c>
      <c r="P399" s="6">
        <v>42</v>
      </c>
    </row>
    <row r="400" spans="1:16" x14ac:dyDescent="0.3">
      <c r="A400" s="6" t="s">
        <v>853</v>
      </c>
      <c r="B400" s="6">
        <v>41</v>
      </c>
      <c r="C400" s="6" t="s">
        <v>25</v>
      </c>
      <c r="D400" s="6" t="s">
        <v>69</v>
      </c>
      <c r="E400" s="6" t="s">
        <v>18</v>
      </c>
      <c r="F400" s="6">
        <v>1399</v>
      </c>
      <c r="G400" s="6">
        <v>152633.64000000001</v>
      </c>
      <c r="H400" s="7">
        <v>38467</v>
      </c>
      <c r="I400" s="6" t="s">
        <v>70</v>
      </c>
      <c r="J400" s="6" t="s">
        <v>854</v>
      </c>
      <c r="K400" s="6" t="s">
        <v>43</v>
      </c>
      <c r="L400" s="6" t="s">
        <v>44</v>
      </c>
      <c r="M400" s="6" t="s">
        <v>45</v>
      </c>
      <c r="N400" s="6">
        <v>3.8</v>
      </c>
      <c r="O400" s="4" t="str">
        <f t="shared" si="6"/>
        <v>Good</v>
      </c>
      <c r="P400" s="6">
        <v>39</v>
      </c>
    </row>
    <row r="401" spans="1:16" x14ac:dyDescent="0.3">
      <c r="A401" s="6" t="s">
        <v>855</v>
      </c>
      <c r="B401" s="6">
        <v>58</v>
      </c>
      <c r="C401" s="6" t="s">
        <v>62</v>
      </c>
      <c r="D401" s="6" t="s">
        <v>26</v>
      </c>
      <c r="E401" s="6" t="s">
        <v>34</v>
      </c>
      <c r="F401" s="6">
        <v>1400</v>
      </c>
      <c r="G401" s="6">
        <v>189097.28</v>
      </c>
      <c r="H401" s="7">
        <v>42024</v>
      </c>
      <c r="I401" s="6" t="s">
        <v>73</v>
      </c>
      <c r="J401" s="6" t="s">
        <v>856</v>
      </c>
      <c r="K401" s="6" t="s">
        <v>51</v>
      </c>
      <c r="L401" s="6" t="s">
        <v>52</v>
      </c>
      <c r="M401" s="6" t="s">
        <v>53</v>
      </c>
      <c r="N401" s="6">
        <v>1.48</v>
      </c>
      <c r="O401" s="4" t="str">
        <f t="shared" si="6"/>
        <v>Poor</v>
      </c>
      <c r="P401" s="6">
        <v>41</v>
      </c>
    </row>
    <row r="402" spans="1:16" x14ac:dyDescent="0.3">
      <c r="A402" s="6" t="s">
        <v>857</v>
      </c>
      <c r="B402" s="6">
        <v>39</v>
      </c>
      <c r="C402" s="6" t="s">
        <v>25</v>
      </c>
      <c r="D402" s="6" t="s">
        <v>26</v>
      </c>
      <c r="E402" s="6" t="s">
        <v>27</v>
      </c>
      <c r="F402" s="6">
        <v>1401</v>
      </c>
      <c r="G402" s="6">
        <v>56287.66</v>
      </c>
      <c r="H402" s="7">
        <v>40219</v>
      </c>
      <c r="I402" s="6" t="s">
        <v>19</v>
      </c>
      <c r="J402" s="6" t="s">
        <v>858</v>
      </c>
      <c r="K402" s="6" t="s">
        <v>21</v>
      </c>
      <c r="L402" s="6" t="s">
        <v>22</v>
      </c>
      <c r="M402" s="6" t="s">
        <v>23</v>
      </c>
      <c r="N402" s="6">
        <v>3.25</v>
      </c>
      <c r="O402" s="4" t="str">
        <f t="shared" si="6"/>
        <v>Good</v>
      </c>
      <c r="P402" s="6">
        <v>150</v>
      </c>
    </row>
    <row r="403" spans="1:16" x14ac:dyDescent="0.3">
      <c r="A403" s="6" t="s">
        <v>859</v>
      </c>
      <c r="B403" s="6">
        <v>42</v>
      </c>
      <c r="C403" s="6" t="s">
        <v>62</v>
      </c>
      <c r="D403" s="6" t="s">
        <v>17</v>
      </c>
      <c r="E403" s="6" t="s">
        <v>48</v>
      </c>
      <c r="F403" s="6">
        <v>1402</v>
      </c>
      <c r="G403" s="6">
        <v>100083.47</v>
      </c>
      <c r="H403" s="7">
        <v>42495</v>
      </c>
      <c r="I403" s="6" t="s">
        <v>28</v>
      </c>
      <c r="J403" s="6" t="s">
        <v>860</v>
      </c>
      <c r="K403" s="6" t="s">
        <v>30</v>
      </c>
      <c r="L403" s="6" t="s">
        <v>31</v>
      </c>
      <c r="M403" s="6" t="s">
        <v>32</v>
      </c>
      <c r="N403" s="6">
        <v>3.22</v>
      </c>
      <c r="O403" s="4" t="str">
        <f t="shared" si="6"/>
        <v>Good</v>
      </c>
      <c r="P403" s="6">
        <v>137</v>
      </c>
    </row>
    <row r="404" spans="1:16" x14ac:dyDescent="0.3">
      <c r="A404" s="6" t="s">
        <v>861</v>
      </c>
      <c r="B404" s="6">
        <v>25</v>
      </c>
      <c r="C404" s="6" t="s">
        <v>25</v>
      </c>
      <c r="D404" s="6" t="s">
        <v>69</v>
      </c>
      <c r="E404" s="6" t="s">
        <v>34</v>
      </c>
      <c r="F404" s="6">
        <v>1403</v>
      </c>
      <c r="G404" s="6">
        <v>120298.18</v>
      </c>
      <c r="H404" s="7">
        <v>44219</v>
      </c>
      <c r="I404" s="6" t="s">
        <v>35</v>
      </c>
      <c r="J404" s="6" t="s">
        <v>862</v>
      </c>
      <c r="K404" s="6" t="s">
        <v>37</v>
      </c>
      <c r="L404" s="6" t="s">
        <v>38</v>
      </c>
      <c r="M404" s="6" t="s">
        <v>39</v>
      </c>
      <c r="N404" s="6">
        <v>3.04</v>
      </c>
      <c r="O404" s="4" t="str">
        <f t="shared" si="6"/>
        <v>Good</v>
      </c>
      <c r="P404" s="6">
        <v>173</v>
      </c>
    </row>
    <row r="405" spans="1:16" x14ac:dyDescent="0.3">
      <c r="A405" s="6" t="s">
        <v>863</v>
      </c>
      <c r="B405" s="6">
        <v>64</v>
      </c>
      <c r="C405" s="6" t="s">
        <v>62</v>
      </c>
      <c r="D405" s="6" t="s">
        <v>69</v>
      </c>
      <c r="E405" s="6" t="s">
        <v>80</v>
      </c>
      <c r="F405" s="6">
        <v>1404</v>
      </c>
      <c r="G405" s="6">
        <v>158702.24</v>
      </c>
      <c r="H405" s="7">
        <v>40812</v>
      </c>
      <c r="I405" s="6" t="s">
        <v>41</v>
      </c>
      <c r="J405" s="6" t="s">
        <v>864</v>
      </c>
      <c r="K405" s="6" t="s">
        <v>43</v>
      </c>
      <c r="L405" s="6" t="s">
        <v>44</v>
      </c>
      <c r="M405" s="6" t="s">
        <v>45</v>
      </c>
      <c r="N405" s="6">
        <v>1.1299999999999999</v>
      </c>
      <c r="O405" s="4" t="str">
        <f t="shared" si="6"/>
        <v>Poor</v>
      </c>
      <c r="P405" s="6">
        <v>67</v>
      </c>
    </row>
    <row r="406" spans="1:16" x14ac:dyDescent="0.3">
      <c r="A406" s="6" t="s">
        <v>865</v>
      </c>
      <c r="B406" s="6">
        <v>23</v>
      </c>
      <c r="C406" s="6" t="s">
        <v>25</v>
      </c>
      <c r="D406" s="6" t="s">
        <v>17</v>
      </c>
      <c r="E406" s="6" t="s">
        <v>80</v>
      </c>
      <c r="F406" s="6">
        <v>1405</v>
      </c>
      <c r="G406" s="6">
        <v>77263.34</v>
      </c>
      <c r="H406" s="7">
        <v>44586</v>
      </c>
      <c r="I406" s="6" t="s">
        <v>49</v>
      </c>
      <c r="J406" s="6" t="s">
        <v>866</v>
      </c>
      <c r="K406" s="6" t="s">
        <v>51</v>
      </c>
      <c r="L406" s="6" t="s">
        <v>52</v>
      </c>
      <c r="M406" s="6" t="s">
        <v>53</v>
      </c>
      <c r="N406" s="6">
        <v>4.07</v>
      </c>
      <c r="O406" s="4" t="str">
        <f t="shared" si="6"/>
        <v>Excellent</v>
      </c>
      <c r="P406" s="6">
        <v>145</v>
      </c>
    </row>
    <row r="407" spans="1:16" x14ac:dyDescent="0.3">
      <c r="A407" s="6" t="s">
        <v>867</v>
      </c>
      <c r="B407" s="6">
        <v>42</v>
      </c>
      <c r="C407" s="6" t="s">
        <v>16</v>
      </c>
      <c r="D407" s="6" t="s">
        <v>69</v>
      </c>
      <c r="E407" s="6" t="s">
        <v>27</v>
      </c>
      <c r="F407" s="6">
        <v>1406</v>
      </c>
      <c r="G407" s="6">
        <v>81558.710000000006</v>
      </c>
      <c r="H407" s="7">
        <v>43449</v>
      </c>
      <c r="I407" s="6" t="s">
        <v>56</v>
      </c>
      <c r="J407" s="6" t="s">
        <v>868</v>
      </c>
      <c r="K407" s="6" t="s">
        <v>21</v>
      </c>
      <c r="L407" s="6" t="s">
        <v>22</v>
      </c>
      <c r="M407" s="6" t="s">
        <v>23</v>
      </c>
      <c r="N407" s="6">
        <v>2.29</v>
      </c>
      <c r="O407" s="4" t="str">
        <f t="shared" si="6"/>
        <v>Average</v>
      </c>
      <c r="P407" s="6">
        <v>169</v>
      </c>
    </row>
    <row r="408" spans="1:16" x14ac:dyDescent="0.3">
      <c r="A408" s="6" t="s">
        <v>869</v>
      </c>
      <c r="B408" s="6">
        <v>58</v>
      </c>
      <c r="C408" s="6" t="s">
        <v>62</v>
      </c>
      <c r="D408" s="6" t="s">
        <v>55</v>
      </c>
      <c r="E408" s="6" t="s">
        <v>27</v>
      </c>
      <c r="F408" s="6">
        <v>1407</v>
      </c>
      <c r="G408" s="6">
        <v>72396.899999999994</v>
      </c>
      <c r="H408" s="7">
        <v>41277</v>
      </c>
      <c r="I408" s="6" t="s">
        <v>63</v>
      </c>
      <c r="J408" s="6" t="s">
        <v>870</v>
      </c>
      <c r="K408" s="6" t="s">
        <v>30</v>
      </c>
      <c r="L408" s="6" t="s">
        <v>31</v>
      </c>
      <c r="M408" s="6" t="s">
        <v>32</v>
      </c>
      <c r="N408" s="6">
        <v>2.75</v>
      </c>
      <c r="O408" s="4" t="str">
        <f t="shared" si="6"/>
        <v>Average</v>
      </c>
      <c r="P408" s="6">
        <v>140</v>
      </c>
    </row>
    <row r="409" spans="1:16" x14ac:dyDescent="0.3">
      <c r="A409" s="6" t="s">
        <v>871</v>
      </c>
      <c r="B409" s="6">
        <v>26</v>
      </c>
      <c r="C409" s="6" t="s">
        <v>25</v>
      </c>
      <c r="D409" s="6" t="s">
        <v>47</v>
      </c>
      <c r="E409" s="6" t="s">
        <v>80</v>
      </c>
      <c r="F409" s="6">
        <v>1408</v>
      </c>
      <c r="G409" s="6">
        <v>78211.460000000006</v>
      </c>
      <c r="H409" s="7">
        <v>44051</v>
      </c>
      <c r="I409" s="6" t="s">
        <v>66</v>
      </c>
      <c r="J409" s="6" t="s">
        <v>872</v>
      </c>
      <c r="K409" s="6" t="s">
        <v>37</v>
      </c>
      <c r="L409" s="6" t="s">
        <v>38</v>
      </c>
      <c r="M409" s="6" t="s">
        <v>39</v>
      </c>
      <c r="N409" s="6">
        <v>4.53</v>
      </c>
      <c r="O409" s="4" t="str">
        <f t="shared" si="6"/>
        <v>Excellent</v>
      </c>
      <c r="P409" s="6">
        <v>141</v>
      </c>
    </row>
    <row r="410" spans="1:16" x14ac:dyDescent="0.3">
      <c r="A410" s="6" t="s">
        <v>873</v>
      </c>
      <c r="B410" s="6">
        <v>38</v>
      </c>
      <c r="C410" s="6" t="s">
        <v>25</v>
      </c>
      <c r="D410" s="6" t="s">
        <v>47</v>
      </c>
      <c r="E410" s="6" t="s">
        <v>27</v>
      </c>
      <c r="F410" s="6">
        <v>1409</v>
      </c>
      <c r="G410" s="6">
        <v>91186.13</v>
      </c>
      <c r="H410" s="7">
        <v>42871</v>
      </c>
      <c r="I410" s="6" t="s">
        <v>70</v>
      </c>
      <c r="J410" s="6" t="s">
        <v>874</v>
      </c>
      <c r="K410" s="6" t="s">
        <v>43</v>
      </c>
      <c r="L410" s="6" t="s">
        <v>44</v>
      </c>
      <c r="M410" s="6" t="s">
        <v>45</v>
      </c>
      <c r="N410" s="6">
        <v>4.7300000000000004</v>
      </c>
      <c r="O410" s="4" t="str">
        <f t="shared" si="6"/>
        <v>Excellent</v>
      </c>
      <c r="P410" s="6">
        <v>19</v>
      </c>
    </row>
    <row r="411" spans="1:16" x14ac:dyDescent="0.3">
      <c r="A411" s="6" t="s">
        <v>875</v>
      </c>
      <c r="B411" s="6">
        <v>32</v>
      </c>
      <c r="C411" s="6" t="s">
        <v>25</v>
      </c>
      <c r="D411" s="6" t="s">
        <v>69</v>
      </c>
      <c r="E411" s="6" t="s">
        <v>80</v>
      </c>
      <c r="F411" s="6">
        <v>1410</v>
      </c>
      <c r="G411" s="6">
        <v>198921.42</v>
      </c>
      <c r="H411" s="7">
        <v>40695</v>
      </c>
      <c r="I411" s="6" t="s">
        <v>73</v>
      </c>
      <c r="J411" s="6" t="s">
        <v>876</v>
      </c>
      <c r="K411" s="6" t="s">
        <v>51</v>
      </c>
      <c r="L411" s="6" t="s">
        <v>52</v>
      </c>
      <c r="M411" s="6" t="s">
        <v>53</v>
      </c>
      <c r="N411" s="6">
        <v>1.05</v>
      </c>
      <c r="O411" s="4" t="str">
        <f t="shared" si="6"/>
        <v>Poor</v>
      </c>
      <c r="P411" s="6">
        <v>118</v>
      </c>
    </row>
    <row r="412" spans="1:16" x14ac:dyDescent="0.3">
      <c r="A412" s="6" t="s">
        <v>877</v>
      </c>
      <c r="B412" s="6">
        <v>62</v>
      </c>
      <c r="C412" s="6" t="s">
        <v>25</v>
      </c>
      <c r="D412" s="6" t="s">
        <v>47</v>
      </c>
      <c r="E412" s="6" t="s">
        <v>48</v>
      </c>
      <c r="F412" s="6">
        <v>1411</v>
      </c>
      <c r="G412" s="6">
        <v>56218.77</v>
      </c>
      <c r="H412" s="7">
        <v>43986</v>
      </c>
      <c r="I412" s="6" t="s">
        <v>19</v>
      </c>
      <c r="J412" s="6" t="s">
        <v>878</v>
      </c>
      <c r="K412" s="6" t="s">
        <v>21</v>
      </c>
      <c r="L412" s="6" t="s">
        <v>22</v>
      </c>
      <c r="M412" s="6" t="s">
        <v>23</v>
      </c>
      <c r="N412" s="6">
        <v>4.3600000000000003</v>
      </c>
      <c r="O412" s="4" t="str">
        <f t="shared" si="6"/>
        <v>Excellent</v>
      </c>
      <c r="P412" s="6">
        <v>116</v>
      </c>
    </row>
    <row r="413" spans="1:16" x14ac:dyDescent="0.3">
      <c r="A413" s="6" t="s">
        <v>879</v>
      </c>
      <c r="B413" s="6">
        <v>52</v>
      </c>
      <c r="C413" s="6" t="s">
        <v>16</v>
      </c>
      <c r="D413" s="6" t="s">
        <v>26</v>
      </c>
      <c r="E413" s="6" t="s">
        <v>34</v>
      </c>
      <c r="F413" s="6">
        <v>1412</v>
      </c>
      <c r="G413" s="6">
        <v>90202.02</v>
      </c>
      <c r="H413" s="7">
        <v>42890</v>
      </c>
      <c r="I413" s="6" t="s">
        <v>28</v>
      </c>
      <c r="J413" s="6" t="s">
        <v>880</v>
      </c>
      <c r="K413" s="6" t="s">
        <v>30</v>
      </c>
      <c r="L413" s="6" t="s">
        <v>31</v>
      </c>
      <c r="M413" s="6" t="s">
        <v>32</v>
      </c>
      <c r="N413" s="6">
        <v>4.04</v>
      </c>
      <c r="O413" s="4" t="str">
        <f t="shared" si="6"/>
        <v>Excellent</v>
      </c>
      <c r="P413" s="6">
        <v>26</v>
      </c>
    </row>
    <row r="414" spans="1:16" x14ac:dyDescent="0.3">
      <c r="A414" s="6" t="s">
        <v>881</v>
      </c>
      <c r="B414" s="6">
        <v>49</v>
      </c>
      <c r="C414" s="6" t="s">
        <v>16</v>
      </c>
      <c r="D414" s="6" t="s">
        <v>26</v>
      </c>
      <c r="E414" s="6" t="s">
        <v>48</v>
      </c>
      <c r="F414" s="6">
        <v>1413</v>
      </c>
      <c r="G414" s="6">
        <v>113204.39</v>
      </c>
      <c r="H414" s="7">
        <v>41689</v>
      </c>
      <c r="I414" s="6" t="s">
        <v>35</v>
      </c>
      <c r="J414" s="6" t="s">
        <v>882</v>
      </c>
      <c r="K414" s="6" t="s">
        <v>37</v>
      </c>
      <c r="L414" s="6" t="s">
        <v>38</v>
      </c>
      <c r="M414" s="6" t="s">
        <v>39</v>
      </c>
      <c r="N414" s="6">
        <v>4.83</v>
      </c>
      <c r="O414" s="4" t="str">
        <f t="shared" si="6"/>
        <v>Excellent</v>
      </c>
      <c r="P414" s="6">
        <v>69</v>
      </c>
    </row>
    <row r="415" spans="1:16" x14ac:dyDescent="0.3">
      <c r="A415" s="6" t="s">
        <v>883</v>
      </c>
      <c r="B415" s="6">
        <v>53</v>
      </c>
      <c r="C415" s="6" t="s">
        <v>62</v>
      </c>
      <c r="D415" s="6" t="s">
        <v>55</v>
      </c>
      <c r="E415" s="6" t="s">
        <v>80</v>
      </c>
      <c r="F415" s="6">
        <v>1414</v>
      </c>
      <c r="G415" s="6">
        <v>190124.27</v>
      </c>
      <c r="H415" s="7">
        <v>42865</v>
      </c>
      <c r="I415" s="6" t="s">
        <v>41</v>
      </c>
      <c r="J415" s="6" t="s">
        <v>884</v>
      </c>
      <c r="K415" s="6" t="s">
        <v>43</v>
      </c>
      <c r="L415" s="6" t="s">
        <v>44</v>
      </c>
      <c r="M415" s="6" t="s">
        <v>45</v>
      </c>
      <c r="N415" s="6">
        <v>4.83</v>
      </c>
      <c r="O415" s="4" t="str">
        <f t="shared" si="6"/>
        <v>Excellent</v>
      </c>
      <c r="P415" s="6">
        <v>181</v>
      </c>
    </row>
    <row r="416" spans="1:16" x14ac:dyDescent="0.3">
      <c r="A416" s="6" t="s">
        <v>885</v>
      </c>
      <c r="B416" s="6">
        <v>42</v>
      </c>
      <c r="C416" s="6" t="s">
        <v>62</v>
      </c>
      <c r="D416" s="6" t="s">
        <v>17</v>
      </c>
      <c r="E416" s="6" t="s">
        <v>48</v>
      </c>
      <c r="F416" s="6">
        <v>1415</v>
      </c>
      <c r="G416" s="6">
        <v>90825.03</v>
      </c>
      <c r="H416" s="7">
        <v>37962</v>
      </c>
      <c r="I416" s="6" t="s">
        <v>49</v>
      </c>
      <c r="J416" s="6" t="s">
        <v>886</v>
      </c>
      <c r="K416" s="6" t="s">
        <v>51</v>
      </c>
      <c r="L416" s="6" t="s">
        <v>52</v>
      </c>
      <c r="M416" s="6" t="s">
        <v>53</v>
      </c>
      <c r="N416" s="6">
        <v>4.8600000000000003</v>
      </c>
      <c r="O416" s="4" t="str">
        <f t="shared" si="6"/>
        <v>Excellent</v>
      </c>
      <c r="P416" s="6">
        <v>130</v>
      </c>
    </row>
    <row r="417" spans="1:16" x14ac:dyDescent="0.3">
      <c r="A417" s="6" t="s">
        <v>887</v>
      </c>
      <c r="B417" s="6">
        <v>28</v>
      </c>
      <c r="C417" s="6" t="s">
        <v>25</v>
      </c>
      <c r="D417" s="6" t="s">
        <v>47</v>
      </c>
      <c r="E417" s="6" t="s">
        <v>80</v>
      </c>
      <c r="F417" s="6">
        <v>1416</v>
      </c>
      <c r="G417" s="6">
        <v>102098.94</v>
      </c>
      <c r="H417" s="7">
        <v>43703</v>
      </c>
      <c r="I417" s="6" t="s">
        <v>56</v>
      </c>
      <c r="J417" s="6" t="s">
        <v>888</v>
      </c>
      <c r="K417" s="6" t="s">
        <v>21</v>
      </c>
      <c r="L417" s="6" t="s">
        <v>22</v>
      </c>
      <c r="M417" s="6" t="s">
        <v>23</v>
      </c>
      <c r="N417" s="6">
        <v>4.22</v>
      </c>
      <c r="O417" s="4" t="str">
        <f t="shared" si="6"/>
        <v>Excellent</v>
      </c>
      <c r="P417" s="6">
        <v>134</v>
      </c>
    </row>
    <row r="418" spans="1:16" x14ac:dyDescent="0.3">
      <c r="A418" s="6" t="s">
        <v>889</v>
      </c>
      <c r="B418" s="6">
        <v>31</v>
      </c>
      <c r="C418" s="6" t="s">
        <v>62</v>
      </c>
      <c r="D418" s="6" t="s">
        <v>55</v>
      </c>
      <c r="E418" s="6" t="s">
        <v>48</v>
      </c>
      <c r="F418" s="6">
        <v>1417</v>
      </c>
      <c r="G418" s="6">
        <v>126445.75</v>
      </c>
      <c r="H418" s="7">
        <v>44165</v>
      </c>
      <c r="I418" s="6" t="s">
        <v>63</v>
      </c>
      <c r="J418" s="6" t="s">
        <v>890</v>
      </c>
      <c r="K418" s="6" t="s">
        <v>30</v>
      </c>
      <c r="L418" s="6" t="s">
        <v>31</v>
      </c>
      <c r="M418" s="6" t="s">
        <v>32</v>
      </c>
      <c r="N418" s="6">
        <v>4.88</v>
      </c>
      <c r="O418" s="4" t="str">
        <f t="shared" si="6"/>
        <v>Excellent</v>
      </c>
      <c r="P418" s="6">
        <v>67</v>
      </c>
    </row>
    <row r="419" spans="1:16" x14ac:dyDescent="0.3">
      <c r="A419" s="6" t="s">
        <v>891</v>
      </c>
      <c r="B419" s="6">
        <v>49</v>
      </c>
      <c r="C419" s="6" t="s">
        <v>25</v>
      </c>
      <c r="D419" s="6" t="s">
        <v>47</v>
      </c>
      <c r="E419" s="6" t="s">
        <v>34</v>
      </c>
      <c r="F419" s="6">
        <v>1418</v>
      </c>
      <c r="G419" s="6">
        <v>59994.86</v>
      </c>
      <c r="H419" s="7">
        <v>39039</v>
      </c>
      <c r="I419" s="6" t="s">
        <v>66</v>
      </c>
      <c r="J419" s="6" t="s">
        <v>892</v>
      </c>
      <c r="K419" s="6" t="s">
        <v>37</v>
      </c>
      <c r="L419" s="6" t="s">
        <v>38</v>
      </c>
      <c r="M419" s="6" t="s">
        <v>39</v>
      </c>
      <c r="N419" s="6">
        <v>1.58</v>
      </c>
      <c r="O419" s="4" t="str">
        <f t="shared" si="6"/>
        <v>Poor</v>
      </c>
      <c r="P419" s="6">
        <v>3</v>
      </c>
    </row>
    <row r="420" spans="1:16" x14ac:dyDescent="0.3">
      <c r="A420" s="6" t="s">
        <v>893</v>
      </c>
      <c r="B420" s="6">
        <v>57</v>
      </c>
      <c r="C420" s="6" t="s">
        <v>62</v>
      </c>
      <c r="D420" s="6" t="s">
        <v>26</v>
      </c>
      <c r="E420" s="6" t="s">
        <v>80</v>
      </c>
      <c r="F420" s="6">
        <v>1419</v>
      </c>
      <c r="G420" s="6">
        <v>63513.69</v>
      </c>
      <c r="H420" s="7">
        <v>38292</v>
      </c>
      <c r="I420" s="6" t="s">
        <v>70</v>
      </c>
      <c r="J420" s="6" t="s">
        <v>894</v>
      </c>
      <c r="K420" s="6" t="s">
        <v>43</v>
      </c>
      <c r="L420" s="6" t="s">
        <v>44</v>
      </c>
      <c r="M420" s="6" t="s">
        <v>45</v>
      </c>
      <c r="N420" s="6">
        <v>3.27</v>
      </c>
      <c r="O420" s="4" t="str">
        <f t="shared" si="6"/>
        <v>Good</v>
      </c>
      <c r="P420" s="6">
        <v>45</v>
      </c>
    </row>
    <row r="421" spans="1:16" x14ac:dyDescent="0.3">
      <c r="A421" s="6" t="s">
        <v>895</v>
      </c>
      <c r="B421" s="6">
        <v>41</v>
      </c>
      <c r="C421" s="6" t="s">
        <v>62</v>
      </c>
      <c r="D421" s="6" t="s">
        <v>55</v>
      </c>
      <c r="E421" s="6" t="s">
        <v>27</v>
      </c>
      <c r="F421" s="6">
        <v>1420</v>
      </c>
      <c r="G421" s="6">
        <v>77863.98</v>
      </c>
      <c r="H421" s="7">
        <v>42036</v>
      </c>
      <c r="I421" s="6" t="s">
        <v>73</v>
      </c>
      <c r="J421" s="6" t="s">
        <v>896</v>
      </c>
      <c r="K421" s="6" t="s">
        <v>51</v>
      </c>
      <c r="L421" s="6" t="s">
        <v>52</v>
      </c>
      <c r="M421" s="6" t="s">
        <v>53</v>
      </c>
      <c r="N421" s="6">
        <v>4.2</v>
      </c>
      <c r="O421" s="4" t="str">
        <f t="shared" si="6"/>
        <v>Excellent</v>
      </c>
      <c r="P421" s="6">
        <v>118</v>
      </c>
    </row>
    <row r="422" spans="1:16" x14ac:dyDescent="0.3">
      <c r="A422" s="6" t="s">
        <v>897</v>
      </c>
      <c r="B422" s="6">
        <v>34</v>
      </c>
      <c r="C422" s="6" t="s">
        <v>25</v>
      </c>
      <c r="D422" s="6" t="s">
        <v>55</v>
      </c>
      <c r="E422" s="6" t="s">
        <v>27</v>
      </c>
      <c r="F422" s="6">
        <v>1421</v>
      </c>
      <c r="G422" s="6">
        <v>89280.19</v>
      </c>
      <c r="H422" s="7">
        <v>38143</v>
      </c>
      <c r="I422" s="6" t="s">
        <v>19</v>
      </c>
      <c r="J422" s="6" t="s">
        <v>898</v>
      </c>
      <c r="K422" s="6" t="s">
        <v>21</v>
      </c>
      <c r="L422" s="6" t="s">
        <v>22</v>
      </c>
      <c r="M422" s="6" t="s">
        <v>23</v>
      </c>
      <c r="N422" s="6">
        <v>1.76</v>
      </c>
      <c r="O422" s="4" t="str">
        <f t="shared" si="6"/>
        <v>Poor</v>
      </c>
      <c r="P422" s="6">
        <v>40</v>
      </c>
    </row>
    <row r="423" spans="1:16" x14ac:dyDescent="0.3">
      <c r="A423" s="6" t="s">
        <v>899</v>
      </c>
      <c r="B423" s="6">
        <v>40</v>
      </c>
      <c r="C423" s="6" t="s">
        <v>16</v>
      </c>
      <c r="D423" s="6" t="s">
        <v>17</v>
      </c>
      <c r="E423" s="6" t="s">
        <v>27</v>
      </c>
      <c r="F423" s="6">
        <v>1422</v>
      </c>
      <c r="G423" s="6">
        <v>127788.99</v>
      </c>
      <c r="H423" s="7">
        <v>36611</v>
      </c>
      <c r="I423" s="6" t="s">
        <v>28</v>
      </c>
      <c r="J423" s="6" t="s">
        <v>900</v>
      </c>
      <c r="K423" s="6" t="s">
        <v>30</v>
      </c>
      <c r="L423" s="6" t="s">
        <v>31</v>
      </c>
      <c r="M423" s="6" t="s">
        <v>32</v>
      </c>
      <c r="N423" s="6">
        <v>2.38</v>
      </c>
      <c r="O423" s="4" t="str">
        <f t="shared" si="6"/>
        <v>Average</v>
      </c>
      <c r="P423" s="6">
        <v>50</v>
      </c>
    </row>
    <row r="424" spans="1:16" x14ac:dyDescent="0.3">
      <c r="A424" s="6" t="s">
        <v>901</v>
      </c>
      <c r="B424" s="6">
        <v>32</v>
      </c>
      <c r="C424" s="6" t="s">
        <v>25</v>
      </c>
      <c r="D424" s="6" t="s">
        <v>26</v>
      </c>
      <c r="E424" s="6" t="s">
        <v>80</v>
      </c>
      <c r="F424" s="6">
        <v>1423</v>
      </c>
      <c r="G424" s="6">
        <v>130275.07</v>
      </c>
      <c r="H424" s="7">
        <v>42283</v>
      </c>
      <c r="I424" s="6" t="s">
        <v>35</v>
      </c>
      <c r="J424" s="6" t="s">
        <v>902</v>
      </c>
      <c r="K424" s="6" t="s">
        <v>37</v>
      </c>
      <c r="L424" s="6" t="s">
        <v>38</v>
      </c>
      <c r="M424" s="6" t="s">
        <v>39</v>
      </c>
      <c r="N424" s="6">
        <v>1.54</v>
      </c>
      <c r="O424" s="4" t="str">
        <f t="shared" si="6"/>
        <v>Poor</v>
      </c>
      <c r="P424" s="6">
        <v>147</v>
      </c>
    </row>
    <row r="425" spans="1:16" x14ac:dyDescent="0.3">
      <c r="A425" s="6" t="s">
        <v>903</v>
      </c>
      <c r="B425" s="6">
        <v>56</v>
      </c>
      <c r="C425" s="6" t="s">
        <v>16</v>
      </c>
      <c r="D425" s="6" t="s">
        <v>55</v>
      </c>
      <c r="E425" s="6" t="s">
        <v>27</v>
      </c>
      <c r="F425" s="6">
        <v>1424</v>
      </c>
      <c r="G425" s="6">
        <v>164451.89000000001</v>
      </c>
      <c r="H425" s="7">
        <v>42873</v>
      </c>
      <c r="I425" s="6" t="s">
        <v>41</v>
      </c>
      <c r="J425" s="6" t="s">
        <v>904</v>
      </c>
      <c r="K425" s="6" t="s">
        <v>43</v>
      </c>
      <c r="L425" s="6" t="s">
        <v>44</v>
      </c>
      <c r="M425" s="6" t="s">
        <v>45</v>
      </c>
      <c r="N425" s="6">
        <v>3.49</v>
      </c>
      <c r="O425" s="4" t="str">
        <f t="shared" si="6"/>
        <v>Good</v>
      </c>
      <c r="P425" s="6">
        <v>81</v>
      </c>
    </row>
    <row r="426" spans="1:16" x14ac:dyDescent="0.3">
      <c r="A426" s="6" t="s">
        <v>905</v>
      </c>
      <c r="B426" s="6">
        <v>55</v>
      </c>
      <c r="C426" s="6" t="s">
        <v>62</v>
      </c>
      <c r="D426" s="6" t="s">
        <v>26</v>
      </c>
      <c r="E426" s="6" t="s">
        <v>18</v>
      </c>
      <c r="F426" s="6">
        <v>1425</v>
      </c>
      <c r="G426" s="6">
        <v>117560.82</v>
      </c>
      <c r="H426" s="7">
        <v>36935</v>
      </c>
      <c r="I426" s="6" t="s">
        <v>49</v>
      </c>
      <c r="J426" s="6" t="s">
        <v>906</v>
      </c>
      <c r="K426" s="6" t="s">
        <v>51</v>
      </c>
      <c r="L426" s="6" t="s">
        <v>52</v>
      </c>
      <c r="M426" s="6" t="s">
        <v>53</v>
      </c>
      <c r="N426" s="6">
        <v>1.83</v>
      </c>
      <c r="O426" s="4" t="str">
        <f t="shared" si="6"/>
        <v>Poor</v>
      </c>
      <c r="P426" s="6">
        <v>18</v>
      </c>
    </row>
    <row r="427" spans="1:16" x14ac:dyDescent="0.3">
      <c r="A427" s="6" t="s">
        <v>907</v>
      </c>
      <c r="B427" s="6">
        <v>25</v>
      </c>
      <c r="C427" s="6" t="s">
        <v>16</v>
      </c>
      <c r="D427" s="6" t="s">
        <v>26</v>
      </c>
      <c r="E427" s="6" t="s">
        <v>34</v>
      </c>
      <c r="F427" s="6">
        <v>1426</v>
      </c>
      <c r="G427" s="6">
        <v>155677.67000000001</v>
      </c>
      <c r="H427" s="7">
        <v>42933</v>
      </c>
      <c r="I427" s="6" t="s">
        <v>56</v>
      </c>
      <c r="J427" s="6" t="s">
        <v>908</v>
      </c>
      <c r="K427" s="6" t="s">
        <v>21</v>
      </c>
      <c r="L427" s="6" t="s">
        <v>22</v>
      </c>
      <c r="M427" s="6" t="s">
        <v>23</v>
      </c>
      <c r="N427" s="6">
        <v>4.05</v>
      </c>
      <c r="O427" s="4" t="str">
        <f t="shared" si="6"/>
        <v>Excellent</v>
      </c>
      <c r="P427" s="6">
        <v>112</v>
      </c>
    </row>
    <row r="428" spans="1:16" x14ac:dyDescent="0.3">
      <c r="A428" s="6" t="s">
        <v>909</v>
      </c>
      <c r="B428" s="6">
        <v>34</v>
      </c>
      <c r="C428" s="6" t="s">
        <v>25</v>
      </c>
      <c r="D428" s="6" t="s">
        <v>69</v>
      </c>
      <c r="E428" s="6" t="s">
        <v>18</v>
      </c>
      <c r="F428" s="6">
        <v>1427</v>
      </c>
      <c r="G428" s="6">
        <v>156137.44</v>
      </c>
      <c r="H428" s="7">
        <v>39578</v>
      </c>
      <c r="I428" s="6" t="s">
        <v>63</v>
      </c>
      <c r="J428" s="6" t="s">
        <v>910</v>
      </c>
      <c r="K428" s="6" t="s">
        <v>30</v>
      </c>
      <c r="L428" s="6" t="s">
        <v>31</v>
      </c>
      <c r="M428" s="6" t="s">
        <v>32</v>
      </c>
      <c r="N428" s="6">
        <v>3.74</v>
      </c>
      <c r="O428" s="4" t="str">
        <f t="shared" si="6"/>
        <v>Good</v>
      </c>
      <c r="P428" s="6">
        <v>182</v>
      </c>
    </row>
    <row r="429" spans="1:16" x14ac:dyDescent="0.3">
      <c r="A429" s="6" t="s">
        <v>911</v>
      </c>
      <c r="B429" s="6">
        <v>58</v>
      </c>
      <c r="C429" s="6" t="s">
        <v>62</v>
      </c>
      <c r="D429" s="6" t="s">
        <v>69</v>
      </c>
      <c r="E429" s="6" t="s">
        <v>80</v>
      </c>
      <c r="F429" s="6">
        <v>1428</v>
      </c>
      <c r="G429" s="6">
        <v>194305.68</v>
      </c>
      <c r="H429" s="7">
        <v>40091</v>
      </c>
      <c r="I429" s="6" t="s">
        <v>66</v>
      </c>
      <c r="J429" s="6" t="s">
        <v>912</v>
      </c>
      <c r="K429" s="6" t="s">
        <v>37</v>
      </c>
      <c r="L429" s="6" t="s">
        <v>38</v>
      </c>
      <c r="M429" s="6" t="s">
        <v>39</v>
      </c>
      <c r="N429" s="6">
        <v>3.97</v>
      </c>
      <c r="O429" s="4" t="str">
        <f t="shared" si="6"/>
        <v>Good</v>
      </c>
      <c r="P429" s="6">
        <v>85</v>
      </c>
    </row>
    <row r="430" spans="1:16" x14ac:dyDescent="0.3">
      <c r="A430" s="6" t="s">
        <v>913</v>
      </c>
      <c r="B430" s="6">
        <v>23</v>
      </c>
      <c r="C430" s="6" t="s">
        <v>16</v>
      </c>
      <c r="D430" s="6" t="s">
        <v>17</v>
      </c>
      <c r="E430" s="6" t="s">
        <v>80</v>
      </c>
      <c r="F430" s="6">
        <v>1429</v>
      </c>
      <c r="G430" s="6">
        <v>99504.05</v>
      </c>
      <c r="H430" s="7">
        <v>40504</v>
      </c>
      <c r="I430" s="6" t="s">
        <v>70</v>
      </c>
      <c r="J430" s="6" t="s">
        <v>914</v>
      </c>
      <c r="K430" s="6" t="s">
        <v>43</v>
      </c>
      <c r="L430" s="6" t="s">
        <v>44</v>
      </c>
      <c r="M430" s="6" t="s">
        <v>45</v>
      </c>
      <c r="N430" s="6">
        <v>3.36</v>
      </c>
      <c r="O430" s="4" t="str">
        <f t="shared" si="6"/>
        <v>Good</v>
      </c>
      <c r="P430" s="6">
        <v>85</v>
      </c>
    </row>
    <row r="431" spans="1:16" x14ac:dyDescent="0.3">
      <c r="A431" s="6" t="s">
        <v>915</v>
      </c>
      <c r="B431" s="6">
        <v>22</v>
      </c>
      <c r="C431" s="6" t="s">
        <v>16</v>
      </c>
      <c r="D431" s="6" t="s">
        <v>26</v>
      </c>
      <c r="E431" s="6" t="s">
        <v>34</v>
      </c>
      <c r="F431" s="6">
        <v>1430</v>
      </c>
      <c r="G431" s="6">
        <v>103949.47</v>
      </c>
      <c r="H431" s="7">
        <v>36823</v>
      </c>
      <c r="I431" s="6" t="s">
        <v>73</v>
      </c>
      <c r="J431" s="6" t="s">
        <v>916</v>
      </c>
      <c r="K431" s="6" t="s">
        <v>51</v>
      </c>
      <c r="L431" s="6" t="s">
        <v>52</v>
      </c>
      <c r="M431" s="6" t="s">
        <v>53</v>
      </c>
      <c r="N431" s="6">
        <v>1.02</v>
      </c>
      <c r="O431" s="4" t="str">
        <f t="shared" si="6"/>
        <v>Poor</v>
      </c>
      <c r="P431" s="6">
        <v>34</v>
      </c>
    </row>
    <row r="432" spans="1:16" x14ac:dyDescent="0.3">
      <c r="A432" s="6" t="s">
        <v>917</v>
      </c>
      <c r="B432" s="6">
        <v>61</v>
      </c>
      <c r="C432" s="6" t="s">
        <v>25</v>
      </c>
      <c r="D432" s="6" t="s">
        <v>69</v>
      </c>
      <c r="E432" s="6" t="s">
        <v>48</v>
      </c>
      <c r="F432" s="6">
        <v>1431</v>
      </c>
      <c r="G432" s="6">
        <v>154358.57999999999</v>
      </c>
      <c r="H432" s="7">
        <v>40058</v>
      </c>
      <c r="I432" s="6" t="s">
        <v>19</v>
      </c>
      <c r="J432" s="6" t="s">
        <v>918</v>
      </c>
      <c r="K432" s="6" t="s">
        <v>21</v>
      </c>
      <c r="L432" s="6" t="s">
        <v>22</v>
      </c>
      <c r="M432" s="6" t="s">
        <v>23</v>
      </c>
      <c r="N432" s="6">
        <v>1.45</v>
      </c>
      <c r="O432" s="4" t="str">
        <f t="shared" si="6"/>
        <v>Poor</v>
      </c>
      <c r="P432" s="6">
        <v>137</v>
      </c>
    </row>
    <row r="433" spans="1:16" x14ac:dyDescent="0.3">
      <c r="A433" s="6" t="s">
        <v>919</v>
      </c>
      <c r="B433" s="6">
        <v>46</v>
      </c>
      <c r="C433" s="6" t="s">
        <v>62</v>
      </c>
      <c r="D433" s="6" t="s">
        <v>47</v>
      </c>
      <c r="E433" s="6" t="s">
        <v>34</v>
      </c>
      <c r="F433" s="6">
        <v>1432</v>
      </c>
      <c r="G433" s="6">
        <v>105989.57</v>
      </c>
      <c r="H433" s="7">
        <v>44408</v>
      </c>
      <c r="I433" s="6" t="s">
        <v>28</v>
      </c>
      <c r="J433" s="6" t="s">
        <v>920</v>
      </c>
      <c r="K433" s="6" t="s">
        <v>30</v>
      </c>
      <c r="L433" s="6" t="s">
        <v>31</v>
      </c>
      <c r="M433" s="6" t="s">
        <v>32</v>
      </c>
      <c r="N433" s="6">
        <v>2.0299999999999998</v>
      </c>
      <c r="O433" s="4" t="str">
        <f t="shared" si="6"/>
        <v>Average</v>
      </c>
      <c r="P433" s="6">
        <v>154</v>
      </c>
    </row>
    <row r="434" spans="1:16" x14ac:dyDescent="0.3">
      <c r="A434" s="6" t="s">
        <v>921</v>
      </c>
      <c r="B434" s="6">
        <v>58</v>
      </c>
      <c r="C434" s="6" t="s">
        <v>62</v>
      </c>
      <c r="D434" s="6" t="s">
        <v>26</v>
      </c>
      <c r="E434" s="6" t="s">
        <v>18</v>
      </c>
      <c r="F434" s="6">
        <v>1433</v>
      </c>
      <c r="G434" s="6">
        <v>174286.48</v>
      </c>
      <c r="H434" s="7">
        <v>41427</v>
      </c>
      <c r="I434" s="6" t="s">
        <v>35</v>
      </c>
      <c r="J434" s="6" t="s">
        <v>922</v>
      </c>
      <c r="K434" s="6" t="s">
        <v>37</v>
      </c>
      <c r="L434" s="6" t="s">
        <v>38</v>
      </c>
      <c r="M434" s="6" t="s">
        <v>39</v>
      </c>
      <c r="N434" s="6">
        <v>4.03</v>
      </c>
      <c r="O434" s="4" t="str">
        <f t="shared" si="6"/>
        <v>Excellent</v>
      </c>
      <c r="P434" s="6">
        <v>163</v>
      </c>
    </row>
    <row r="435" spans="1:16" x14ac:dyDescent="0.3">
      <c r="A435" s="6" t="s">
        <v>923</v>
      </c>
      <c r="B435" s="6">
        <v>57</v>
      </c>
      <c r="C435" s="6" t="s">
        <v>16</v>
      </c>
      <c r="D435" s="6" t="s">
        <v>55</v>
      </c>
      <c r="E435" s="6" t="s">
        <v>18</v>
      </c>
      <c r="F435" s="6">
        <v>1434</v>
      </c>
      <c r="G435" s="6">
        <v>63463.66</v>
      </c>
      <c r="H435" s="7">
        <v>40362</v>
      </c>
      <c r="I435" s="6" t="s">
        <v>41</v>
      </c>
      <c r="J435" s="6" t="s">
        <v>924</v>
      </c>
      <c r="K435" s="6" t="s">
        <v>43</v>
      </c>
      <c r="L435" s="6" t="s">
        <v>44</v>
      </c>
      <c r="M435" s="6" t="s">
        <v>45</v>
      </c>
      <c r="N435" s="6">
        <v>3.73</v>
      </c>
      <c r="O435" s="4" t="str">
        <f t="shared" si="6"/>
        <v>Good</v>
      </c>
      <c r="P435" s="6">
        <v>100</v>
      </c>
    </row>
    <row r="436" spans="1:16" x14ac:dyDescent="0.3">
      <c r="A436" s="6" t="s">
        <v>925</v>
      </c>
      <c r="B436" s="6">
        <v>27</v>
      </c>
      <c r="C436" s="6" t="s">
        <v>16</v>
      </c>
      <c r="D436" s="6" t="s">
        <v>26</v>
      </c>
      <c r="E436" s="6" t="s">
        <v>18</v>
      </c>
      <c r="F436" s="6">
        <v>1435</v>
      </c>
      <c r="G436" s="6">
        <v>154150.01999999999</v>
      </c>
      <c r="H436" s="7">
        <v>41575</v>
      </c>
      <c r="I436" s="6" t="s">
        <v>49</v>
      </c>
      <c r="J436" s="6" t="s">
        <v>926</v>
      </c>
      <c r="K436" s="6" t="s">
        <v>51</v>
      </c>
      <c r="L436" s="6" t="s">
        <v>52</v>
      </c>
      <c r="M436" s="6" t="s">
        <v>53</v>
      </c>
      <c r="N436" s="6">
        <v>1.65</v>
      </c>
      <c r="O436" s="4" t="str">
        <f t="shared" si="6"/>
        <v>Poor</v>
      </c>
      <c r="P436" s="6">
        <v>19</v>
      </c>
    </row>
    <row r="437" spans="1:16" x14ac:dyDescent="0.3">
      <c r="A437" s="6" t="s">
        <v>927</v>
      </c>
      <c r="B437" s="6">
        <v>28</v>
      </c>
      <c r="C437" s="6" t="s">
        <v>16</v>
      </c>
      <c r="D437" s="6" t="s">
        <v>55</v>
      </c>
      <c r="E437" s="6" t="s">
        <v>18</v>
      </c>
      <c r="F437" s="6">
        <v>1436</v>
      </c>
      <c r="G437" s="6">
        <v>73321.13</v>
      </c>
      <c r="H437" s="7">
        <v>39911</v>
      </c>
      <c r="I437" s="6" t="s">
        <v>56</v>
      </c>
      <c r="J437" s="6" t="s">
        <v>928</v>
      </c>
      <c r="K437" s="6" t="s">
        <v>21</v>
      </c>
      <c r="L437" s="6" t="s">
        <v>22</v>
      </c>
      <c r="M437" s="6" t="s">
        <v>23</v>
      </c>
      <c r="N437" s="6">
        <v>3.07</v>
      </c>
      <c r="O437" s="4" t="str">
        <f t="shared" si="6"/>
        <v>Good</v>
      </c>
      <c r="P437" s="6">
        <v>134</v>
      </c>
    </row>
    <row r="438" spans="1:16" x14ac:dyDescent="0.3">
      <c r="A438" s="6" t="s">
        <v>929</v>
      </c>
      <c r="B438" s="6">
        <v>25</v>
      </c>
      <c r="C438" s="6" t="s">
        <v>62</v>
      </c>
      <c r="D438" s="6" t="s">
        <v>17</v>
      </c>
      <c r="E438" s="6" t="s">
        <v>48</v>
      </c>
      <c r="F438" s="6">
        <v>1437</v>
      </c>
      <c r="G438" s="6">
        <v>132586.35999999999</v>
      </c>
      <c r="H438" s="7">
        <v>37593</v>
      </c>
      <c r="I438" s="6" t="s">
        <v>63</v>
      </c>
      <c r="J438" s="6" t="s">
        <v>930</v>
      </c>
      <c r="K438" s="6" t="s">
        <v>30</v>
      </c>
      <c r="L438" s="6" t="s">
        <v>31</v>
      </c>
      <c r="M438" s="6" t="s">
        <v>32</v>
      </c>
      <c r="N438" s="6">
        <v>1.08</v>
      </c>
      <c r="O438" s="4" t="str">
        <f t="shared" si="6"/>
        <v>Poor</v>
      </c>
      <c r="P438" s="6">
        <v>173</v>
      </c>
    </row>
    <row r="439" spans="1:16" x14ac:dyDescent="0.3">
      <c r="A439" s="6" t="s">
        <v>931</v>
      </c>
      <c r="B439" s="6">
        <v>56</v>
      </c>
      <c r="C439" s="6" t="s">
        <v>16</v>
      </c>
      <c r="D439" s="6" t="s">
        <v>69</v>
      </c>
      <c r="E439" s="6" t="s">
        <v>80</v>
      </c>
      <c r="F439" s="6">
        <v>1438</v>
      </c>
      <c r="G439" s="6">
        <v>125927.47</v>
      </c>
      <c r="H439" s="7">
        <v>42246</v>
      </c>
      <c r="I439" s="6" t="s">
        <v>66</v>
      </c>
      <c r="J439" s="6" t="s">
        <v>932</v>
      </c>
      <c r="K439" s="6" t="s">
        <v>37</v>
      </c>
      <c r="L439" s="6" t="s">
        <v>38</v>
      </c>
      <c r="M439" s="6" t="s">
        <v>39</v>
      </c>
      <c r="N439" s="6">
        <v>2.7</v>
      </c>
      <c r="O439" s="4" t="str">
        <f t="shared" si="6"/>
        <v>Average</v>
      </c>
      <c r="P439" s="6">
        <v>152</v>
      </c>
    </row>
    <row r="440" spans="1:16" x14ac:dyDescent="0.3">
      <c r="A440" s="6" t="s">
        <v>933</v>
      </c>
      <c r="B440" s="6">
        <v>62</v>
      </c>
      <c r="C440" s="6" t="s">
        <v>16</v>
      </c>
      <c r="D440" s="6" t="s">
        <v>47</v>
      </c>
      <c r="E440" s="6" t="s">
        <v>80</v>
      </c>
      <c r="F440" s="6">
        <v>1439</v>
      </c>
      <c r="G440" s="6">
        <v>151680.64000000001</v>
      </c>
      <c r="H440" s="7">
        <v>42290</v>
      </c>
      <c r="I440" s="6" t="s">
        <v>70</v>
      </c>
      <c r="J440" s="6" t="s">
        <v>934</v>
      </c>
      <c r="K440" s="6" t="s">
        <v>43</v>
      </c>
      <c r="L440" s="6" t="s">
        <v>44</v>
      </c>
      <c r="M440" s="6" t="s">
        <v>45</v>
      </c>
      <c r="N440" s="6">
        <v>4.08</v>
      </c>
      <c r="O440" s="4" t="str">
        <f t="shared" si="6"/>
        <v>Excellent</v>
      </c>
      <c r="P440" s="6">
        <v>185</v>
      </c>
    </row>
    <row r="441" spans="1:16" x14ac:dyDescent="0.3">
      <c r="A441" s="6" t="s">
        <v>935</v>
      </c>
      <c r="B441" s="6">
        <v>55</v>
      </c>
      <c r="C441" s="6" t="s">
        <v>62</v>
      </c>
      <c r="D441" s="6" t="s">
        <v>69</v>
      </c>
      <c r="E441" s="6" t="s">
        <v>34</v>
      </c>
      <c r="F441" s="6">
        <v>1440</v>
      </c>
      <c r="G441" s="6">
        <v>134217.37</v>
      </c>
      <c r="H441" s="7">
        <v>42887</v>
      </c>
      <c r="I441" s="6" t="s">
        <v>73</v>
      </c>
      <c r="J441" s="6" t="s">
        <v>936</v>
      </c>
      <c r="K441" s="6" t="s">
        <v>51</v>
      </c>
      <c r="L441" s="6" t="s">
        <v>52</v>
      </c>
      <c r="M441" s="6" t="s">
        <v>53</v>
      </c>
      <c r="N441" s="6">
        <v>1.56</v>
      </c>
      <c r="O441" s="4" t="str">
        <f t="shared" si="6"/>
        <v>Poor</v>
      </c>
      <c r="P441" s="6">
        <v>162</v>
      </c>
    </row>
    <row r="442" spans="1:16" x14ac:dyDescent="0.3">
      <c r="A442" s="6" t="s">
        <v>937</v>
      </c>
      <c r="B442" s="6">
        <v>50</v>
      </c>
      <c r="C442" s="6" t="s">
        <v>62</v>
      </c>
      <c r="D442" s="6" t="s">
        <v>55</v>
      </c>
      <c r="E442" s="6" t="s">
        <v>80</v>
      </c>
      <c r="F442" s="6">
        <v>1441</v>
      </c>
      <c r="G442" s="6">
        <v>131330.39000000001</v>
      </c>
      <c r="H442" s="7">
        <v>38601</v>
      </c>
      <c r="I442" s="6" t="s">
        <v>19</v>
      </c>
      <c r="J442" s="6" t="s">
        <v>938</v>
      </c>
      <c r="K442" s="6" t="s">
        <v>21</v>
      </c>
      <c r="L442" s="6" t="s">
        <v>22</v>
      </c>
      <c r="M442" s="6" t="s">
        <v>23</v>
      </c>
      <c r="N442" s="6">
        <v>3.2</v>
      </c>
      <c r="O442" s="4" t="str">
        <f t="shared" si="6"/>
        <v>Good</v>
      </c>
      <c r="P442" s="6">
        <v>95</v>
      </c>
    </row>
    <row r="443" spans="1:16" x14ac:dyDescent="0.3">
      <c r="A443" s="6" t="s">
        <v>939</v>
      </c>
      <c r="B443" s="6">
        <v>26</v>
      </c>
      <c r="C443" s="6" t="s">
        <v>25</v>
      </c>
      <c r="D443" s="6" t="s">
        <v>17</v>
      </c>
      <c r="E443" s="6" t="s">
        <v>80</v>
      </c>
      <c r="F443" s="6">
        <v>1442</v>
      </c>
      <c r="G443" s="6">
        <v>126730.18</v>
      </c>
      <c r="H443" s="7">
        <v>44569</v>
      </c>
      <c r="I443" s="6" t="s">
        <v>28</v>
      </c>
      <c r="J443" s="6" t="s">
        <v>940</v>
      </c>
      <c r="K443" s="6" t="s">
        <v>30</v>
      </c>
      <c r="L443" s="6" t="s">
        <v>31</v>
      </c>
      <c r="M443" s="6" t="s">
        <v>32</v>
      </c>
      <c r="N443" s="6">
        <v>4.03</v>
      </c>
      <c r="O443" s="4" t="str">
        <f t="shared" si="6"/>
        <v>Excellent</v>
      </c>
      <c r="P443" s="6">
        <v>163</v>
      </c>
    </row>
    <row r="444" spans="1:16" x14ac:dyDescent="0.3">
      <c r="A444" s="6" t="s">
        <v>941</v>
      </c>
      <c r="B444" s="6">
        <v>48</v>
      </c>
      <c r="C444" s="6" t="s">
        <v>62</v>
      </c>
      <c r="D444" s="6" t="s">
        <v>55</v>
      </c>
      <c r="E444" s="6" t="s">
        <v>80</v>
      </c>
      <c r="F444" s="6">
        <v>1443</v>
      </c>
      <c r="G444" s="6">
        <v>166801.68</v>
      </c>
      <c r="H444" s="7">
        <v>43631</v>
      </c>
      <c r="I444" s="6" t="s">
        <v>35</v>
      </c>
      <c r="J444" s="6" t="s">
        <v>942</v>
      </c>
      <c r="K444" s="6" t="s">
        <v>37</v>
      </c>
      <c r="L444" s="6" t="s">
        <v>38</v>
      </c>
      <c r="M444" s="6" t="s">
        <v>39</v>
      </c>
      <c r="N444" s="6">
        <v>3.77</v>
      </c>
      <c r="O444" s="4" t="str">
        <f t="shared" si="6"/>
        <v>Good</v>
      </c>
      <c r="P444" s="6">
        <v>30</v>
      </c>
    </row>
    <row r="445" spans="1:16" x14ac:dyDescent="0.3">
      <c r="A445" s="6" t="s">
        <v>943</v>
      </c>
      <c r="B445" s="6">
        <v>54</v>
      </c>
      <c r="C445" s="6" t="s">
        <v>62</v>
      </c>
      <c r="D445" s="6" t="s">
        <v>17</v>
      </c>
      <c r="E445" s="6" t="s">
        <v>48</v>
      </c>
      <c r="F445" s="6">
        <v>1444</v>
      </c>
      <c r="G445" s="6">
        <v>90293.06</v>
      </c>
      <c r="H445" s="7">
        <v>42159</v>
      </c>
      <c r="I445" s="6" t="s">
        <v>41</v>
      </c>
      <c r="J445" s="6" t="s">
        <v>944</v>
      </c>
      <c r="K445" s="6" t="s">
        <v>43</v>
      </c>
      <c r="L445" s="6" t="s">
        <v>44</v>
      </c>
      <c r="M445" s="6" t="s">
        <v>45</v>
      </c>
      <c r="N445" s="6">
        <v>1.72</v>
      </c>
      <c r="O445" s="4" t="str">
        <f t="shared" si="6"/>
        <v>Poor</v>
      </c>
      <c r="P445" s="6">
        <v>127</v>
      </c>
    </row>
    <row r="446" spans="1:16" x14ac:dyDescent="0.3">
      <c r="A446" s="6" t="s">
        <v>945</v>
      </c>
      <c r="B446" s="6">
        <v>31</v>
      </c>
      <c r="C446" s="6" t="s">
        <v>25</v>
      </c>
      <c r="D446" s="6" t="s">
        <v>17</v>
      </c>
      <c r="E446" s="6" t="s">
        <v>48</v>
      </c>
      <c r="F446" s="6">
        <v>1445</v>
      </c>
      <c r="G446" s="6">
        <v>74141.320000000007</v>
      </c>
      <c r="H446" s="7">
        <v>44584</v>
      </c>
      <c r="I446" s="6" t="s">
        <v>49</v>
      </c>
      <c r="J446" s="6" t="s">
        <v>946</v>
      </c>
      <c r="K446" s="6" t="s">
        <v>51</v>
      </c>
      <c r="L446" s="6" t="s">
        <v>52</v>
      </c>
      <c r="M446" s="6" t="s">
        <v>53</v>
      </c>
      <c r="N446" s="6">
        <v>4.7699999999999996</v>
      </c>
      <c r="O446" s="4" t="str">
        <f t="shared" si="6"/>
        <v>Excellent</v>
      </c>
      <c r="P446" s="6">
        <v>13</v>
      </c>
    </row>
    <row r="447" spans="1:16" x14ac:dyDescent="0.3">
      <c r="A447" s="6" t="s">
        <v>947</v>
      </c>
      <c r="B447" s="6">
        <v>27</v>
      </c>
      <c r="C447" s="6" t="s">
        <v>62</v>
      </c>
      <c r="D447" s="6" t="s">
        <v>47</v>
      </c>
      <c r="E447" s="6" t="s">
        <v>80</v>
      </c>
      <c r="F447" s="6">
        <v>1446</v>
      </c>
      <c r="G447" s="6">
        <v>51891.32</v>
      </c>
      <c r="H447" s="7">
        <v>40932</v>
      </c>
      <c r="I447" s="6" t="s">
        <v>56</v>
      </c>
      <c r="J447" s="6" t="s">
        <v>948</v>
      </c>
      <c r="K447" s="6" t="s">
        <v>21</v>
      </c>
      <c r="L447" s="6" t="s">
        <v>22</v>
      </c>
      <c r="M447" s="6" t="s">
        <v>23</v>
      </c>
      <c r="N447" s="6">
        <v>4.2</v>
      </c>
      <c r="O447" s="4" t="str">
        <f t="shared" si="6"/>
        <v>Excellent</v>
      </c>
      <c r="P447" s="6">
        <v>43</v>
      </c>
    </row>
    <row r="448" spans="1:16" x14ac:dyDescent="0.3">
      <c r="A448" s="6" t="s">
        <v>949</v>
      </c>
      <c r="B448" s="6">
        <v>55</v>
      </c>
      <c r="C448" s="6" t="s">
        <v>25</v>
      </c>
      <c r="D448" s="6" t="s">
        <v>47</v>
      </c>
      <c r="E448" s="6" t="s">
        <v>18</v>
      </c>
      <c r="F448" s="6">
        <v>1447</v>
      </c>
      <c r="G448" s="6">
        <v>69781.47</v>
      </c>
      <c r="H448" s="7">
        <v>40643</v>
      </c>
      <c r="I448" s="6" t="s">
        <v>63</v>
      </c>
      <c r="J448" s="6" t="s">
        <v>950</v>
      </c>
      <c r="K448" s="6" t="s">
        <v>30</v>
      </c>
      <c r="L448" s="6" t="s">
        <v>31</v>
      </c>
      <c r="M448" s="6" t="s">
        <v>32</v>
      </c>
      <c r="N448" s="6">
        <v>1.74</v>
      </c>
      <c r="O448" s="4" t="str">
        <f t="shared" si="6"/>
        <v>Poor</v>
      </c>
      <c r="P448" s="6">
        <v>72</v>
      </c>
    </row>
    <row r="449" spans="1:16" x14ac:dyDescent="0.3">
      <c r="A449" s="6" t="s">
        <v>951</v>
      </c>
      <c r="B449" s="6">
        <v>29</v>
      </c>
      <c r="C449" s="6" t="s">
        <v>62</v>
      </c>
      <c r="D449" s="6" t="s">
        <v>69</v>
      </c>
      <c r="E449" s="6" t="s">
        <v>80</v>
      </c>
      <c r="F449" s="6">
        <v>1448</v>
      </c>
      <c r="G449" s="6">
        <v>146761.14000000001</v>
      </c>
      <c r="H449" s="7">
        <v>43823</v>
      </c>
      <c r="I449" s="6" t="s">
        <v>66</v>
      </c>
      <c r="J449" s="6" t="s">
        <v>952</v>
      </c>
      <c r="K449" s="6" t="s">
        <v>37</v>
      </c>
      <c r="L449" s="6" t="s">
        <v>38</v>
      </c>
      <c r="M449" s="6" t="s">
        <v>39</v>
      </c>
      <c r="N449" s="6">
        <v>4.13</v>
      </c>
      <c r="O449" s="4" t="str">
        <f t="shared" si="6"/>
        <v>Excellent</v>
      </c>
      <c r="P449" s="6">
        <v>69</v>
      </c>
    </row>
    <row r="450" spans="1:16" x14ac:dyDescent="0.3">
      <c r="A450" s="6" t="s">
        <v>953</v>
      </c>
      <c r="B450" s="6">
        <v>52</v>
      </c>
      <c r="C450" s="6" t="s">
        <v>25</v>
      </c>
      <c r="D450" s="6" t="s">
        <v>47</v>
      </c>
      <c r="E450" s="6" t="s">
        <v>34</v>
      </c>
      <c r="F450" s="6">
        <v>1449</v>
      </c>
      <c r="G450" s="6">
        <v>158157.91</v>
      </c>
      <c r="H450" s="7">
        <v>41707</v>
      </c>
      <c r="I450" s="6" t="s">
        <v>70</v>
      </c>
      <c r="J450" s="6" t="s">
        <v>954</v>
      </c>
      <c r="K450" s="6" t="s">
        <v>43</v>
      </c>
      <c r="L450" s="6" t="s">
        <v>44</v>
      </c>
      <c r="M450" s="6" t="s">
        <v>45</v>
      </c>
      <c r="N450" s="6">
        <v>2.0299999999999998</v>
      </c>
      <c r="O450" s="4" t="str">
        <f t="shared" si="6"/>
        <v>Average</v>
      </c>
      <c r="P450" s="6">
        <v>172</v>
      </c>
    </row>
    <row r="451" spans="1:16" x14ac:dyDescent="0.3">
      <c r="A451" s="6" t="s">
        <v>955</v>
      </c>
      <c r="B451" s="6">
        <v>30</v>
      </c>
      <c r="C451" s="6" t="s">
        <v>16</v>
      </c>
      <c r="D451" s="6" t="s">
        <v>55</v>
      </c>
      <c r="E451" s="6" t="s">
        <v>27</v>
      </c>
      <c r="F451" s="6">
        <v>1450</v>
      </c>
      <c r="G451" s="6">
        <v>144438.03</v>
      </c>
      <c r="H451" s="7">
        <v>36799</v>
      </c>
      <c r="I451" s="6" t="s">
        <v>73</v>
      </c>
      <c r="J451" s="6" t="s">
        <v>956</v>
      </c>
      <c r="K451" s="6" t="s">
        <v>51</v>
      </c>
      <c r="L451" s="6" t="s">
        <v>52</v>
      </c>
      <c r="M451" s="6" t="s">
        <v>53</v>
      </c>
      <c r="N451" s="6">
        <v>4.62</v>
      </c>
      <c r="O451" s="4" t="str">
        <f t="shared" ref="O451:O514" si="7">IF(N451&gt;=4,"Excellent",IF(N451&gt;=3,"Good",IF(N451&gt;=2,"Average","Poor")))</f>
        <v>Excellent</v>
      </c>
      <c r="P451" s="6">
        <v>65</v>
      </c>
    </row>
    <row r="452" spans="1:16" x14ac:dyDescent="0.3">
      <c r="A452" s="6" t="s">
        <v>957</v>
      </c>
      <c r="B452" s="6">
        <v>42</v>
      </c>
      <c r="C452" s="6" t="s">
        <v>16</v>
      </c>
      <c r="D452" s="6" t="s">
        <v>55</v>
      </c>
      <c r="E452" s="6" t="s">
        <v>34</v>
      </c>
      <c r="F452" s="6">
        <v>1451</v>
      </c>
      <c r="G452" s="6">
        <v>60293.13</v>
      </c>
      <c r="H452" s="7">
        <v>41777</v>
      </c>
      <c r="I452" s="6" t="s">
        <v>19</v>
      </c>
      <c r="J452" s="6" t="s">
        <v>958</v>
      </c>
      <c r="K452" s="6" t="s">
        <v>21</v>
      </c>
      <c r="L452" s="6" t="s">
        <v>22</v>
      </c>
      <c r="M452" s="6" t="s">
        <v>23</v>
      </c>
      <c r="N452" s="6">
        <v>4.4000000000000004</v>
      </c>
      <c r="O452" s="4" t="str">
        <f t="shared" si="7"/>
        <v>Excellent</v>
      </c>
      <c r="P452" s="6">
        <v>65</v>
      </c>
    </row>
    <row r="453" spans="1:16" x14ac:dyDescent="0.3">
      <c r="A453" s="6" t="s">
        <v>959</v>
      </c>
      <c r="B453" s="6">
        <v>29</v>
      </c>
      <c r="C453" s="6" t="s">
        <v>16</v>
      </c>
      <c r="D453" s="6" t="s">
        <v>17</v>
      </c>
      <c r="E453" s="6" t="s">
        <v>27</v>
      </c>
      <c r="F453" s="6">
        <v>1452</v>
      </c>
      <c r="G453" s="6">
        <v>165890.32999999999</v>
      </c>
      <c r="H453" s="7">
        <v>41932</v>
      </c>
      <c r="I453" s="6" t="s">
        <v>28</v>
      </c>
      <c r="J453" s="6" t="s">
        <v>960</v>
      </c>
      <c r="K453" s="6" t="s">
        <v>30</v>
      </c>
      <c r="L453" s="6" t="s">
        <v>31</v>
      </c>
      <c r="M453" s="6" t="s">
        <v>32</v>
      </c>
      <c r="N453" s="6">
        <v>3.55</v>
      </c>
      <c r="O453" s="4" t="str">
        <f t="shared" si="7"/>
        <v>Good</v>
      </c>
      <c r="P453" s="6">
        <v>39</v>
      </c>
    </row>
    <row r="454" spans="1:16" x14ac:dyDescent="0.3">
      <c r="A454" s="6" t="s">
        <v>961</v>
      </c>
      <c r="B454" s="6">
        <v>25</v>
      </c>
      <c r="C454" s="6" t="s">
        <v>25</v>
      </c>
      <c r="D454" s="6" t="s">
        <v>69</v>
      </c>
      <c r="E454" s="6" t="s">
        <v>48</v>
      </c>
      <c r="F454" s="6">
        <v>1453</v>
      </c>
      <c r="G454" s="6">
        <v>127434.94</v>
      </c>
      <c r="H454" s="7">
        <v>36698</v>
      </c>
      <c r="I454" s="6" t="s">
        <v>35</v>
      </c>
      <c r="J454" s="6" t="s">
        <v>962</v>
      </c>
      <c r="K454" s="6" t="s">
        <v>37</v>
      </c>
      <c r="L454" s="6" t="s">
        <v>38</v>
      </c>
      <c r="M454" s="6" t="s">
        <v>39</v>
      </c>
      <c r="N454" s="6">
        <v>3.62</v>
      </c>
      <c r="O454" s="4" t="str">
        <f t="shared" si="7"/>
        <v>Good</v>
      </c>
      <c r="P454" s="6">
        <v>178</v>
      </c>
    </row>
    <row r="455" spans="1:16" x14ac:dyDescent="0.3">
      <c r="A455" s="6" t="s">
        <v>963</v>
      </c>
      <c r="B455" s="6">
        <v>43</v>
      </c>
      <c r="C455" s="6" t="s">
        <v>16</v>
      </c>
      <c r="D455" s="6" t="s">
        <v>69</v>
      </c>
      <c r="E455" s="6" t="s">
        <v>48</v>
      </c>
      <c r="F455" s="6">
        <v>1454</v>
      </c>
      <c r="G455" s="6">
        <v>86011.97</v>
      </c>
      <c r="H455" s="7">
        <v>39904</v>
      </c>
      <c r="I455" s="6" t="s">
        <v>41</v>
      </c>
      <c r="J455" s="6" t="s">
        <v>964</v>
      </c>
      <c r="K455" s="6" t="s">
        <v>43</v>
      </c>
      <c r="L455" s="6" t="s">
        <v>44</v>
      </c>
      <c r="M455" s="6" t="s">
        <v>45</v>
      </c>
      <c r="N455" s="6">
        <v>1.29</v>
      </c>
      <c r="O455" s="4" t="str">
        <f t="shared" si="7"/>
        <v>Poor</v>
      </c>
      <c r="P455" s="6">
        <v>73</v>
      </c>
    </row>
    <row r="456" spans="1:16" x14ac:dyDescent="0.3">
      <c r="A456" s="6" t="s">
        <v>965</v>
      </c>
      <c r="B456" s="6">
        <v>49</v>
      </c>
      <c r="C456" s="6" t="s">
        <v>62</v>
      </c>
      <c r="D456" s="6" t="s">
        <v>69</v>
      </c>
      <c r="E456" s="6" t="s">
        <v>80</v>
      </c>
      <c r="F456" s="6">
        <v>1455</v>
      </c>
      <c r="G456" s="6">
        <v>137986.93</v>
      </c>
      <c r="H456" s="7">
        <v>43262</v>
      </c>
      <c r="I456" s="6" t="s">
        <v>49</v>
      </c>
      <c r="J456" s="6" t="s">
        <v>966</v>
      </c>
      <c r="K456" s="6" t="s">
        <v>51</v>
      </c>
      <c r="L456" s="6" t="s">
        <v>52</v>
      </c>
      <c r="M456" s="6" t="s">
        <v>53</v>
      </c>
      <c r="N456" s="6">
        <v>2.34</v>
      </c>
      <c r="O456" s="4" t="str">
        <f t="shared" si="7"/>
        <v>Average</v>
      </c>
      <c r="P456" s="6">
        <v>49</v>
      </c>
    </row>
    <row r="457" spans="1:16" x14ac:dyDescent="0.3">
      <c r="A457" s="6" t="s">
        <v>967</v>
      </c>
      <c r="B457" s="6">
        <v>25</v>
      </c>
      <c r="C457" s="6" t="s">
        <v>25</v>
      </c>
      <c r="D457" s="6" t="s">
        <v>17</v>
      </c>
      <c r="E457" s="6" t="s">
        <v>27</v>
      </c>
      <c r="F457" s="6">
        <v>1456</v>
      </c>
      <c r="G457" s="6">
        <v>112388.59</v>
      </c>
      <c r="H457" s="7">
        <v>40967</v>
      </c>
      <c r="I457" s="6" t="s">
        <v>56</v>
      </c>
      <c r="J457" s="6" t="s">
        <v>968</v>
      </c>
      <c r="K457" s="6" t="s">
        <v>21</v>
      </c>
      <c r="L457" s="6" t="s">
        <v>22</v>
      </c>
      <c r="M457" s="6" t="s">
        <v>23</v>
      </c>
      <c r="N457" s="6">
        <v>4.55</v>
      </c>
      <c r="O457" s="4" t="str">
        <f t="shared" si="7"/>
        <v>Excellent</v>
      </c>
      <c r="P457" s="6">
        <v>71</v>
      </c>
    </row>
    <row r="458" spans="1:16" x14ac:dyDescent="0.3">
      <c r="A458" s="6" t="s">
        <v>969</v>
      </c>
      <c r="B458" s="6">
        <v>60</v>
      </c>
      <c r="C458" s="6" t="s">
        <v>62</v>
      </c>
      <c r="D458" s="6" t="s">
        <v>47</v>
      </c>
      <c r="E458" s="6" t="s">
        <v>48</v>
      </c>
      <c r="F458" s="6">
        <v>1457</v>
      </c>
      <c r="G458" s="6">
        <v>154603.26</v>
      </c>
      <c r="H458" s="7">
        <v>38153</v>
      </c>
      <c r="I458" s="6" t="s">
        <v>63</v>
      </c>
      <c r="J458" s="6" t="s">
        <v>970</v>
      </c>
      <c r="K458" s="6" t="s">
        <v>30</v>
      </c>
      <c r="L458" s="6" t="s">
        <v>31</v>
      </c>
      <c r="M458" s="6" t="s">
        <v>32</v>
      </c>
      <c r="N458" s="6">
        <v>2.25</v>
      </c>
      <c r="O458" s="4" t="str">
        <f t="shared" si="7"/>
        <v>Average</v>
      </c>
      <c r="P458" s="6">
        <v>117</v>
      </c>
    </row>
    <row r="459" spans="1:16" x14ac:dyDescent="0.3">
      <c r="A459" s="6" t="s">
        <v>971</v>
      </c>
      <c r="B459" s="6">
        <v>42</v>
      </c>
      <c r="C459" s="6" t="s">
        <v>62</v>
      </c>
      <c r="D459" s="6" t="s">
        <v>26</v>
      </c>
      <c r="E459" s="6" t="s">
        <v>48</v>
      </c>
      <c r="F459" s="6">
        <v>1458</v>
      </c>
      <c r="G459" s="6">
        <v>124353.39</v>
      </c>
      <c r="H459" s="7">
        <v>38242</v>
      </c>
      <c r="I459" s="6" t="s">
        <v>66</v>
      </c>
      <c r="J459" s="6" t="s">
        <v>972</v>
      </c>
      <c r="K459" s="6" t="s">
        <v>37</v>
      </c>
      <c r="L459" s="6" t="s">
        <v>38</v>
      </c>
      <c r="M459" s="6" t="s">
        <v>39</v>
      </c>
      <c r="N459" s="6">
        <v>2.2000000000000002</v>
      </c>
      <c r="O459" s="4" t="str">
        <f t="shared" si="7"/>
        <v>Average</v>
      </c>
      <c r="P459" s="6">
        <v>56</v>
      </c>
    </row>
    <row r="460" spans="1:16" x14ac:dyDescent="0.3">
      <c r="A460" s="6" t="s">
        <v>973</v>
      </c>
      <c r="B460" s="6">
        <v>29</v>
      </c>
      <c r="C460" s="6" t="s">
        <v>62</v>
      </c>
      <c r="D460" s="6" t="s">
        <v>55</v>
      </c>
      <c r="E460" s="6" t="s">
        <v>80</v>
      </c>
      <c r="F460" s="6">
        <v>1459</v>
      </c>
      <c r="G460" s="6">
        <v>55397.05</v>
      </c>
      <c r="H460" s="7">
        <v>42936</v>
      </c>
      <c r="I460" s="6" t="s">
        <v>70</v>
      </c>
      <c r="J460" s="6" t="s">
        <v>974</v>
      </c>
      <c r="K460" s="6" t="s">
        <v>43</v>
      </c>
      <c r="L460" s="6" t="s">
        <v>44</v>
      </c>
      <c r="M460" s="6" t="s">
        <v>45</v>
      </c>
      <c r="N460" s="6">
        <v>2.84</v>
      </c>
      <c r="O460" s="4" t="str">
        <f t="shared" si="7"/>
        <v>Average</v>
      </c>
      <c r="P460" s="6">
        <v>21</v>
      </c>
    </row>
    <row r="461" spans="1:16" x14ac:dyDescent="0.3">
      <c r="A461" s="6" t="s">
        <v>975</v>
      </c>
      <c r="B461" s="6">
        <v>41</v>
      </c>
      <c r="C461" s="6" t="s">
        <v>25</v>
      </c>
      <c r="D461" s="6" t="s">
        <v>17</v>
      </c>
      <c r="E461" s="6" t="s">
        <v>48</v>
      </c>
      <c r="F461" s="6">
        <v>1460</v>
      </c>
      <c r="G461" s="6">
        <v>146694</v>
      </c>
      <c r="H461" s="7">
        <v>44335</v>
      </c>
      <c r="I461" s="6" t="s">
        <v>73</v>
      </c>
      <c r="J461" s="6" t="s">
        <v>976</v>
      </c>
      <c r="K461" s="6" t="s">
        <v>51</v>
      </c>
      <c r="L461" s="6" t="s">
        <v>52</v>
      </c>
      <c r="M461" s="6" t="s">
        <v>53</v>
      </c>
      <c r="N461" s="6">
        <v>1.75</v>
      </c>
      <c r="O461" s="4" t="str">
        <f t="shared" si="7"/>
        <v>Poor</v>
      </c>
      <c r="P461" s="6">
        <v>109</v>
      </c>
    </row>
    <row r="462" spans="1:16" x14ac:dyDescent="0.3">
      <c r="A462" s="6" t="s">
        <v>977</v>
      </c>
      <c r="B462" s="6">
        <v>53</v>
      </c>
      <c r="C462" s="6" t="s">
        <v>62</v>
      </c>
      <c r="D462" s="6" t="s">
        <v>55</v>
      </c>
      <c r="E462" s="6" t="s">
        <v>27</v>
      </c>
      <c r="F462" s="6">
        <v>1461</v>
      </c>
      <c r="G462" s="6">
        <v>156708.01</v>
      </c>
      <c r="H462" s="7">
        <v>40184</v>
      </c>
      <c r="I462" s="6" t="s">
        <v>19</v>
      </c>
      <c r="J462" s="6" t="s">
        <v>978</v>
      </c>
      <c r="K462" s="6" t="s">
        <v>21</v>
      </c>
      <c r="L462" s="6" t="s">
        <v>22</v>
      </c>
      <c r="M462" s="6" t="s">
        <v>23</v>
      </c>
      <c r="N462" s="6">
        <v>4.5</v>
      </c>
      <c r="O462" s="4" t="str">
        <f t="shared" si="7"/>
        <v>Excellent</v>
      </c>
      <c r="P462" s="6">
        <v>186</v>
      </c>
    </row>
    <row r="463" spans="1:16" x14ac:dyDescent="0.3">
      <c r="A463" s="6" t="s">
        <v>979</v>
      </c>
      <c r="B463" s="6">
        <v>22</v>
      </c>
      <c r="C463" s="6" t="s">
        <v>16</v>
      </c>
      <c r="D463" s="6" t="s">
        <v>47</v>
      </c>
      <c r="E463" s="6" t="s">
        <v>34</v>
      </c>
      <c r="F463" s="6">
        <v>1462</v>
      </c>
      <c r="G463" s="6">
        <v>147059.89000000001</v>
      </c>
      <c r="H463" s="7">
        <v>38103</v>
      </c>
      <c r="I463" s="6" t="s">
        <v>28</v>
      </c>
      <c r="J463" s="6" t="s">
        <v>980</v>
      </c>
      <c r="K463" s="6" t="s">
        <v>30</v>
      </c>
      <c r="L463" s="6" t="s">
        <v>31</v>
      </c>
      <c r="M463" s="6" t="s">
        <v>32</v>
      </c>
      <c r="N463" s="6">
        <v>4.13</v>
      </c>
      <c r="O463" s="4" t="str">
        <f t="shared" si="7"/>
        <v>Excellent</v>
      </c>
      <c r="P463" s="6">
        <v>2</v>
      </c>
    </row>
    <row r="464" spans="1:16" x14ac:dyDescent="0.3">
      <c r="A464" s="6" t="s">
        <v>981</v>
      </c>
      <c r="B464" s="6">
        <v>27</v>
      </c>
      <c r="C464" s="6" t="s">
        <v>25</v>
      </c>
      <c r="D464" s="6" t="s">
        <v>47</v>
      </c>
      <c r="E464" s="6" t="s">
        <v>48</v>
      </c>
      <c r="F464" s="6">
        <v>1463</v>
      </c>
      <c r="G464" s="6">
        <v>187200.93</v>
      </c>
      <c r="H464" s="7">
        <v>37656</v>
      </c>
      <c r="I464" s="6" t="s">
        <v>35</v>
      </c>
      <c r="J464" s="6" t="s">
        <v>982</v>
      </c>
      <c r="K464" s="6" t="s">
        <v>37</v>
      </c>
      <c r="L464" s="6" t="s">
        <v>38</v>
      </c>
      <c r="M464" s="6" t="s">
        <v>39</v>
      </c>
      <c r="N464" s="6">
        <v>1.52</v>
      </c>
      <c r="O464" s="4" t="str">
        <f t="shared" si="7"/>
        <v>Poor</v>
      </c>
      <c r="P464" s="6">
        <v>106</v>
      </c>
    </row>
    <row r="465" spans="1:16" x14ac:dyDescent="0.3">
      <c r="A465" s="6" t="s">
        <v>983</v>
      </c>
      <c r="B465" s="6">
        <v>49</v>
      </c>
      <c r="C465" s="6" t="s">
        <v>16</v>
      </c>
      <c r="D465" s="6" t="s">
        <v>17</v>
      </c>
      <c r="E465" s="6" t="s">
        <v>18</v>
      </c>
      <c r="F465" s="6">
        <v>1464</v>
      </c>
      <c r="G465" s="6">
        <v>99966.81</v>
      </c>
      <c r="H465" s="7">
        <v>40139</v>
      </c>
      <c r="I465" s="6" t="s">
        <v>41</v>
      </c>
      <c r="J465" s="6" t="s">
        <v>984</v>
      </c>
      <c r="K465" s="6" t="s">
        <v>43</v>
      </c>
      <c r="L465" s="6" t="s">
        <v>44</v>
      </c>
      <c r="M465" s="6" t="s">
        <v>45</v>
      </c>
      <c r="N465" s="6">
        <v>2.29</v>
      </c>
      <c r="O465" s="4" t="str">
        <f t="shared" si="7"/>
        <v>Average</v>
      </c>
      <c r="P465" s="6">
        <v>5</v>
      </c>
    </row>
    <row r="466" spans="1:16" x14ac:dyDescent="0.3">
      <c r="A466" s="6" t="s">
        <v>985</v>
      </c>
      <c r="B466" s="6">
        <v>52</v>
      </c>
      <c r="C466" s="6" t="s">
        <v>25</v>
      </c>
      <c r="D466" s="6" t="s">
        <v>17</v>
      </c>
      <c r="E466" s="6" t="s">
        <v>48</v>
      </c>
      <c r="F466" s="6">
        <v>1465</v>
      </c>
      <c r="G466" s="6">
        <v>84205.47</v>
      </c>
      <c r="H466" s="7">
        <v>43648</v>
      </c>
      <c r="I466" s="6" t="s">
        <v>49</v>
      </c>
      <c r="J466" s="6" t="s">
        <v>986</v>
      </c>
      <c r="K466" s="6" t="s">
        <v>51</v>
      </c>
      <c r="L466" s="6" t="s">
        <v>52</v>
      </c>
      <c r="M466" s="6" t="s">
        <v>53</v>
      </c>
      <c r="N466" s="6">
        <v>1.59</v>
      </c>
      <c r="O466" s="4" t="str">
        <f t="shared" si="7"/>
        <v>Poor</v>
      </c>
      <c r="P466" s="6">
        <v>93</v>
      </c>
    </row>
    <row r="467" spans="1:16" x14ac:dyDescent="0.3">
      <c r="A467" s="6" t="s">
        <v>987</v>
      </c>
      <c r="B467" s="6">
        <v>31</v>
      </c>
      <c r="C467" s="6" t="s">
        <v>62</v>
      </c>
      <c r="D467" s="6" t="s">
        <v>26</v>
      </c>
      <c r="E467" s="6" t="s">
        <v>34</v>
      </c>
      <c r="F467" s="6">
        <v>1466</v>
      </c>
      <c r="G467" s="6">
        <v>126542.11</v>
      </c>
      <c r="H467" s="7">
        <v>40186</v>
      </c>
      <c r="I467" s="6" t="s">
        <v>56</v>
      </c>
      <c r="J467" s="6" t="s">
        <v>988</v>
      </c>
      <c r="K467" s="6" t="s">
        <v>21</v>
      </c>
      <c r="L467" s="6" t="s">
        <v>22</v>
      </c>
      <c r="M467" s="6" t="s">
        <v>23</v>
      </c>
      <c r="N467" s="6">
        <v>2.5499999999999998</v>
      </c>
      <c r="O467" s="4" t="str">
        <f t="shared" si="7"/>
        <v>Average</v>
      </c>
      <c r="P467" s="6">
        <v>66</v>
      </c>
    </row>
    <row r="468" spans="1:16" x14ac:dyDescent="0.3">
      <c r="A468" s="6" t="s">
        <v>989</v>
      </c>
      <c r="B468" s="6">
        <v>41</v>
      </c>
      <c r="C468" s="6" t="s">
        <v>16</v>
      </c>
      <c r="D468" s="6" t="s">
        <v>69</v>
      </c>
      <c r="E468" s="6" t="s">
        <v>80</v>
      </c>
      <c r="F468" s="6">
        <v>1467</v>
      </c>
      <c r="G468" s="6">
        <v>171027.43</v>
      </c>
      <c r="H468" s="7">
        <v>36718</v>
      </c>
      <c r="I468" s="6" t="s">
        <v>63</v>
      </c>
      <c r="J468" s="6" t="s">
        <v>990</v>
      </c>
      <c r="K468" s="6" t="s">
        <v>30</v>
      </c>
      <c r="L468" s="6" t="s">
        <v>31</v>
      </c>
      <c r="M468" s="6" t="s">
        <v>32</v>
      </c>
      <c r="N468" s="6">
        <v>3.61</v>
      </c>
      <c r="O468" s="4" t="str">
        <f t="shared" si="7"/>
        <v>Good</v>
      </c>
      <c r="P468" s="6">
        <v>84</v>
      </c>
    </row>
    <row r="469" spans="1:16" x14ac:dyDescent="0.3">
      <c r="A469" s="6" t="s">
        <v>991</v>
      </c>
      <c r="B469" s="6">
        <v>29</v>
      </c>
      <c r="C469" s="6" t="s">
        <v>25</v>
      </c>
      <c r="D469" s="6" t="s">
        <v>26</v>
      </c>
      <c r="E469" s="6" t="s">
        <v>80</v>
      </c>
      <c r="F469" s="6">
        <v>1468</v>
      </c>
      <c r="G469" s="6">
        <v>153019.21</v>
      </c>
      <c r="H469" s="7">
        <v>38588</v>
      </c>
      <c r="I469" s="6" t="s">
        <v>66</v>
      </c>
      <c r="J469" s="6" t="s">
        <v>992</v>
      </c>
      <c r="K469" s="6" t="s">
        <v>37</v>
      </c>
      <c r="L469" s="6" t="s">
        <v>38</v>
      </c>
      <c r="M469" s="6" t="s">
        <v>39</v>
      </c>
      <c r="N469" s="6">
        <v>2.04</v>
      </c>
      <c r="O469" s="4" t="str">
        <f t="shared" si="7"/>
        <v>Average</v>
      </c>
      <c r="P469" s="6">
        <v>175</v>
      </c>
    </row>
    <row r="470" spans="1:16" x14ac:dyDescent="0.3">
      <c r="A470" s="6" t="s">
        <v>993</v>
      </c>
      <c r="B470" s="6">
        <v>43</v>
      </c>
      <c r="C470" s="6" t="s">
        <v>62</v>
      </c>
      <c r="D470" s="6" t="s">
        <v>17</v>
      </c>
      <c r="E470" s="6" t="s">
        <v>34</v>
      </c>
      <c r="F470" s="6">
        <v>1469</v>
      </c>
      <c r="G470" s="6">
        <v>113713.19</v>
      </c>
      <c r="H470" s="7">
        <v>38584</v>
      </c>
      <c r="I470" s="6" t="s">
        <v>70</v>
      </c>
      <c r="J470" s="6" t="s">
        <v>994</v>
      </c>
      <c r="K470" s="6" t="s">
        <v>43</v>
      </c>
      <c r="L470" s="6" t="s">
        <v>44</v>
      </c>
      <c r="M470" s="6" t="s">
        <v>45</v>
      </c>
      <c r="N470" s="6">
        <v>4.0599999999999996</v>
      </c>
      <c r="O470" s="4" t="str">
        <f t="shared" si="7"/>
        <v>Excellent</v>
      </c>
      <c r="P470" s="6">
        <v>67</v>
      </c>
    </row>
    <row r="471" spans="1:16" x14ac:dyDescent="0.3">
      <c r="A471" s="6" t="s">
        <v>995</v>
      </c>
      <c r="B471" s="6">
        <v>59</v>
      </c>
      <c r="C471" s="6" t="s">
        <v>62</v>
      </c>
      <c r="D471" s="6" t="s">
        <v>26</v>
      </c>
      <c r="E471" s="6" t="s">
        <v>80</v>
      </c>
      <c r="F471" s="6">
        <v>1470</v>
      </c>
      <c r="G471" s="6">
        <v>75135.62</v>
      </c>
      <c r="H471" s="7">
        <v>38058</v>
      </c>
      <c r="I471" s="6" t="s">
        <v>73</v>
      </c>
      <c r="J471" s="6" t="s">
        <v>996</v>
      </c>
      <c r="K471" s="6" t="s">
        <v>51</v>
      </c>
      <c r="L471" s="6" t="s">
        <v>52</v>
      </c>
      <c r="M471" s="6" t="s">
        <v>53</v>
      </c>
      <c r="N471" s="6">
        <v>4.8600000000000003</v>
      </c>
      <c r="O471" s="4" t="str">
        <f t="shared" si="7"/>
        <v>Excellent</v>
      </c>
      <c r="P471" s="6">
        <v>145</v>
      </c>
    </row>
    <row r="472" spans="1:16" x14ac:dyDescent="0.3">
      <c r="A472" s="6" t="s">
        <v>997</v>
      </c>
      <c r="B472" s="6">
        <v>50</v>
      </c>
      <c r="C472" s="6" t="s">
        <v>25</v>
      </c>
      <c r="D472" s="6" t="s">
        <v>55</v>
      </c>
      <c r="E472" s="6" t="s">
        <v>48</v>
      </c>
      <c r="F472" s="6">
        <v>1471</v>
      </c>
      <c r="G472" s="6">
        <v>75361.929999999993</v>
      </c>
      <c r="H472" s="7">
        <v>42092</v>
      </c>
      <c r="I472" s="6" t="s">
        <v>19</v>
      </c>
      <c r="J472" s="6" t="s">
        <v>998</v>
      </c>
      <c r="K472" s="6" t="s">
        <v>21</v>
      </c>
      <c r="L472" s="6" t="s">
        <v>22</v>
      </c>
      <c r="M472" s="6" t="s">
        <v>23</v>
      </c>
      <c r="N472" s="6">
        <v>3.44</v>
      </c>
      <c r="O472" s="4" t="str">
        <f t="shared" si="7"/>
        <v>Good</v>
      </c>
      <c r="P472" s="6">
        <v>48</v>
      </c>
    </row>
    <row r="473" spans="1:16" x14ac:dyDescent="0.3">
      <c r="A473" s="6" t="s">
        <v>999</v>
      </c>
      <c r="B473" s="6">
        <v>30</v>
      </c>
      <c r="C473" s="6" t="s">
        <v>25</v>
      </c>
      <c r="D473" s="6" t="s">
        <v>47</v>
      </c>
      <c r="E473" s="6" t="s">
        <v>27</v>
      </c>
      <c r="F473" s="6">
        <v>1472</v>
      </c>
      <c r="G473" s="6">
        <v>115512.88</v>
      </c>
      <c r="H473" s="7">
        <v>43442</v>
      </c>
      <c r="I473" s="6" t="s">
        <v>28</v>
      </c>
      <c r="J473" s="6" t="s">
        <v>1000</v>
      </c>
      <c r="K473" s="6" t="s">
        <v>30</v>
      </c>
      <c r="L473" s="6" t="s">
        <v>31</v>
      </c>
      <c r="M473" s="6" t="s">
        <v>32</v>
      </c>
      <c r="N473" s="6">
        <v>2.33</v>
      </c>
      <c r="O473" s="4" t="str">
        <f t="shared" si="7"/>
        <v>Average</v>
      </c>
      <c r="P473" s="6">
        <v>17</v>
      </c>
    </row>
    <row r="474" spans="1:16" x14ac:dyDescent="0.3">
      <c r="A474" s="6" t="s">
        <v>1001</v>
      </c>
      <c r="B474" s="6">
        <v>22</v>
      </c>
      <c r="C474" s="6" t="s">
        <v>25</v>
      </c>
      <c r="D474" s="6" t="s">
        <v>47</v>
      </c>
      <c r="E474" s="6" t="s">
        <v>48</v>
      </c>
      <c r="F474" s="6">
        <v>1473</v>
      </c>
      <c r="G474" s="6">
        <v>184602.8</v>
      </c>
      <c r="H474" s="7">
        <v>43387</v>
      </c>
      <c r="I474" s="6" t="s">
        <v>35</v>
      </c>
      <c r="J474" s="6" t="s">
        <v>1002</v>
      </c>
      <c r="K474" s="6" t="s">
        <v>37</v>
      </c>
      <c r="L474" s="6" t="s">
        <v>38</v>
      </c>
      <c r="M474" s="6" t="s">
        <v>39</v>
      </c>
      <c r="N474" s="6">
        <v>3.93</v>
      </c>
      <c r="O474" s="4" t="str">
        <f t="shared" si="7"/>
        <v>Good</v>
      </c>
      <c r="P474" s="6">
        <v>76</v>
      </c>
    </row>
    <row r="475" spans="1:16" x14ac:dyDescent="0.3">
      <c r="A475" s="6" t="s">
        <v>1003</v>
      </c>
      <c r="B475" s="6">
        <v>62</v>
      </c>
      <c r="C475" s="6" t="s">
        <v>25</v>
      </c>
      <c r="D475" s="6" t="s">
        <v>26</v>
      </c>
      <c r="E475" s="6" t="s">
        <v>27</v>
      </c>
      <c r="F475" s="6">
        <v>1474</v>
      </c>
      <c r="G475" s="6">
        <v>113763.54</v>
      </c>
      <c r="H475" s="7">
        <v>41305</v>
      </c>
      <c r="I475" s="6" t="s">
        <v>41</v>
      </c>
      <c r="J475" s="6" t="s">
        <v>1004</v>
      </c>
      <c r="K475" s="6" t="s">
        <v>43</v>
      </c>
      <c r="L475" s="6" t="s">
        <v>44</v>
      </c>
      <c r="M475" s="6" t="s">
        <v>45</v>
      </c>
      <c r="N475" s="6">
        <v>2.06</v>
      </c>
      <c r="O475" s="4" t="str">
        <f t="shared" si="7"/>
        <v>Average</v>
      </c>
      <c r="P475" s="6">
        <v>149</v>
      </c>
    </row>
    <row r="476" spans="1:16" x14ac:dyDescent="0.3">
      <c r="A476" s="6" t="s">
        <v>1005</v>
      </c>
      <c r="B476" s="6">
        <v>60</v>
      </c>
      <c r="C476" s="6" t="s">
        <v>16</v>
      </c>
      <c r="D476" s="6" t="s">
        <v>69</v>
      </c>
      <c r="E476" s="6" t="s">
        <v>18</v>
      </c>
      <c r="F476" s="6">
        <v>1475</v>
      </c>
      <c r="G476" s="6">
        <v>190227.15</v>
      </c>
      <c r="H476" s="7">
        <v>42078</v>
      </c>
      <c r="I476" s="6" t="s">
        <v>49</v>
      </c>
      <c r="J476" s="6" t="s">
        <v>1006</v>
      </c>
      <c r="K476" s="6" t="s">
        <v>51</v>
      </c>
      <c r="L476" s="6" t="s">
        <v>52</v>
      </c>
      <c r="M476" s="6" t="s">
        <v>53</v>
      </c>
      <c r="N476" s="6">
        <v>4.54</v>
      </c>
      <c r="O476" s="4" t="str">
        <f t="shared" si="7"/>
        <v>Excellent</v>
      </c>
      <c r="P476" s="6">
        <v>160</v>
      </c>
    </row>
    <row r="477" spans="1:16" x14ac:dyDescent="0.3">
      <c r="A477" s="6" t="s">
        <v>1007</v>
      </c>
      <c r="B477" s="6">
        <v>47</v>
      </c>
      <c r="C477" s="6" t="s">
        <v>25</v>
      </c>
      <c r="D477" s="6" t="s">
        <v>17</v>
      </c>
      <c r="E477" s="6" t="s">
        <v>34</v>
      </c>
      <c r="F477" s="6">
        <v>1476</v>
      </c>
      <c r="G477" s="6">
        <v>120272.36</v>
      </c>
      <c r="H477" s="7">
        <v>37900</v>
      </c>
      <c r="I477" s="6" t="s">
        <v>56</v>
      </c>
      <c r="J477" s="6" t="s">
        <v>1008</v>
      </c>
      <c r="K477" s="6" t="s">
        <v>21</v>
      </c>
      <c r="L477" s="6" t="s">
        <v>22</v>
      </c>
      <c r="M477" s="6" t="s">
        <v>23</v>
      </c>
      <c r="N477" s="6">
        <v>4.05</v>
      </c>
      <c r="O477" s="4" t="str">
        <f t="shared" si="7"/>
        <v>Excellent</v>
      </c>
      <c r="P477" s="6">
        <v>105</v>
      </c>
    </row>
    <row r="478" spans="1:16" x14ac:dyDescent="0.3">
      <c r="A478" s="6" t="s">
        <v>1009</v>
      </c>
      <c r="B478" s="6">
        <v>32</v>
      </c>
      <c r="C478" s="6" t="s">
        <v>62</v>
      </c>
      <c r="D478" s="6" t="s">
        <v>47</v>
      </c>
      <c r="E478" s="6" t="s">
        <v>34</v>
      </c>
      <c r="F478" s="6">
        <v>1477</v>
      </c>
      <c r="G478" s="6">
        <v>55507.31</v>
      </c>
      <c r="H478" s="7">
        <v>43153</v>
      </c>
      <c r="I478" s="6" t="s">
        <v>63</v>
      </c>
      <c r="J478" s="6" t="s">
        <v>1010</v>
      </c>
      <c r="K478" s="6" t="s">
        <v>30</v>
      </c>
      <c r="L478" s="6" t="s">
        <v>31</v>
      </c>
      <c r="M478" s="6" t="s">
        <v>32</v>
      </c>
      <c r="N478" s="6">
        <v>2.68</v>
      </c>
      <c r="O478" s="4" t="str">
        <f t="shared" si="7"/>
        <v>Average</v>
      </c>
      <c r="P478" s="6">
        <v>122</v>
      </c>
    </row>
    <row r="479" spans="1:16" x14ac:dyDescent="0.3">
      <c r="A479" s="6" t="s">
        <v>1011</v>
      </c>
      <c r="B479" s="6">
        <v>56</v>
      </c>
      <c r="C479" s="6" t="s">
        <v>16</v>
      </c>
      <c r="D479" s="6" t="s">
        <v>26</v>
      </c>
      <c r="E479" s="6" t="s">
        <v>48</v>
      </c>
      <c r="F479" s="6">
        <v>1478</v>
      </c>
      <c r="G479" s="6">
        <v>89186.42</v>
      </c>
      <c r="H479" s="7">
        <v>40187</v>
      </c>
      <c r="I479" s="6" t="s">
        <v>66</v>
      </c>
      <c r="J479" s="6" t="s">
        <v>1012</v>
      </c>
      <c r="K479" s="6" t="s">
        <v>37</v>
      </c>
      <c r="L479" s="6" t="s">
        <v>38</v>
      </c>
      <c r="M479" s="6" t="s">
        <v>39</v>
      </c>
      <c r="N479" s="6">
        <v>3.93</v>
      </c>
      <c r="O479" s="4" t="str">
        <f t="shared" si="7"/>
        <v>Good</v>
      </c>
      <c r="P479" s="6">
        <v>143</v>
      </c>
    </row>
    <row r="480" spans="1:16" x14ac:dyDescent="0.3">
      <c r="A480" s="6" t="s">
        <v>1013</v>
      </c>
      <c r="B480" s="6">
        <v>45</v>
      </c>
      <c r="C480" s="6" t="s">
        <v>62</v>
      </c>
      <c r="D480" s="6" t="s">
        <v>17</v>
      </c>
      <c r="E480" s="6" t="s">
        <v>80</v>
      </c>
      <c r="F480" s="6">
        <v>1479</v>
      </c>
      <c r="G480" s="6">
        <v>51788.23</v>
      </c>
      <c r="H480" s="7">
        <v>41993</v>
      </c>
      <c r="I480" s="6" t="s">
        <v>70</v>
      </c>
      <c r="J480" s="6" t="s">
        <v>1014</v>
      </c>
      <c r="K480" s="6" t="s">
        <v>43</v>
      </c>
      <c r="L480" s="6" t="s">
        <v>44</v>
      </c>
      <c r="M480" s="6" t="s">
        <v>45</v>
      </c>
      <c r="N480" s="6">
        <v>1</v>
      </c>
      <c r="O480" s="4" t="str">
        <f t="shared" si="7"/>
        <v>Poor</v>
      </c>
      <c r="P480" s="6">
        <v>167</v>
      </c>
    </row>
    <row r="481" spans="1:16" x14ac:dyDescent="0.3">
      <c r="A481" s="6" t="s">
        <v>1015</v>
      </c>
      <c r="B481" s="6">
        <v>54</v>
      </c>
      <c r="C481" s="6" t="s">
        <v>62</v>
      </c>
      <c r="D481" s="6" t="s">
        <v>47</v>
      </c>
      <c r="E481" s="6" t="s">
        <v>34</v>
      </c>
      <c r="F481" s="6">
        <v>1480</v>
      </c>
      <c r="G481" s="6">
        <v>79831.399999999994</v>
      </c>
      <c r="H481" s="7">
        <v>36565</v>
      </c>
      <c r="I481" s="6" t="s">
        <v>73</v>
      </c>
      <c r="J481" s="6" t="s">
        <v>1016</v>
      </c>
      <c r="K481" s="6" t="s">
        <v>51</v>
      </c>
      <c r="L481" s="6" t="s">
        <v>52</v>
      </c>
      <c r="M481" s="6" t="s">
        <v>53</v>
      </c>
      <c r="N481" s="6">
        <v>4.13</v>
      </c>
      <c r="O481" s="4" t="str">
        <f t="shared" si="7"/>
        <v>Excellent</v>
      </c>
      <c r="P481" s="6">
        <v>140</v>
      </c>
    </row>
    <row r="482" spans="1:16" x14ac:dyDescent="0.3">
      <c r="A482" s="6" t="s">
        <v>1017</v>
      </c>
      <c r="B482" s="6">
        <v>41</v>
      </c>
      <c r="C482" s="6" t="s">
        <v>25</v>
      </c>
      <c r="D482" s="6" t="s">
        <v>26</v>
      </c>
      <c r="E482" s="6" t="s">
        <v>27</v>
      </c>
      <c r="F482" s="6">
        <v>1481</v>
      </c>
      <c r="G482" s="6">
        <v>119117.35</v>
      </c>
      <c r="H482" s="7">
        <v>40023</v>
      </c>
      <c r="I482" s="6" t="s">
        <v>19</v>
      </c>
      <c r="J482" s="6" t="s">
        <v>1018</v>
      </c>
      <c r="K482" s="6" t="s">
        <v>21</v>
      </c>
      <c r="L482" s="6" t="s">
        <v>22</v>
      </c>
      <c r="M482" s="6" t="s">
        <v>23</v>
      </c>
      <c r="N482" s="6">
        <v>3.96</v>
      </c>
      <c r="O482" s="4" t="str">
        <f t="shared" si="7"/>
        <v>Good</v>
      </c>
      <c r="P482" s="6">
        <v>14</v>
      </c>
    </row>
    <row r="483" spans="1:16" x14ac:dyDescent="0.3">
      <c r="A483" s="6" t="s">
        <v>1019</v>
      </c>
      <c r="B483" s="6">
        <v>48</v>
      </c>
      <c r="C483" s="6" t="s">
        <v>16</v>
      </c>
      <c r="D483" s="6" t="s">
        <v>17</v>
      </c>
      <c r="E483" s="6" t="s">
        <v>80</v>
      </c>
      <c r="F483" s="6">
        <v>1482</v>
      </c>
      <c r="G483" s="6">
        <v>121215.02</v>
      </c>
      <c r="H483" s="7">
        <v>36543</v>
      </c>
      <c r="I483" s="6" t="s">
        <v>28</v>
      </c>
      <c r="J483" s="6" t="s">
        <v>1020</v>
      </c>
      <c r="K483" s="6" t="s">
        <v>30</v>
      </c>
      <c r="L483" s="6" t="s">
        <v>31</v>
      </c>
      <c r="M483" s="6" t="s">
        <v>32</v>
      </c>
      <c r="N483" s="6">
        <v>2.5099999999999998</v>
      </c>
      <c r="O483" s="4" t="str">
        <f t="shared" si="7"/>
        <v>Average</v>
      </c>
      <c r="P483" s="6">
        <v>47</v>
      </c>
    </row>
    <row r="484" spans="1:16" x14ac:dyDescent="0.3">
      <c r="A484" s="6" t="s">
        <v>1021</v>
      </c>
      <c r="B484" s="6">
        <v>36</v>
      </c>
      <c r="C484" s="6" t="s">
        <v>25</v>
      </c>
      <c r="D484" s="6" t="s">
        <v>69</v>
      </c>
      <c r="E484" s="6" t="s">
        <v>27</v>
      </c>
      <c r="F484" s="6">
        <v>1483</v>
      </c>
      <c r="G484" s="6">
        <v>198606.98</v>
      </c>
      <c r="H484" s="7">
        <v>39507</v>
      </c>
      <c r="I484" s="6" t="s">
        <v>35</v>
      </c>
      <c r="J484" s="6" t="s">
        <v>1022</v>
      </c>
      <c r="K484" s="6" t="s">
        <v>37</v>
      </c>
      <c r="L484" s="6" t="s">
        <v>38</v>
      </c>
      <c r="M484" s="6" t="s">
        <v>39</v>
      </c>
      <c r="N484" s="6">
        <v>1.27</v>
      </c>
      <c r="O484" s="4" t="str">
        <f t="shared" si="7"/>
        <v>Poor</v>
      </c>
      <c r="P484" s="6">
        <v>1</v>
      </c>
    </row>
    <row r="485" spans="1:16" x14ac:dyDescent="0.3">
      <c r="A485" s="6" t="s">
        <v>1023</v>
      </c>
      <c r="B485" s="6">
        <v>54</v>
      </c>
      <c r="C485" s="6" t="s">
        <v>62</v>
      </c>
      <c r="D485" s="6" t="s">
        <v>26</v>
      </c>
      <c r="E485" s="6" t="s">
        <v>34</v>
      </c>
      <c r="F485" s="6">
        <v>1484</v>
      </c>
      <c r="G485" s="6">
        <v>70899.87</v>
      </c>
      <c r="H485" s="7">
        <v>44848</v>
      </c>
      <c r="I485" s="6" t="s">
        <v>41</v>
      </c>
      <c r="J485" s="6" t="s">
        <v>1024</v>
      </c>
      <c r="K485" s="6" t="s">
        <v>43</v>
      </c>
      <c r="L485" s="6" t="s">
        <v>44</v>
      </c>
      <c r="M485" s="6" t="s">
        <v>45</v>
      </c>
      <c r="N485" s="6">
        <v>2.72</v>
      </c>
      <c r="O485" s="4" t="str">
        <f t="shared" si="7"/>
        <v>Average</v>
      </c>
      <c r="P485" s="6">
        <v>169</v>
      </c>
    </row>
    <row r="486" spans="1:16" x14ac:dyDescent="0.3">
      <c r="A486" s="6" t="s">
        <v>1025</v>
      </c>
      <c r="B486" s="6">
        <v>28</v>
      </c>
      <c r="C486" s="6" t="s">
        <v>25</v>
      </c>
      <c r="D486" s="6" t="s">
        <v>26</v>
      </c>
      <c r="E486" s="6" t="s">
        <v>27</v>
      </c>
      <c r="F486" s="6">
        <v>1485</v>
      </c>
      <c r="G486" s="6">
        <v>138019.17000000001</v>
      </c>
      <c r="H486" s="7">
        <v>38506</v>
      </c>
      <c r="I486" s="6" t="s">
        <v>49</v>
      </c>
      <c r="J486" s="6" t="s">
        <v>1026</v>
      </c>
      <c r="K486" s="6" t="s">
        <v>51</v>
      </c>
      <c r="L486" s="6" t="s">
        <v>52</v>
      </c>
      <c r="M486" s="6" t="s">
        <v>53</v>
      </c>
      <c r="N486" s="6">
        <v>1.01</v>
      </c>
      <c r="O486" s="4" t="str">
        <f t="shared" si="7"/>
        <v>Poor</v>
      </c>
      <c r="P486" s="6">
        <v>8</v>
      </c>
    </row>
    <row r="487" spans="1:16" x14ac:dyDescent="0.3">
      <c r="A487" s="6" t="s">
        <v>1027</v>
      </c>
      <c r="B487" s="6">
        <v>55</v>
      </c>
      <c r="C487" s="6" t="s">
        <v>25</v>
      </c>
      <c r="D487" s="6" t="s">
        <v>26</v>
      </c>
      <c r="E487" s="6" t="s">
        <v>18</v>
      </c>
      <c r="F487" s="6">
        <v>1486</v>
      </c>
      <c r="G487" s="6">
        <v>66822.259999999995</v>
      </c>
      <c r="H487" s="7">
        <v>38951</v>
      </c>
      <c r="I487" s="6" t="s">
        <v>56</v>
      </c>
      <c r="J487" s="6" t="s">
        <v>1028</v>
      </c>
      <c r="K487" s="6" t="s">
        <v>21</v>
      </c>
      <c r="L487" s="6" t="s">
        <v>22</v>
      </c>
      <c r="M487" s="6" t="s">
        <v>23</v>
      </c>
      <c r="N487" s="6">
        <v>1.54</v>
      </c>
      <c r="O487" s="4" t="str">
        <f t="shared" si="7"/>
        <v>Poor</v>
      </c>
      <c r="P487" s="6">
        <v>141</v>
      </c>
    </row>
    <row r="488" spans="1:16" x14ac:dyDescent="0.3">
      <c r="A488" s="6" t="s">
        <v>1029</v>
      </c>
      <c r="B488" s="6">
        <v>63</v>
      </c>
      <c r="C488" s="6" t="s">
        <v>25</v>
      </c>
      <c r="D488" s="6" t="s">
        <v>47</v>
      </c>
      <c r="E488" s="6" t="s">
        <v>27</v>
      </c>
      <c r="F488" s="6">
        <v>1487</v>
      </c>
      <c r="G488" s="6">
        <v>102914.86</v>
      </c>
      <c r="H488" s="7">
        <v>44824</v>
      </c>
      <c r="I488" s="6" t="s">
        <v>63</v>
      </c>
      <c r="J488" s="6" t="s">
        <v>1030</v>
      </c>
      <c r="K488" s="6" t="s">
        <v>30</v>
      </c>
      <c r="L488" s="6" t="s">
        <v>31</v>
      </c>
      <c r="M488" s="6" t="s">
        <v>32</v>
      </c>
      <c r="N488" s="6">
        <v>2.0299999999999998</v>
      </c>
      <c r="O488" s="4" t="str">
        <f t="shared" si="7"/>
        <v>Average</v>
      </c>
      <c r="P488" s="6">
        <v>125</v>
      </c>
    </row>
    <row r="489" spans="1:16" x14ac:dyDescent="0.3">
      <c r="A489" s="6" t="s">
        <v>1031</v>
      </c>
      <c r="B489" s="6">
        <v>26</v>
      </c>
      <c r="C489" s="6" t="s">
        <v>25</v>
      </c>
      <c r="D489" s="6" t="s">
        <v>69</v>
      </c>
      <c r="E489" s="6" t="s">
        <v>48</v>
      </c>
      <c r="F489" s="6">
        <v>1488</v>
      </c>
      <c r="G489" s="6">
        <v>148622.15</v>
      </c>
      <c r="H489" s="7">
        <v>42353</v>
      </c>
      <c r="I489" s="6" t="s">
        <v>66</v>
      </c>
      <c r="J489" s="6" t="s">
        <v>1032</v>
      </c>
      <c r="K489" s="6" t="s">
        <v>37</v>
      </c>
      <c r="L489" s="6" t="s">
        <v>38</v>
      </c>
      <c r="M489" s="6" t="s">
        <v>39</v>
      </c>
      <c r="N489" s="6">
        <v>1.1499999999999999</v>
      </c>
      <c r="O489" s="4" t="str">
        <f t="shared" si="7"/>
        <v>Poor</v>
      </c>
      <c r="P489" s="6">
        <v>2</v>
      </c>
    </row>
    <row r="490" spans="1:16" x14ac:dyDescent="0.3">
      <c r="A490" s="6" t="s">
        <v>1033</v>
      </c>
      <c r="B490" s="6">
        <v>51</v>
      </c>
      <c r="C490" s="6" t="s">
        <v>25</v>
      </c>
      <c r="D490" s="6" t="s">
        <v>69</v>
      </c>
      <c r="E490" s="6" t="s">
        <v>18</v>
      </c>
      <c r="F490" s="6">
        <v>1489</v>
      </c>
      <c r="G490" s="6">
        <v>135477.45000000001</v>
      </c>
      <c r="H490" s="7">
        <v>41898</v>
      </c>
      <c r="I490" s="6" t="s">
        <v>70</v>
      </c>
      <c r="J490" s="6" t="s">
        <v>1034</v>
      </c>
      <c r="K490" s="6" t="s">
        <v>43</v>
      </c>
      <c r="L490" s="6" t="s">
        <v>44</v>
      </c>
      <c r="M490" s="6" t="s">
        <v>45</v>
      </c>
      <c r="N490" s="6">
        <v>3.43</v>
      </c>
      <c r="O490" s="4" t="str">
        <f t="shared" si="7"/>
        <v>Good</v>
      </c>
      <c r="P490" s="6">
        <v>147</v>
      </c>
    </row>
    <row r="491" spans="1:16" x14ac:dyDescent="0.3">
      <c r="A491" s="6" t="s">
        <v>1035</v>
      </c>
      <c r="B491" s="6">
        <v>49</v>
      </c>
      <c r="C491" s="6" t="s">
        <v>25</v>
      </c>
      <c r="D491" s="6" t="s">
        <v>26</v>
      </c>
      <c r="E491" s="6" t="s">
        <v>48</v>
      </c>
      <c r="F491" s="6">
        <v>1490</v>
      </c>
      <c r="G491" s="6">
        <v>99591.17</v>
      </c>
      <c r="H491" s="7">
        <v>36954</v>
      </c>
      <c r="I491" s="6" t="s">
        <v>73</v>
      </c>
      <c r="J491" s="6" t="s">
        <v>1036</v>
      </c>
      <c r="K491" s="6" t="s">
        <v>51</v>
      </c>
      <c r="L491" s="6" t="s">
        <v>52</v>
      </c>
      <c r="M491" s="6" t="s">
        <v>53</v>
      </c>
      <c r="N491" s="6">
        <v>4.59</v>
      </c>
      <c r="O491" s="4" t="str">
        <f t="shared" si="7"/>
        <v>Excellent</v>
      </c>
      <c r="P491" s="6">
        <v>45</v>
      </c>
    </row>
    <row r="492" spans="1:16" x14ac:dyDescent="0.3">
      <c r="A492" s="6" t="s">
        <v>1037</v>
      </c>
      <c r="B492" s="6">
        <v>39</v>
      </c>
      <c r="C492" s="6" t="s">
        <v>16</v>
      </c>
      <c r="D492" s="6" t="s">
        <v>26</v>
      </c>
      <c r="E492" s="6" t="s">
        <v>27</v>
      </c>
      <c r="F492" s="6">
        <v>1491</v>
      </c>
      <c r="G492" s="6">
        <v>150677.26</v>
      </c>
      <c r="H492" s="7">
        <v>37163</v>
      </c>
      <c r="I492" s="6" t="s">
        <v>19</v>
      </c>
      <c r="J492" s="6" t="s">
        <v>1038</v>
      </c>
      <c r="K492" s="6" t="s">
        <v>21</v>
      </c>
      <c r="L492" s="6" t="s">
        <v>22</v>
      </c>
      <c r="M492" s="6" t="s">
        <v>23</v>
      </c>
      <c r="N492" s="6">
        <v>2.63</v>
      </c>
      <c r="O492" s="4" t="str">
        <f t="shared" si="7"/>
        <v>Average</v>
      </c>
      <c r="P492" s="6">
        <v>68</v>
      </c>
    </row>
    <row r="493" spans="1:16" x14ac:dyDescent="0.3">
      <c r="A493" s="6" t="s">
        <v>1039</v>
      </c>
      <c r="B493" s="6">
        <v>57</v>
      </c>
      <c r="C493" s="6" t="s">
        <v>25</v>
      </c>
      <c r="D493" s="6" t="s">
        <v>69</v>
      </c>
      <c r="E493" s="6" t="s">
        <v>80</v>
      </c>
      <c r="F493" s="6">
        <v>1492</v>
      </c>
      <c r="G493" s="6">
        <v>152633.1</v>
      </c>
      <c r="H493" s="7">
        <v>44666</v>
      </c>
      <c r="I493" s="6" t="s">
        <v>28</v>
      </c>
      <c r="J493" s="6" t="s">
        <v>1040</v>
      </c>
      <c r="K493" s="6" t="s">
        <v>30</v>
      </c>
      <c r="L493" s="6" t="s">
        <v>31</v>
      </c>
      <c r="M493" s="6" t="s">
        <v>32</v>
      </c>
      <c r="N493" s="6">
        <v>3.79</v>
      </c>
      <c r="O493" s="4" t="str">
        <f t="shared" si="7"/>
        <v>Good</v>
      </c>
      <c r="P493" s="6">
        <v>175</v>
      </c>
    </row>
    <row r="494" spans="1:16" x14ac:dyDescent="0.3">
      <c r="A494" s="6" t="s">
        <v>1041</v>
      </c>
      <c r="B494" s="6">
        <v>24</v>
      </c>
      <c r="C494" s="6" t="s">
        <v>16</v>
      </c>
      <c r="D494" s="6" t="s">
        <v>17</v>
      </c>
      <c r="E494" s="6" t="s">
        <v>48</v>
      </c>
      <c r="F494" s="6">
        <v>1493</v>
      </c>
      <c r="G494" s="6">
        <v>82335</v>
      </c>
      <c r="H494" s="7">
        <v>37766</v>
      </c>
      <c r="I494" s="6" t="s">
        <v>35</v>
      </c>
      <c r="J494" s="6" t="s">
        <v>1042</v>
      </c>
      <c r="K494" s="6" t="s">
        <v>37</v>
      </c>
      <c r="L494" s="6" t="s">
        <v>38</v>
      </c>
      <c r="M494" s="6" t="s">
        <v>39</v>
      </c>
      <c r="N494" s="6">
        <v>1.47</v>
      </c>
      <c r="O494" s="4" t="str">
        <f t="shared" si="7"/>
        <v>Poor</v>
      </c>
      <c r="P494" s="6">
        <v>67</v>
      </c>
    </row>
    <row r="495" spans="1:16" x14ac:dyDescent="0.3">
      <c r="A495" s="6" t="s">
        <v>1043</v>
      </c>
      <c r="B495" s="6">
        <v>42</v>
      </c>
      <c r="C495" s="6" t="s">
        <v>25</v>
      </c>
      <c r="D495" s="6" t="s">
        <v>26</v>
      </c>
      <c r="E495" s="6" t="s">
        <v>80</v>
      </c>
      <c r="F495" s="6">
        <v>1494</v>
      </c>
      <c r="G495" s="6">
        <v>109142.71</v>
      </c>
      <c r="H495" s="7">
        <v>40234</v>
      </c>
      <c r="I495" s="6" t="s">
        <v>41</v>
      </c>
      <c r="J495" s="6" t="s">
        <v>1044</v>
      </c>
      <c r="K495" s="6" t="s">
        <v>43</v>
      </c>
      <c r="L495" s="6" t="s">
        <v>44</v>
      </c>
      <c r="M495" s="6" t="s">
        <v>45</v>
      </c>
      <c r="N495" s="6">
        <v>4.74</v>
      </c>
      <c r="O495" s="4" t="str">
        <f t="shared" si="7"/>
        <v>Excellent</v>
      </c>
      <c r="P495" s="6">
        <v>151</v>
      </c>
    </row>
    <row r="496" spans="1:16" x14ac:dyDescent="0.3">
      <c r="A496" s="6" t="s">
        <v>1045</v>
      </c>
      <c r="B496" s="6">
        <v>37</v>
      </c>
      <c r="C496" s="6" t="s">
        <v>16</v>
      </c>
      <c r="D496" s="6" t="s">
        <v>69</v>
      </c>
      <c r="E496" s="6" t="s">
        <v>18</v>
      </c>
      <c r="F496" s="6">
        <v>1495</v>
      </c>
      <c r="G496" s="6">
        <v>110719.86</v>
      </c>
      <c r="H496" s="7">
        <v>38395</v>
      </c>
      <c r="I496" s="6" t="s">
        <v>49</v>
      </c>
      <c r="J496" s="6" t="s">
        <v>1046</v>
      </c>
      <c r="K496" s="6" t="s">
        <v>51</v>
      </c>
      <c r="L496" s="6" t="s">
        <v>52</v>
      </c>
      <c r="M496" s="6" t="s">
        <v>53</v>
      </c>
      <c r="N496" s="6">
        <v>4.45</v>
      </c>
      <c r="O496" s="4" t="str">
        <f t="shared" si="7"/>
        <v>Excellent</v>
      </c>
      <c r="P496" s="6">
        <v>125</v>
      </c>
    </row>
    <row r="497" spans="1:16" x14ac:dyDescent="0.3">
      <c r="A497" s="6" t="s">
        <v>1047</v>
      </c>
      <c r="B497" s="6">
        <v>58</v>
      </c>
      <c r="C497" s="6" t="s">
        <v>62</v>
      </c>
      <c r="D497" s="6" t="s">
        <v>47</v>
      </c>
      <c r="E497" s="6" t="s">
        <v>27</v>
      </c>
      <c r="F497" s="6">
        <v>1496</v>
      </c>
      <c r="G497" s="6">
        <v>182157.79</v>
      </c>
      <c r="H497" s="7">
        <v>41137</v>
      </c>
      <c r="I497" s="6" t="s">
        <v>56</v>
      </c>
      <c r="J497" s="6" t="s">
        <v>1048</v>
      </c>
      <c r="K497" s="6" t="s">
        <v>21</v>
      </c>
      <c r="L497" s="6" t="s">
        <v>22</v>
      </c>
      <c r="M497" s="6" t="s">
        <v>23</v>
      </c>
      <c r="N497" s="6">
        <v>4.47</v>
      </c>
      <c r="O497" s="4" t="str">
        <f t="shared" si="7"/>
        <v>Excellent</v>
      </c>
      <c r="P497" s="6">
        <v>155</v>
      </c>
    </row>
    <row r="498" spans="1:16" x14ac:dyDescent="0.3">
      <c r="A498" s="6" t="s">
        <v>1049</v>
      </c>
      <c r="B498" s="6">
        <v>63</v>
      </c>
      <c r="C498" s="6" t="s">
        <v>16</v>
      </c>
      <c r="D498" s="6" t="s">
        <v>69</v>
      </c>
      <c r="E498" s="6" t="s">
        <v>80</v>
      </c>
      <c r="F498" s="6">
        <v>1497</v>
      </c>
      <c r="G498" s="6">
        <v>147571.76</v>
      </c>
      <c r="H498" s="7">
        <v>43776</v>
      </c>
      <c r="I498" s="6" t="s">
        <v>63</v>
      </c>
      <c r="J498" s="6" t="s">
        <v>1050</v>
      </c>
      <c r="K498" s="6" t="s">
        <v>30</v>
      </c>
      <c r="L498" s="6" t="s">
        <v>31</v>
      </c>
      <c r="M498" s="6" t="s">
        <v>32</v>
      </c>
      <c r="N498" s="6">
        <v>4.82</v>
      </c>
      <c r="O498" s="4" t="str">
        <f t="shared" si="7"/>
        <v>Excellent</v>
      </c>
      <c r="P498" s="6">
        <v>190</v>
      </c>
    </row>
    <row r="499" spans="1:16" x14ac:dyDescent="0.3">
      <c r="A499" s="6" t="s">
        <v>1051</v>
      </c>
      <c r="B499" s="6">
        <v>26</v>
      </c>
      <c r="C499" s="6" t="s">
        <v>16</v>
      </c>
      <c r="D499" s="6" t="s">
        <v>17</v>
      </c>
      <c r="E499" s="6" t="s">
        <v>48</v>
      </c>
      <c r="F499" s="6">
        <v>1498</v>
      </c>
      <c r="G499" s="6">
        <v>154991.28</v>
      </c>
      <c r="H499" s="7">
        <v>37026</v>
      </c>
      <c r="I499" s="6" t="s">
        <v>66</v>
      </c>
      <c r="J499" s="6" t="s">
        <v>1052</v>
      </c>
      <c r="K499" s="6" t="s">
        <v>37</v>
      </c>
      <c r="L499" s="6" t="s">
        <v>38</v>
      </c>
      <c r="M499" s="6" t="s">
        <v>39</v>
      </c>
      <c r="N499" s="6">
        <v>4.88</v>
      </c>
      <c r="O499" s="4" t="str">
        <f t="shared" si="7"/>
        <v>Excellent</v>
      </c>
      <c r="P499" s="6">
        <v>19</v>
      </c>
    </row>
    <row r="500" spans="1:16" x14ac:dyDescent="0.3">
      <c r="A500" s="6" t="s">
        <v>1053</v>
      </c>
      <c r="B500" s="6">
        <v>35</v>
      </c>
      <c r="C500" s="6" t="s">
        <v>62</v>
      </c>
      <c r="D500" s="6" t="s">
        <v>26</v>
      </c>
      <c r="E500" s="6" t="s">
        <v>34</v>
      </c>
      <c r="F500" s="6">
        <v>1499</v>
      </c>
      <c r="G500" s="6">
        <v>76122.87</v>
      </c>
      <c r="H500" s="7">
        <v>43011</v>
      </c>
      <c r="I500" s="6" t="s">
        <v>70</v>
      </c>
      <c r="J500" s="6" t="s">
        <v>1054</v>
      </c>
      <c r="K500" s="6" t="s">
        <v>43</v>
      </c>
      <c r="L500" s="6" t="s">
        <v>44</v>
      </c>
      <c r="M500" s="6" t="s">
        <v>45</v>
      </c>
      <c r="N500" s="6">
        <v>4.6399999999999997</v>
      </c>
      <c r="O500" s="4" t="str">
        <f t="shared" si="7"/>
        <v>Excellent</v>
      </c>
      <c r="P500" s="6">
        <v>163</v>
      </c>
    </row>
    <row r="501" spans="1:16" x14ac:dyDescent="0.3">
      <c r="A501" s="6" t="s">
        <v>1055</v>
      </c>
      <c r="B501" s="6">
        <v>52</v>
      </c>
      <c r="C501" s="6" t="s">
        <v>25</v>
      </c>
      <c r="D501" s="6" t="s">
        <v>69</v>
      </c>
      <c r="E501" s="6" t="s">
        <v>18</v>
      </c>
      <c r="F501" s="6">
        <v>1500</v>
      </c>
      <c r="G501" s="6">
        <v>198098.61</v>
      </c>
      <c r="H501" s="7">
        <v>39187</v>
      </c>
      <c r="I501" s="6" t="s">
        <v>73</v>
      </c>
      <c r="J501" s="6" t="s">
        <v>1056</v>
      </c>
      <c r="K501" s="6" t="s">
        <v>51</v>
      </c>
      <c r="L501" s="6" t="s">
        <v>52</v>
      </c>
      <c r="M501" s="6" t="s">
        <v>53</v>
      </c>
      <c r="N501" s="6">
        <v>4.83</v>
      </c>
      <c r="O501" s="4" t="str">
        <f t="shared" si="7"/>
        <v>Excellent</v>
      </c>
      <c r="P501" s="6">
        <v>52</v>
      </c>
    </row>
    <row r="502" spans="1:16" x14ac:dyDescent="0.3">
      <c r="A502" s="6" t="s">
        <v>1057</v>
      </c>
      <c r="B502" s="6">
        <v>45</v>
      </c>
      <c r="C502" s="6" t="s">
        <v>25</v>
      </c>
      <c r="D502" s="6" t="s">
        <v>55</v>
      </c>
      <c r="E502" s="6" t="s">
        <v>18</v>
      </c>
      <c r="F502" s="6">
        <v>1501</v>
      </c>
      <c r="G502" s="6">
        <v>96385.88</v>
      </c>
      <c r="H502" s="7">
        <v>41097</v>
      </c>
      <c r="I502" s="6" t="s">
        <v>19</v>
      </c>
      <c r="J502" s="6" t="s">
        <v>1058</v>
      </c>
      <c r="K502" s="6" t="s">
        <v>21</v>
      </c>
      <c r="L502" s="6" t="s">
        <v>22</v>
      </c>
      <c r="M502" s="6" t="s">
        <v>23</v>
      </c>
      <c r="N502" s="6">
        <v>2.11</v>
      </c>
      <c r="O502" s="4" t="str">
        <f t="shared" si="7"/>
        <v>Average</v>
      </c>
      <c r="P502" s="6">
        <v>68</v>
      </c>
    </row>
    <row r="503" spans="1:16" x14ac:dyDescent="0.3">
      <c r="A503" s="6" t="s">
        <v>1059</v>
      </c>
      <c r="B503" s="6">
        <v>56</v>
      </c>
      <c r="C503" s="6" t="s">
        <v>16</v>
      </c>
      <c r="D503" s="6" t="s">
        <v>26</v>
      </c>
      <c r="E503" s="6" t="s">
        <v>80</v>
      </c>
      <c r="F503" s="6">
        <v>1502</v>
      </c>
      <c r="G503" s="6">
        <v>126163.48</v>
      </c>
      <c r="H503" s="7">
        <v>40507</v>
      </c>
      <c r="I503" s="6" t="s">
        <v>28</v>
      </c>
      <c r="J503" s="6" t="s">
        <v>1060</v>
      </c>
      <c r="K503" s="6" t="s">
        <v>30</v>
      </c>
      <c r="L503" s="6" t="s">
        <v>31</v>
      </c>
      <c r="M503" s="6" t="s">
        <v>32</v>
      </c>
      <c r="N503" s="6">
        <v>3.76</v>
      </c>
      <c r="O503" s="4" t="str">
        <f t="shared" si="7"/>
        <v>Good</v>
      </c>
      <c r="P503" s="6">
        <v>42</v>
      </c>
    </row>
    <row r="504" spans="1:16" x14ac:dyDescent="0.3">
      <c r="A504" s="6" t="s">
        <v>1061</v>
      </c>
      <c r="B504" s="6">
        <v>57</v>
      </c>
      <c r="C504" s="6" t="s">
        <v>25</v>
      </c>
      <c r="D504" s="6" t="s">
        <v>26</v>
      </c>
      <c r="E504" s="6" t="s">
        <v>18</v>
      </c>
      <c r="F504" s="6">
        <v>1503</v>
      </c>
      <c r="G504" s="6">
        <v>66406.78</v>
      </c>
      <c r="H504" s="7">
        <v>43516</v>
      </c>
      <c r="I504" s="6" t="s">
        <v>35</v>
      </c>
      <c r="J504" s="6" t="s">
        <v>1062</v>
      </c>
      <c r="K504" s="6" t="s">
        <v>37</v>
      </c>
      <c r="L504" s="6" t="s">
        <v>38</v>
      </c>
      <c r="M504" s="6" t="s">
        <v>39</v>
      </c>
      <c r="N504" s="6">
        <v>4.34</v>
      </c>
      <c r="O504" s="4" t="str">
        <f t="shared" si="7"/>
        <v>Excellent</v>
      </c>
      <c r="P504" s="6">
        <v>39</v>
      </c>
    </row>
    <row r="505" spans="1:16" x14ac:dyDescent="0.3">
      <c r="A505" s="6" t="s">
        <v>1063</v>
      </c>
      <c r="B505" s="6">
        <v>31</v>
      </c>
      <c r="C505" s="6" t="s">
        <v>25</v>
      </c>
      <c r="D505" s="6" t="s">
        <v>55</v>
      </c>
      <c r="E505" s="6" t="s">
        <v>27</v>
      </c>
      <c r="F505" s="6">
        <v>1504</v>
      </c>
      <c r="G505" s="6">
        <v>87081.07</v>
      </c>
      <c r="H505" s="7">
        <v>41660</v>
      </c>
      <c r="I505" s="6" t="s">
        <v>41</v>
      </c>
      <c r="J505" s="6" t="s">
        <v>1064</v>
      </c>
      <c r="K505" s="6" t="s">
        <v>43</v>
      </c>
      <c r="L505" s="6" t="s">
        <v>44</v>
      </c>
      <c r="M505" s="6" t="s">
        <v>45</v>
      </c>
      <c r="N505" s="6">
        <v>4.82</v>
      </c>
      <c r="O505" s="4" t="str">
        <f t="shared" si="7"/>
        <v>Excellent</v>
      </c>
      <c r="P505" s="6">
        <v>113</v>
      </c>
    </row>
    <row r="506" spans="1:16" x14ac:dyDescent="0.3">
      <c r="A506" s="6" t="s">
        <v>1065</v>
      </c>
      <c r="B506" s="6">
        <v>48</v>
      </c>
      <c r="C506" s="6" t="s">
        <v>62</v>
      </c>
      <c r="D506" s="6" t="s">
        <v>26</v>
      </c>
      <c r="E506" s="6" t="s">
        <v>18</v>
      </c>
      <c r="F506" s="6">
        <v>1505</v>
      </c>
      <c r="G506" s="6">
        <v>75125.34</v>
      </c>
      <c r="H506" s="7">
        <v>38755</v>
      </c>
      <c r="I506" s="6" t="s">
        <v>49</v>
      </c>
      <c r="J506" s="6" t="s">
        <v>1066</v>
      </c>
      <c r="K506" s="6" t="s">
        <v>51</v>
      </c>
      <c r="L506" s="6" t="s">
        <v>52</v>
      </c>
      <c r="M506" s="6" t="s">
        <v>53</v>
      </c>
      <c r="N506" s="6">
        <v>1.85</v>
      </c>
      <c r="O506" s="4" t="str">
        <f t="shared" si="7"/>
        <v>Poor</v>
      </c>
      <c r="P506" s="6">
        <v>30</v>
      </c>
    </row>
    <row r="507" spans="1:16" x14ac:dyDescent="0.3">
      <c r="A507" s="6" t="s">
        <v>1067</v>
      </c>
      <c r="B507" s="6">
        <v>48</v>
      </c>
      <c r="C507" s="6" t="s">
        <v>25</v>
      </c>
      <c r="D507" s="6" t="s">
        <v>47</v>
      </c>
      <c r="E507" s="6" t="s">
        <v>27</v>
      </c>
      <c r="F507" s="6">
        <v>1506</v>
      </c>
      <c r="G507" s="6">
        <v>167094.56</v>
      </c>
      <c r="H507" s="7">
        <v>40911</v>
      </c>
      <c r="I507" s="6" t="s">
        <v>56</v>
      </c>
      <c r="J507" s="6" t="s">
        <v>1068</v>
      </c>
      <c r="K507" s="6" t="s">
        <v>21</v>
      </c>
      <c r="L507" s="6" t="s">
        <v>22</v>
      </c>
      <c r="M507" s="6" t="s">
        <v>23</v>
      </c>
      <c r="N507" s="6">
        <v>4.4000000000000004</v>
      </c>
      <c r="O507" s="4" t="str">
        <f t="shared" si="7"/>
        <v>Excellent</v>
      </c>
      <c r="P507" s="6">
        <v>66</v>
      </c>
    </row>
    <row r="508" spans="1:16" x14ac:dyDescent="0.3">
      <c r="A508" s="6" t="s">
        <v>1069</v>
      </c>
      <c r="B508" s="6">
        <v>44</v>
      </c>
      <c r="C508" s="6" t="s">
        <v>25</v>
      </c>
      <c r="D508" s="6" t="s">
        <v>47</v>
      </c>
      <c r="E508" s="6" t="s">
        <v>18</v>
      </c>
      <c r="F508" s="6">
        <v>1507</v>
      </c>
      <c r="G508" s="6">
        <v>189006.14</v>
      </c>
      <c r="H508" s="7">
        <v>42616</v>
      </c>
      <c r="I508" s="6" t="s">
        <v>63</v>
      </c>
      <c r="J508" s="6" t="s">
        <v>1070</v>
      </c>
      <c r="K508" s="6" t="s">
        <v>30</v>
      </c>
      <c r="L508" s="6" t="s">
        <v>31</v>
      </c>
      <c r="M508" s="6" t="s">
        <v>32</v>
      </c>
      <c r="N508" s="6">
        <v>2.4900000000000002</v>
      </c>
      <c r="O508" s="4" t="str">
        <f t="shared" si="7"/>
        <v>Average</v>
      </c>
      <c r="P508" s="6">
        <v>53</v>
      </c>
    </row>
    <row r="509" spans="1:16" x14ac:dyDescent="0.3">
      <c r="A509" s="6" t="s">
        <v>1071</v>
      </c>
      <c r="B509" s="6">
        <v>34</v>
      </c>
      <c r="C509" s="6" t="s">
        <v>16</v>
      </c>
      <c r="D509" s="6" t="s">
        <v>17</v>
      </c>
      <c r="E509" s="6" t="s">
        <v>27</v>
      </c>
      <c r="F509" s="6">
        <v>1508</v>
      </c>
      <c r="G509" s="6">
        <v>151604.91</v>
      </c>
      <c r="H509" s="7">
        <v>43728</v>
      </c>
      <c r="I509" s="6" t="s">
        <v>66</v>
      </c>
      <c r="J509" s="6" t="s">
        <v>1072</v>
      </c>
      <c r="K509" s="6" t="s">
        <v>37</v>
      </c>
      <c r="L509" s="6" t="s">
        <v>38</v>
      </c>
      <c r="M509" s="6" t="s">
        <v>39</v>
      </c>
      <c r="N509" s="6">
        <v>3.43</v>
      </c>
      <c r="O509" s="4" t="str">
        <f t="shared" si="7"/>
        <v>Good</v>
      </c>
      <c r="P509" s="6">
        <v>32</v>
      </c>
    </row>
    <row r="510" spans="1:16" x14ac:dyDescent="0.3">
      <c r="A510" s="6" t="s">
        <v>1073</v>
      </c>
      <c r="B510" s="6">
        <v>37</v>
      </c>
      <c r="C510" s="6" t="s">
        <v>25</v>
      </c>
      <c r="D510" s="6" t="s">
        <v>17</v>
      </c>
      <c r="E510" s="6" t="s">
        <v>48</v>
      </c>
      <c r="F510" s="6">
        <v>1509</v>
      </c>
      <c r="G510" s="6">
        <v>168991.2</v>
      </c>
      <c r="H510" s="7">
        <v>43367</v>
      </c>
      <c r="I510" s="6" t="s">
        <v>70</v>
      </c>
      <c r="J510" s="6" t="s">
        <v>1074</v>
      </c>
      <c r="K510" s="6" t="s">
        <v>43</v>
      </c>
      <c r="L510" s="6" t="s">
        <v>44</v>
      </c>
      <c r="M510" s="6" t="s">
        <v>45</v>
      </c>
      <c r="N510" s="6">
        <v>2.39</v>
      </c>
      <c r="O510" s="4" t="str">
        <f t="shared" si="7"/>
        <v>Average</v>
      </c>
      <c r="P510" s="6">
        <v>156</v>
      </c>
    </row>
    <row r="511" spans="1:16" x14ac:dyDescent="0.3">
      <c r="A511" s="6" t="s">
        <v>1075</v>
      </c>
      <c r="B511" s="6">
        <v>56</v>
      </c>
      <c r="C511" s="6" t="s">
        <v>25</v>
      </c>
      <c r="D511" s="6" t="s">
        <v>69</v>
      </c>
      <c r="E511" s="6" t="s">
        <v>48</v>
      </c>
      <c r="F511" s="6">
        <v>1510</v>
      </c>
      <c r="G511" s="6">
        <v>74633.440000000002</v>
      </c>
      <c r="H511" s="7">
        <v>44658</v>
      </c>
      <c r="I511" s="6" t="s">
        <v>73</v>
      </c>
      <c r="J511" s="6" t="s">
        <v>1076</v>
      </c>
      <c r="K511" s="6" t="s">
        <v>51</v>
      </c>
      <c r="L511" s="6" t="s">
        <v>52</v>
      </c>
      <c r="M511" s="6" t="s">
        <v>53</v>
      </c>
      <c r="N511" s="6">
        <v>4.1900000000000004</v>
      </c>
      <c r="O511" s="4" t="str">
        <f t="shared" si="7"/>
        <v>Excellent</v>
      </c>
      <c r="P511" s="6">
        <v>128</v>
      </c>
    </row>
    <row r="512" spans="1:16" x14ac:dyDescent="0.3">
      <c r="A512" s="6" t="s">
        <v>1077</v>
      </c>
      <c r="B512" s="6">
        <v>48</v>
      </c>
      <c r="C512" s="6" t="s">
        <v>16</v>
      </c>
      <c r="D512" s="6" t="s">
        <v>69</v>
      </c>
      <c r="E512" s="6" t="s">
        <v>18</v>
      </c>
      <c r="F512" s="6">
        <v>1511</v>
      </c>
      <c r="G512" s="6">
        <v>115998.24</v>
      </c>
      <c r="H512" s="7">
        <v>44220</v>
      </c>
      <c r="I512" s="6" t="s">
        <v>19</v>
      </c>
      <c r="J512" s="6" t="s">
        <v>1078</v>
      </c>
      <c r="K512" s="6" t="s">
        <v>21</v>
      </c>
      <c r="L512" s="6" t="s">
        <v>22</v>
      </c>
      <c r="M512" s="6" t="s">
        <v>23</v>
      </c>
      <c r="N512" s="6">
        <v>1.1100000000000001</v>
      </c>
      <c r="O512" s="4" t="str">
        <f t="shared" si="7"/>
        <v>Poor</v>
      </c>
      <c r="P512" s="6">
        <v>9</v>
      </c>
    </row>
    <row r="513" spans="1:16" x14ac:dyDescent="0.3">
      <c r="A513" s="6" t="s">
        <v>1079</v>
      </c>
      <c r="B513" s="6">
        <v>60</v>
      </c>
      <c r="C513" s="6" t="s">
        <v>16</v>
      </c>
      <c r="D513" s="6" t="s">
        <v>47</v>
      </c>
      <c r="E513" s="6" t="s">
        <v>18</v>
      </c>
      <c r="F513" s="6">
        <v>1512</v>
      </c>
      <c r="G513" s="6">
        <v>65451.54</v>
      </c>
      <c r="H513" s="7">
        <v>38414</v>
      </c>
      <c r="I513" s="6" t="s">
        <v>28</v>
      </c>
      <c r="J513" s="6" t="s">
        <v>1080</v>
      </c>
      <c r="K513" s="6" t="s">
        <v>30</v>
      </c>
      <c r="L513" s="6" t="s">
        <v>31</v>
      </c>
      <c r="M513" s="6" t="s">
        <v>32</v>
      </c>
      <c r="N513" s="6">
        <v>2.62</v>
      </c>
      <c r="O513" s="4" t="str">
        <f t="shared" si="7"/>
        <v>Average</v>
      </c>
      <c r="P513" s="6">
        <v>146</v>
      </c>
    </row>
    <row r="514" spans="1:16" x14ac:dyDescent="0.3">
      <c r="A514" s="6" t="s">
        <v>1081</v>
      </c>
      <c r="B514" s="6">
        <v>38</v>
      </c>
      <c r="C514" s="6" t="s">
        <v>16</v>
      </c>
      <c r="D514" s="6" t="s">
        <v>26</v>
      </c>
      <c r="E514" s="6" t="s">
        <v>18</v>
      </c>
      <c r="F514" s="6">
        <v>1513</v>
      </c>
      <c r="G514" s="6">
        <v>188640.81</v>
      </c>
      <c r="H514" s="7">
        <v>42642</v>
      </c>
      <c r="I514" s="6" t="s">
        <v>35</v>
      </c>
      <c r="J514" s="6" t="s">
        <v>1082</v>
      </c>
      <c r="K514" s="6" t="s">
        <v>37</v>
      </c>
      <c r="L514" s="6" t="s">
        <v>38</v>
      </c>
      <c r="M514" s="6" t="s">
        <v>39</v>
      </c>
      <c r="N514" s="6">
        <v>2.4500000000000002</v>
      </c>
      <c r="O514" s="4" t="str">
        <f t="shared" si="7"/>
        <v>Average</v>
      </c>
      <c r="P514" s="6">
        <v>25</v>
      </c>
    </row>
    <row r="515" spans="1:16" x14ac:dyDescent="0.3">
      <c r="A515" s="6" t="s">
        <v>1083</v>
      </c>
      <c r="B515" s="6">
        <v>62</v>
      </c>
      <c r="C515" s="6" t="s">
        <v>25</v>
      </c>
      <c r="D515" s="6" t="s">
        <v>55</v>
      </c>
      <c r="E515" s="6" t="s">
        <v>27</v>
      </c>
      <c r="F515" s="6">
        <v>1514</v>
      </c>
      <c r="G515" s="6">
        <v>152927.76</v>
      </c>
      <c r="H515" s="7">
        <v>37902</v>
      </c>
      <c r="I515" s="6" t="s">
        <v>41</v>
      </c>
      <c r="J515" s="6" t="s">
        <v>1084</v>
      </c>
      <c r="K515" s="6" t="s">
        <v>43</v>
      </c>
      <c r="L515" s="6" t="s">
        <v>44</v>
      </c>
      <c r="M515" s="6" t="s">
        <v>45</v>
      </c>
      <c r="N515" s="6">
        <v>3.57</v>
      </c>
      <c r="O515" s="4" t="str">
        <f t="shared" ref="O515:O578" si="8">IF(N515&gt;=4,"Excellent",IF(N515&gt;=3,"Good",IF(N515&gt;=2,"Average","Poor")))</f>
        <v>Good</v>
      </c>
      <c r="P515" s="6">
        <v>7</v>
      </c>
    </row>
    <row r="516" spans="1:16" x14ac:dyDescent="0.3">
      <c r="A516" s="6" t="s">
        <v>1085</v>
      </c>
      <c r="B516" s="6">
        <v>22</v>
      </c>
      <c r="C516" s="6" t="s">
        <v>25</v>
      </c>
      <c r="D516" s="6" t="s">
        <v>47</v>
      </c>
      <c r="E516" s="6" t="s">
        <v>34</v>
      </c>
      <c r="F516" s="6">
        <v>1515</v>
      </c>
      <c r="G516" s="6">
        <v>65150.71</v>
      </c>
      <c r="H516" s="7">
        <v>37496</v>
      </c>
      <c r="I516" s="6" t="s">
        <v>49</v>
      </c>
      <c r="J516" s="6" t="s">
        <v>1086</v>
      </c>
      <c r="K516" s="6" t="s">
        <v>51</v>
      </c>
      <c r="L516" s="6" t="s">
        <v>52</v>
      </c>
      <c r="M516" s="6" t="s">
        <v>53</v>
      </c>
      <c r="N516" s="6">
        <v>1.75</v>
      </c>
      <c r="O516" s="4" t="str">
        <f t="shared" si="8"/>
        <v>Poor</v>
      </c>
      <c r="P516" s="6">
        <v>111</v>
      </c>
    </row>
    <row r="517" spans="1:16" x14ac:dyDescent="0.3">
      <c r="A517" s="6" t="s">
        <v>1087</v>
      </c>
      <c r="B517" s="6">
        <v>32</v>
      </c>
      <c r="C517" s="6" t="s">
        <v>25</v>
      </c>
      <c r="D517" s="6" t="s">
        <v>17</v>
      </c>
      <c r="E517" s="6" t="s">
        <v>18</v>
      </c>
      <c r="F517" s="6">
        <v>1516</v>
      </c>
      <c r="G517" s="6">
        <v>160695.57</v>
      </c>
      <c r="H517" s="7">
        <v>43628</v>
      </c>
      <c r="I517" s="6" t="s">
        <v>56</v>
      </c>
      <c r="J517" s="6" t="s">
        <v>1088</v>
      </c>
      <c r="K517" s="6" t="s">
        <v>21</v>
      </c>
      <c r="L517" s="6" t="s">
        <v>22</v>
      </c>
      <c r="M517" s="6" t="s">
        <v>23</v>
      </c>
      <c r="N517" s="6">
        <v>3.65</v>
      </c>
      <c r="O517" s="4" t="str">
        <f t="shared" si="8"/>
        <v>Good</v>
      </c>
      <c r="P517" s="6">
        <v>7</v>
      </c>
    </row>
    <row r="518" spans="1:16" x14ac:dyDescent="0.3">
      <c r="A518" s="6" t="s">
        <v>1089</v>
      </c>
      <c r="B518" s="6">
        <v>33</v>
      </c>
      <c r="C518" s="6" t="s">
        <v>25</v>
      </c>
      <c r="D518" s="6" t="s">
        <v>17</v>
      </c>
      <c r="E518" s="6" t="s">
        <v>18</v>
      </c>
      <c r="F518" s="6">
        <v>1517</v>
      </c>
      <c r="G518" s="6">
        <v>95513.48</v>
      </c>
      <c r="H518" s="7">
        <v>42012</v>
      </c>
      <c r="I518" s="6" t="s">
        <v>63</v>
      </c>
      <c r="J518" s="6" t="s">
        <v>1090</v>
      </c>
      <c r="K518" s="6" t="s">
        <v>30</v>
      </c>
      <c r="L518" s="6" t="s">
        <v>31</v>
      </c>
      <c r="M518" s="6" t="s">
        <v>32</v>
      </c>
      <c r="N518" s="6">
        <v>2.2200000000000002</v>
      </c>
      <c r="O518" s="4" t="str">
        <f t="shared" si="8"/>
        <v>Average</v>
      </c>
      <c r="P518" s="6">
        <v>91</v>
      </c>
    </row>
    <row r="519" spans="1:16" x14ac:dyDescent="0.3">
      <c r="A519" s="6" t="s">
        <v>1091</v>
      </c>
      <c r="B519" s="6">
        <v>35</v>
      </c>
      <c r="C519" s="6" t="s">
        <v>25</v>
      </c>
      <c r="D519" s="6" t="s">
        <v>17</v>
      </c>
      <c r="E519" s="6" t="s">
        <v>80</v>
      </c>
      <c r="F519" s="6">
        <v>1518</v>
      </c>
      <c r="G519" s="6">
        <v>188053.94</v>
      </c>
      <c r="H519" s="7">
        <v>43774</v>
      </c>
      <c r="I519" s="6" t="s">
        <v>66</v>
      </c>
      <c r="J519" s="6" t="s">
        <v>1092</v>
      </c>
      <c r="K519" s="6" t="s">
        <v>37</v>
      </c>
      <c r="L519" s="6" t="s">
        <v>38</v>
      </c>
      <c r="M519" s="6" t="s">
        <v>39</v>
      </c>
      <c r="N519" s="6">
        <v>1.04</v>
      </c>
      <c r="O519" s="4" t="str">
        <f t="shared" si="8"/>
        <v>Poor</v>
      </c>
      <c r="P519" s="6">
        <v>140</v>
      </c>
    </row>
    <row r="520" spans="1:16" x14ac:dyDescent="0.3">
      <c r="A520" s="6" t="s">
        <v>1093</v>
      </c>
      <c r="B520" s="6">
        <v>29</v>
      </c>
      <c r="C520" s="6" t="s">
        <v>25</v>
      </c>
      <c r="D520" s="6" t="s">
        <v>55</v>
      </c>
      <c r="E520" s="6" t="s">
        <v>18</v>
      </c>
      <c r="F520" s="6">
        <v>1519</v>
      </c>
      <c r="G520" s="6">
        <v>59547.38</v>
      </c>
      <c r="H520" s="7">
        <v>41936</v>
      </c>
      <c r="I520" s="6" t="s">
        <v>70</v>
      </c>
      <c r="J520" s="6" t="s">
        <v>1094</v>
      </c>
      <c r="K520" s="6" t="s">
        <v>43</v>
      </c>
      <c r="L520" s="6" t="s">
        <v>44</v>
      </c>
      <c r="M520" s="6" t="s">
        <v>45</v>
      </c>
      <c r="N520" s="6">
        <v>4.95</v>
      </c>
      <c r="O520" s="4" t="str">
        <f t="shared" si="8"/>
        <v>Excellent</v>
      </c>
      <c r="P520" s="6">
        <v>189</v>
      </c>
    </row>
    <row r="521" spans="1:16" x14ac:dyDescent="0.3">
      <c r="A521" s="6" t="s">
        <v>1095</v>
      </c>
      <c r="B521" s="6">
        <v>52</v>
      </c>
      <c r="C521" s="6" t="s">
        <v>16</v>
      </c>
      <c r="D521" s="6" t="s">
        <v>17</v>
      </c>
      <c r="E521" s="6" t="s">
        <v>34</v>
      </c>
      <c r="F521" s="6">
        <v>1520</v>
      </c>
      <c r="G521" s="6">
        <v>96702.42</v>
      </c>
      <c r="H521" s="7">
        <v>43815</v>
      </c>
      <c r="I521" s="6" t="s">
        <v>73</v>
      </c>
      <c r="J521" s="6" t="s">
        <v>1096</v>
      </c>
      <c r="K521" s="6" t="s">
        <v>51</v>
      </c>
      <c r="L521" s="6" t="s">
        <v>52</v>
      </c>
      <c r="M521" s="6" t="s">
        <v>53</v>
      </c>
      <c r="N521" s="6">
        <v>4.1399999999999997</v>
      </c>
      <c r="O521" s="4" t="str">
        <f t="shared" si="8"/>
        <v>Excellent</v>
      </c>
      <c r="P521" s="6">
        <v>88</v>
      </c>
    </row>
    <row r="522" spans="1:16" x14ac:dyDescent="0.3">
      <c r="A522" s="6" t="s">
        <v>1097</v>
      </c>
      <c r="B522" s="6">
        <v>28</v>
      </c>
      <c r="C522" s="6" t="s">
        <v>16</v>
      </c>
      <c r="D522" s="6" t="s">
        <v>17</v>
      </c>
      <c r="E522" s="6" t="s">
        <v>48</v>
      </c>
      <c r="F522" s="6">
        <v>1521</v>
      </c>
      <c r="G522" s="6">
        <v>177881.94</v>
      </c>
      <c r="H522" s="7">
        <v>44233</v>
      </c>
      <c r="I522" s="6" t="s">
        <v>19</v>
      </c>
      <c r="J522" s="6" t="s">
        <v>1098</v>
      </c>
      <c r="K522" s="6" t="s">
        <v>21</v>
      </c>
      <c r="L522" s="6" t="s">
        <v>22</v>
      </c>
      <c r="M522" s="6" t="s">
        <v>23</v>
      </c>
      <c r="N522" s="6">
        <v>4.9400000000000004</v>
      </c>
      <c r="O522" s="4" t="str">
        <f t="shared" si="8"/>
        <v>Excellent</v>
      </c>
      <c r="P522" s="6">
        <v>96</v>
      </c>
    </row>
    <row r="523" spans="1:16" x14ac:dyDescent="0.3">
      <c r="A523" s="6" t="s">
        <v>1099</v>
      </c>
      <c r="B523" s="6">
        <v>52</v>
      </c>
      <c r="C523" s="6" t="s">
        <v>25</v>
      </c>
      <c r="D523" s="6" t="s">
        <v>69</v>
      </c>
      <c r="E523" s="6" t="s">
        <v>80</v>
      </c>
      <c r="F523" s="6">
        <v>1522</v>
      </c>
      <c r="G523" s="6">
        <v>65496.39</v>
      </c>
      <c r="H523" s="7">
        <v>41207</v>
      </c>
      <c r="I523" s="6" t="s">
        <v>28</v>
      </c>
      <c r="J523" s="6" t="s">
        <v>1100</v>
      </c>
      <c r="K523" s="6" t="s">
        <v>30</v>
      </c>
      <c r="L523" s="6" t="s">
        <v>31</v>
      </c>
      <c r="M523" s="6" t="s">
        <v>32</v>
      </c>
      <c r="N523" s="6">
        <v>4.8</v>
      </c>
      <c r="O523" s="4" t="str">
        <f t="shared" si="8"/>
        <v>Excellent</v>
      </c>
      <c r="P523" s="6">
        <v>81</v>
      </c>
    </row>
    <row r="524" spans="1:16" x14ac:dyDescent="0.3">
      <c r="A524" s="6" t="s">
        <v>1101</v>
      </c>
      <c r="B524" s="6">
        <v>37</v>
      </c>
      <c r="C524" s="6" t="s">
        <v>62</v>
      </c>
      <c r="D524" s="6" t="s">
        <v>26</v>
      </c>
      <c r="E524" s="6" t="s">
        <v>80</v>
      </c>
      <c r="F524" s="6">
        <v>1523</v>
      </c>
      <c r="G524" s="6">
        <v>91073.46</v>
      </c>
      <c r="H524" s="7">
        <v>44639</v>
      </c>
      <c r="I524" s="6" t="s">
        <v>35</v>
      </c>
      <c r="J524" s="6" t="s">
        <v>1102</v>
      </c>
      <c r="K524" s="6" t="s">
        <v>37</v>
      </c>
      <c r="L524" s="6" t="s">
        <v>38</v>
      </c>
      <c r="M524" s="6" t="s">
        <v>39</v>
      </c>
      <c r="N524" s="6">
        <v>2.91</v>
      </c>
      <c r="O524" s="4" t="str">
        <f t="shared" si="8"/>
        <v>Average</v>
      </c>
      <c r="P524" s="6">
        <v>30</v>
      </c>
    </row>
    <row r="525" spans="1:16" x14ac:dyDescent="0.3">
      <c r="A525" s="6" t="s">
        <v>1103</v>
      </c>
      <c r="B525" s="6">
        <v>63</v>
      </c>
      <c r="C525" s="6" t="s">
        <v>16</v>
      </c>
      <c r="D525" s="6" t="s">
        <v>26</v>
      </c>
      <c r="E525" s="6" t="s">
        <v>80</v>
      </c>
      <c r="F525" s="6">
        <v>1524</v>
      </c>
      <c r="G525" s="6">
        <v>76208.539999999994</v>
      </c>
      <c r="H525" s="7">
        <v>39267</v>
      </c>
      <c r="I525" s="6" t="s">
        <v>41</v>
      </c>
      <c r="J525" s="6" t="s">
        <v>1104</v>
      </c>
      <c r="K525" s="6" t="s">
        <v>43</v>
      </c>
      <c r="L525" s="6" t="s">
        <v>44</v>
      </c>
      <c r="M525" s="6" t="s">
        <v>45</v>
      </c>
      <c r="N525" s="6">
        <v>2.19</v>
      </c>
      <c r="O525" s="4" t="str">
        <f t="shared" si="8"/>
        <v>Average</v>
      </c>
      <c r="P525" s="6">
        <v>110</v>
      </c>
    </row>
    <row r="526" spans="1:16" x14ac:dyDescent="0.3">
      <c r="A526" s="6" t="s">
        <v>1105</v>
      </c>
      <c r="B526" s="6">
        <v>60</v>
      </c>
      <c r="C526" s="6" t="s">
        <v>25</v>
      </c>
      <c r="D526" s="6" t="s">
        <v>55</v>
      </c>
      <c r="E526" s="6" t="s">
        <v>48</v>
      </c>
      <c r="F526" s="6">
        <v>1525</v>
      </c>
      <c r="G526" s="6">
        <v>183878.99</v>
      </c>
      <c r="H526" s="7">
        <v>39596</v>
      </c>
      <c r="I526" s="6" t="s">
        <v>49</v>
      </c>
      <c r="J526" s="6" t="s">
        <v>1106</v>
      </c>
      <c r="K526" s="6" t="s">
        <v>51</v>
      </c>
      <c r="L526" s="6" t="s">
        <v>52</v>
      </c>
      <c r="M526" s="6" t="s">
        <v>53</v>
      </c>
      <c r="N526" s="6">
        <v>4.58</v>
      </c>
      <c r="O526" s="4" t="str">
        <f t="shared" si="8"/>
        <v>Excellent</v>
      </c>
      <c r="P526" s="6">
        <v>37</v>
      </c>
    </row>
    <row r="527" spans="1:16" x14ac:dyDescent="0.3">
      <c r="A527" s="6" t="s">
        <v>1107</v>
      </c>
      <c r="B527" s="6">
        <v>40</v>
      </c>
      <c r="C527" s="6" t="s">
        <v>16</v>
      </c>
      <c r="D527" s="6" t="s">
        <v>17</v>
      </c>
      <c r="E527" s="6" t="s">
        <v>27</v>
      </c>
      <c r="F527" s="6">
        <v>1526</v>
      </c>
      <c r="G527" s="6">
        <v>121979.56</v>
      </c>
      <c r="H527" s="7">
        <v>38626</v>
      </c>
      <c r="I527" s="6" t="s">
        <v>56</v>
      </c>
      <c r="J527" s="6" t="s">
        <v>1108</v>
      </c>
      <c r="K527" s="6" t="s">
        <v>21</v>
      </c>
      <c r="L527" s="6" t="s">
        <v>22</v>
      </c>
      <c r="M527" s="6" t="s">
        <v>23</v>
      </c>
      <c r="N527" s="6">
        <v>1.08</v>
      </c>
      <c r="O527" s="4" t="str">
        <f t="shared" si="8"/>
        <v>Poor</v>
      </c>
      <c r="P527" s="6">
        <v>90</v>
      </c>
    </row>
    <row r="528" spans="1:16" x14ac:dyDescent="0.3">
      <c r="A528" s="6" t="s">
        <v>1109</v>
      </c>
      <c r="B528" s="6">
        <v>29</v>
      </c>
      <c r="C528" s="6" t="s">
        <v>62</v>
      </c>
      <c r="D528" s="6" t="s">
        <v>69</v>
      </c>
      <c r="E528" s="6" t="s">
        <v>27</v>
      </c>
      <c r="F528" s="6">
        <v>1527</v>
      </c>
      <c r="G528" s="6">
        <v>178407.2</v>
      </c>
      <c r="H528" s="7">
        <v>41795</v>
      </c>
      <c r="I528" s="6" t="s">
        <v>63</v>
      </c>
      <c r="J528" s="6" t="s">
        <v>1110</v>
      </c>
      <c r="K528" s="6" t="s">
        <v>30</v>
      </c>
      <c r="L528" s="6" t="s">
        <v>31</v>
      </c>
      <c r="M528" s="6" t="s">
        <v>32</v>
      </c>
      <c r="N528" s="6">
        <v>1.83</v>
      </c>
      <c r="O528" s="4" t="str">
        <f t="shared" si="8"/>
        <v>Poor</v>
      </c>
      <c r="P528" s="6">
        <v>102</v>
      </c>
    </row>
    <row r="529" spans="1:16" x14ac:dyDescent="0.3">
      <c r="A529" s="6" t="s">
        <v>1111</v>
      </c>
      <c r="B529" s="6">
        <v>50</v>
      </c>
      <c r="C529" s="6" t="s">
        <v>16</v>
      </c>
      <c r="D529" s="6" t="s">
        <v>26</v>
      </c>
      <c r="E529" s="6" t="s">
        <v>48</v>
      </c>
      <c r="F529" s="6">
        <v>1528</v>
      </c>
      <c r="G529" s="6">
        <v>98966.52</v>
      </c>
      <c r="H529" s="7">
        <v>40470</v>
      </c>
      <c r="I529" s="6" t="s">
        <v>66</v>
      </c>
      <c r="J529" s="6" t="s">
        <v>1112</v>
      </c>
      <c r="K529" s="6" t="s">
        <v>37</v>
      </c>
      <c r="L529" s="6" t="s">
        <v>38</v>
      </c>
      <c r="M529" s="6" t="s">
        <v>39</v>
      </c>
      <c r="N529" s="6">
        <v>3.19</v>
      </c>
      <c r="O529" s="4" t="str">
        <f t="shared" si="8"/>
        <v>Good</v>
      </c>
      <c r="P529" s="6">
        <v>146</v>
      </c>
    </row>
    <row r="530" spans="1:16" x14ac:dyDescent="0.3">
      <c r="A530" s="6" t="s">
        <v>1113</v>
      </c>
      <c r="B530" s="6">
        <v>23</v>
      </c>
      <c r="C530" s="6" t="s">
        <v>16</v>
      </c>
      <c r="D530" s="6" t="s">
        <v>55</v>
      </c>
      <c r="E530" s="6" t="s">
        <v>80</v>
      </c>
      <c r="F530" s="6">
        <v>1529</v>
      </c>
      <c r="G530" s="6">
        <v>150357.47</v>
      </c>
      <c r="H530" s="7">
        <v>36554</v>
      </c>
      <c r="I530" s="6" t="s">
        <v>70</v>
      </c>
      <c r="J530" s="6" t="s">
        <v>1114</v>
      </c>
      <c r="K530" s="6" t="s">
        <v>43</v>
      </c>
      <c r="L530" s="6" t="s">
        <v>44</v>
      </c>
      <c r="M530" s="6" t="s">
        <v>45</v>
      </c>
      <c r="N530" s="6">
        <v>1.78</v>
      </c>
      <c r="O530" s="4" t="str">
        <f t="shared" si="8"/>
        <v>Poor</v>
      </c>
      <c r="P530" s="6">
        <v>147</v>
      </c>
    </row>
    <row r="531" spans="1:16" x14ac:dyDescent="0.3">
      <c r="A531" s="6" t="s">
        <v>1115</v>
      </c>
      <c r="B531" s="6">
        <v>63</v>
      </c>
      <c r="C531" s="6" t="s">
        <v>16</v>
      </c>
      <c r="D531" s="6" t="s">
        <v>69</v>
      </c>
      <c r="E531" s="6" t="s">
        <v>34</v>
      </c>
      <c r="F531" s="6">
        <v>1530</v>
      </c>
      <c r="G531" s="6">
        <v>65094.53</v>
      </c>
      <c r="H531" s="7">
        <v>37831</v>
      </c>
      <c r="I531" s="6" t="s">
        <v>73</v>
      </c>
      <c r="J531" s="6" t="s">
        <v>1116</v>
      </c>
      <c r="K531" s="6" t="s">
        <v>51</v>
      </c>
      <c r="L531" s="6" t="s">
        <v>52</v>
      </c>
      <c r="M531" s="6" t="s">
        <v>53</v>
      </c>
      <c r="N531" s="6">
        <v>2.5099999999999998</v>
      </c>
      <c r="O531" s="4" t="str">
        <f t="shared" si="8"/>
        <v>Average</v>
      </c>
      <c r="P531" s="6">
        <v>174</v>
      </c>
    </row>
    <row r="532" spans="1:16" x14ac:dyDescent="0.3">
      <c r="A532" s="6" t="s">
        <v>1117</v>
      </c>
      <c r="B532" s="6">
        <v>24</v>
      </c>
      <c r="C532" s="6" t="s">
        <v>16</v>
      </c>
      <c r="D532" s="6" t="s">
        <v>17</v>
      </c>
      <c r="E532" s="6" t="s">
        <v>48</v>
      </c>
      <c r="F532" s="6">
        <v>1531</v>
      </c>
      <c r="G532" s="6">
        <v>114556.85</v>
      </c>
      <c r="H532" s="7">
        <v>44137</v>
      </c>
      <c r="I532" s="6" t="s">
        <v>19</v>
      </c>
      <c r="J532" s="6" t="s">
        <v>1118</v>
      </c>
      <c r="K532" s="6" t="s">
        <v>21</v>
      </c>
      <c r="L532" s="6" t="s">
        <v>22</v>
      </c>
      <c r="M532" s="6" t="s">
        <v>23</v>
      </c>
      <c r="N532" s="6">
        <v>3.38</v>
      </c>
      <c r="O532" s="4" t="str">
        <f t="shared" si="8"/>
        <v>Good</v>
      </c>
      <c r="P532" s="6">
        <v>119</v>
      </c>
    </row>
    <row r="533" spans="1:16" x14ac:dyDescent="0.3">
      <c r="A533" s="6" t="s">
        <v>1119</v>
      </c>
      <c r="B533" s="6">
        <v>50</v>
      </c>
      <c r="C533" s="6" t="s">
        <v>25</v>
      </c>
      <c r="D533" s="6" t="s">
        <v>55</v>
      </c>
      <c r="E533" s="6" t="s">
        <v>80</v>
      </c>
      <c r="F533" s="6">
        <v>1532</v>
      </c>
      <c r="G533" s="6">
        <v>88674.65</v>
      </c>
      <c r="H533" s="7">
        <v>44180</v>
      </c>
      <c r="I533" s="6" t="s">
        <v>28</v>
      </c>
      <c r="J533" s="6" t="s">
        <v>1120</v>
      </c>
      <c r="K533" s="6" t="s">
        <v>30</v>
      </c>
      <c r="L533" s="6" t="s">
        <v>31</v>
      </c>
      <c r="M533" s="6" t="s">
        <v>32</v>
      </c>
      <c r="N533" s="6">
        <v>4.55</v>
      </c>
      <c r="O533" s="4" t="str">
        <f t="shared" si="8"/>
        <v>Excellent</v>
      </c>
      <c r="P533" s="6">
        <v>151</v>
      </c>
    </row>
    <row r="534" spans="1:16" x14ac:dyDescent="0.3">
      <c r="A534" s="6" t="s">
        <v>1121</v>
      </c>
      <c r="B534" s="6">
        <v>36</v>
      </c>
      <c r="C534" s="6" t="s">
        <v>62</v>
      </c>
      <c r="D534" s="6" t="s">
        <v>69</v>
      </c>
      <c r="E534" s="6" t="s">
        <v>80</v>
      </c>
      <c r="F534" s="6">
        <v>1533</v>
      </c>
      <c r="G534" s="6">
        <v>90758.03</v>
      </c>
      <c r="H534" s="7">
        <v>39424</v>
      </c>
      <c r="I534" s="6" t="s">
        <v>35</v>
      </c>
      <c r="J534" s="6" t="s">
        <v>1122</v>
      </c>
      <c r="K534" s="6" t="s">
        <v>37</v>
      </c>
      <c r="L534" s="6" t="s">
        <v>38</v>
      </c>
      <c r="M534" s="6" t="s">
        <v>39</v>
      </c>
      <c r="N534" s="6">
        <v>4.33</v>
      </c>
      <c r="O534" s="4" t="str">
        <f t="shared" si="8"/>
        <v>Excellent</v>
      </c>
      <c r="P534" s="6">
        <v>60</v>
      </c>
    </row>
    <row r="535" spans="1:16" x14ac:dyDescent="0.3">
      <c r="A535" s="6" t="s">
        <v>1123</v>
      </c>
      <c r="B535" s="6">
        <v>59</v>
      </c>
      <c r="C535" s="6" t="s">
        <v>25</v>
      </c>
      <c r="D535" s="6" t="s">
        <v>26</v>
      </c>
      <c r="E535" s="6" t="s">
        <v>18</v>
      </c>
      <c r="F535" s="6">
        <v>1534</v>
      </c>
      <c r="G535" s="6">
        <v>67876.03</v>
      </c>
      <c r="H535" s="7">
        <v>38614</v>
      </c>
      <c r="I535" s="6" t="s">
        <v>41</v>
      </c>
      <c r="J535" s="6" t="s">
        <v>1124</v>
      </c>
      <c r="K535" s="6" t="s">
        <v>43</v>
      </c>
      <c r="L535" s="6" t="s">
        <v>44</v>
      </c>
      <c r="M535" s="6" t="s">
        <v>45</v>
      </c>
      <c r="N535" s="6">
        <v>4.1500000000000004</v>
      </c>
      <c r="O535" s="4" t="str">
        <f t="shared" si="8"/>
        <v>Excellent</v>
      </c>
      <c r="P535" s="6">
        <v>3</v>
      </c>
    </row>
    <row r="536" spans="1:16" x14ac:dyDescent="0.3">
      <c r="A536" s="6" t="s">
        <v>1125</v>
      </c>
      <c r="B536" s="6">
        <v>49</v>
      </c>
      <c r="C536" s="6" t="s">
        <v>16</v>
      </c>
      <c r="D536" s="6" t="s">
        <v>47</v>
      </c>
      <c r="E536" s="6" t="s">
        <v>48</v>
      </c>
      <c r="F536" s="6">
        <v>1535</v>
      </c>
      <c r="G536" s="6">
        <v>108246.99</v>
      </c>
      <c r="H536" s="7">
        <v>42415</v>
      </c>
      <c r="I536" s="6" t="s">
        <v>49</v>
      </c>
      <c r="J536" s="6" t="s">
        <v>1126</v>
      </c>
      <c r="K536" s="6" t="s">
        <v>51</v>
      </c>
      <c r="L536" s="6" t="s">
        <v>52</v>
      </c>
      <c r="M536" s="6" t="s">
        <v>53</v>
      </c>
      <c r="N536" s="6">
        <v>3.43</v>
      </c>
      <c r="O536" s="4" t="str">
        <f t="shared" si="8"/>
        <v>Good</v>
      </c>
      <c r="P536" s="6">
        <v>102</v>
      </c>
    </row>
    <row r="537" spans="1:16" x14ac:dyDescent="0.3">
      <c r="A537" s="6" t="s">
        <v>1127</v>
      </c>
      <c r="B537" s="6">
        <v>58</v>
      </c>
      <c r="C537" s="6" t="s">
        <v>16</v>
      </c>
      <c r="D537" s="6" t="s">
        <v>26</v>
      </c>
      <c r="E537" s="6" t="s">
        <v>27</v>
      </c>
      <c r="F537" s="6">
        <v>1536</v>
      </c>
      <c r="G537" s="6">
        <v>75886.649999999994</v>
      </c>
      <c r="H537" s="7">
        <v>44254</v>
      </c>
      <c r="I537" s="6" t="s">
        <v>56</v>
      </c>
      <c r="J537" s="6" t="s">
        <v>1128</v>
      </c>
      <c r="K537" s="6" t="s">
        <v>21</v>
      </c>
      <c r="L537" s="6" t="s">
        <v>22</v>
      </c>
      <c r="M537" s="6" t="s">
        <v>23</v>
      </c>
      <c r="N537" s="6">
        <v>4.0999999999999996</v>
      </c>
      <c r="O537" s="4" t="str">
        <f t="shared" si="8"/>
        <v>Excellent</v>
      </c>
      <c r="P537" s="6">
        <v>175</v>
      </c>
    </row>
    <row r="538" spans="1:16" x14ac:dyDescent="0.3">
      <c r="A538" s="6" t="s">
        <v>1129</v>
      </c>
      <c r="B538" s="6">
        <v>53</v>
      </c>
      <c r="C538" s="6" t="s">
        <v>16</v>
      </c>
      <c r="D538" s="6" t="s">
        <v>47</v>
      </c>
      <c r="E538" s="6" t="s">
        <v>80</v>
      </c>
      <c r="F538" s="6">
        <v>1537</v>
      </c>
      <c r="G538" s="6">
        <v>152481.53</v>
      </c>
      <c r="H538" s="7">
        <v>38762</v>
      </c>
      <c r="I538" s="6" t="s">
        <v>63</v>
      </c>
      <c r="J538" s="6" t="s">
        <v>1130</v>
      </c>
      <c r="K538" s="6" t="s">
        <v>30</v>
      </c>
      <c r="L538" s="6" t="s">
        <v>31</v>
      </c>
      <c r="M538" s="6" t="s">
        <v>32</v>
      </c>
      <c r="N538" s="6">
        <v>1.65</v>
      </c>
      <c r="O538" s="4" t="str">
        <f t="shared" si="8"/>
        <v>Poor</v>
      </c>
      <c r="P538" s="6">
        <v>10</v>
      </c>
    </row>
    <row r="539" spans="1:16" x14ac:dyDescent="0.3">
      <c r="A539" s="6" t="s">
        <v>1131</v>
      </c>
      <c r="B539" s="6">
        <v>51</v>
      </c>
      <c r="C539" s="6" t="s">
        <v>62</v>
      </c>
      <c r="D539" s="6" t="s">
        <v>55</v>
      </c>
      <c r="E539" s="6" t="s">
        <v>27</v>
      </c>
      <c r="F539" s="6">
        <v>1538</v>
      </c>
      <c r="G539" s="6">
        <v>127607.52</v>
      </c>
      <c r="H539" s="7">
        <v>42063</v>
      </c>
      <c r="I539" s="6" t="s">
        <v>66</v>
      </c>
      <c r="J539" s="6" t="s">
        <v>1132</v>
      </c>
      <c r="K539" s="6" t="s">
        <v>37</v>
      </c>
      <c r="L539" s="6" t="s">
        <v>38</v>
      </c>
      <c r="M539" s="6" t="s">
        <v>39</v>
      </c>
      <c r="N539" s="6">
        <v>4.34</v>
      </c>
      <c r="O539" s="4" t="str">
        <f t="shared" si="8"/>
        <v>Excellent</v>
      </c>
      <c r="P539" s="6">
        <v>169</v>
      </c>
    </row>
    <row r="540" spans="1:16" x14ac:dyDescent="0.3">
      <c r="A540" s="6" t="s">
        <v>1133</v>
      </c>
      <c r="B540" s="6">
        <v>51</v>
      </c>
      <c r="C540" s="6" t="s">
        <v>62</v>
      </c>
      <c r="D540" s="6" t="s">
        <v>69</v>
      </c>
      <c r="E540" s="6" t="s">
        <v>27</v>
      </c>
      <c r="F540" s="6">
        <v>1539</v>
      </c>
      <c r="G540" s="6">
        <v>118750.39999999999</v>
      </c>
      <c r="H540" s="7">
        <v>41771</v>
      </c>
      <c r="I540" s="6" t="s">
        <v>70</v>
      </c>
      <c r="J540" s="6" t="s">
        <v>1134</v>
      </c>
      <c r="K540" s="6" t="s">
        <v>43</v>
      </c>
      <c r="L540" s="6" t="s">
        <v>44</v>
      </c>
      <c r="M540" s="6" t="s">
        <v>45</v>
      </c>
      <c r="N540" s="6">
        <v>2.23</v>
      </c>
      <c r="O540" s="4" t="str">
        <f t="shared" si="8"/>
        <v>Average</v>
      </c>
      <c r="P540" s="6">
        <v>179</v>
      </c>
    </row>
    <row r="541" spans="1:16" x14ac:dyDescent="0.3">
      <c r="A541" s="6" t="s">
        <v>1135</v>
      </c>
      <c r="B541" s="6">
        <v>55</v>
      </c>
      <c r="C541" s="6" t="s">
        <v>25</v>
      </c>
      <c r="D541" s="6" t="s">
        <v>69</v>
      </c>
      <c r="E541" s="6" t="s">
        <v>18</v>
      </c>
      <c r="F541" s="6">
        <v>1540</v>
      </c>
      <c r="G541" s="6">
        <v>181100.9</v>
      </c>
      <c r="H541" s="7">
        <v>39509</v>
      </c>
      <c r="I541" s="6" t="s">
        <v>73</v>
      </c>
      <c r="J541" s="6" t="s">
        <v>1136</v>
      </c>
      <c r="K541" s="6" t="s">
        <v>51</v>
      </c>
      <c r="L541" s="6" t="s">
        <v>52</v>
      </c>
      <c r="M541" s="6" t="s">
        <v>53</v>
      </c>
      <c r="N541" s="6">
        <v>1.67</v>
      </c>
      <c r="O541" s="4" t="str">
        <f t="shared" si="8"/>
        <v>Poor</v>
      </c>
      <c r="P541" s="6">
        <v>194</v>
      </c>
    </row>
    <row r="542" spans="1:16" x14ac:dyDescent="0.3">
      <c r="A542" s="6" t="s">
        <v>1137</v>
      </c>
      <c r="B542" s="6">
        <v>34</v>
      </c>
      <c r="C542" s="6" t="s">
        <v>16</v>
      </c>
      <c r="D542" s="6" t="s">
        <v>69</v>
      </c>
      <c r="E542" s="6" t="s">
        <v>18</v>
      </c>
      <c r="F542" s="6">
        <v>1541</v>
      </c>
      <c r="G542" s="6">
        <v>77795.33</v>
      </c>
      <c r="H542" s="7">
        <v>36937</v>
      </c>
      <c r="I542" s="6" t="s">
        <v>19</v>
      </c>
      <c r="J542" s="6" t="s">
        <v>1138</v>
      </c>
      <c r="K542" s="6" t="s">
        <v>21</v>
      </c>
      <c r="L542" s="6" t="s">
        <v>22</v>
      </c>
      <c r="M542" s="6" t="s">
        <v>23</v>
      </c>
      <c r="N542" s="6">
        <v>2.56</v>
      </c>
      <c r="O542" s="4" t="str">
        <f t="shared" si="8"/>
        <v>Average</v>
      </c>
      <c r="P542" s="6">
        <v>156</v>
      </c>
    </row>
    <row r="543" spans="1:16" x14ac:dyDescent="0.3">
      <c r="A543" s="6" t="s">
        <v>1139</v>
      </c>
      <c r="B543" s="6">
        <v>54</v>
      </c>
      <c r="C543" s="6" t="s">
        <v>62</v>
      </c>
      <c r="D543" s="6" t="s">
        <v>17</v>
      </c>
      <c r="E543" s="6" t="s">
        <v>48</v>
      </c>
      <c r="F543" s="6">
        <v>1542</v>
      </c>
      <c r="G543" s="6">
        <v>154880.85</v>
      </c>
      <c r="H543" s="7">
        <v>37250</v>
      </c>
      <c r="I543" s="6" t="s">
        <v>28</v>
      </c>
      <c r="J543" s="6" t="s">
        <v>1140</v>
      </c>
      <c r="K543" s="6" t="s">
        <v>30</v>
      </c>
      <c r="L543" s="6" t="s">
        <v>31</v>
      </c>
      <c r="M543" s="6" t="s">
        <v>32</v>
      </c>
      <c r="N543" s="6">
        <v>1.38</v>
      </c>
      <c r="O543" s="4" t="str">
        <f t="shared" si="8"/>
        <v>Poor</v>
      </c>
      <c r="P543" s="6">
        <v>173</v>
      </c>
    </row>
    <row r="544" spans="1:16" x14ac:dyDescent="0.3">
      <c r="A544" s="6" t="s">
        <v>1141</v>
      </c>
      <c r="B544" s="6">
        <v>63</v>
      </c>
      <c r="C544" s="6" t="s">
        <v>16</v>
      </c>
      <c r="D544" s="6" t="s">
        <v>26</v>
      </c>
      <c r="E544" s="6" t="s">
        <v>48</v>
      </c>
      <c r="F544" s="6">
        <v>1543</v>
      </c>
      <c r="G544" s="6">
        <v>77774.16</v>
      </c>
      <c r="H544" s="7">
        <v>38215</v>
      </c>
      <c r="I544" s="6" t="s">
        <v>35</v>
      </c>
      <c r="J544" s="6" t="s">
        <v>1142</v>
      </c>
      <c r="K544" s="6" t="s">
        <v>37</v>
      </c>
      <c r="L544" s="6" t="s">
        <v>38</v>
      </c>
      <c r="M544" s="6" t="s">
        <v>39</v>
      </c>
      <c r="N544" s="6">
        <v>4.4800000000000004</v>
      </c>
      <c r="O544" s="4" t="str">
        <f t="shared" si="8"/>
        <v>Excellent</v>
      </c>
      <c r="P544" s="6">
        <v>174</v>
      </c>
    </row>
    <row r="545" spans="1:16" x14ac:dyDescent="0.3">
      <c r="A545" s="6" t="s">
        <v>1143</v>
      </c>
      <c r="B545" s="6">
        <v>38</v>
      </c>
      <c r="C545" s="6" t="s">
        <v>25</v>
      </c>
      <c r="D545" s="6" t="s">
        <v>47</v>
      </c>
      <c r="E545" s="6" t="s">
        <v>80</v>
      </c>
      <c r="F545" s="6">
        <v>1544</v>
      </c>
      <c r="G545" s="6">
        <v>144280.99</v>
      </c>
      <c r="H545" s="7">
        <v>37886</v>
      </c>
      <c r="I545" s="6" t="s">
        <v>41</v>
      </c>
      <c r="J545" s="6" t="s">
        <v>1144</v>
      </c>
      <c r="K545" s="6" t="s">
        <v>43</v>
      </c>
      <c r="L545" s="6" t="s">
        <v>44</v>
      </c>
      <c r="M545" s="6" t="s">
        <v>45</v>
      </c>
      <c r="N545" s="6">
        <v>2.36</v>
      </c>
      <c r="O545" s="4" t="str">
        <f t="shared" si="8"/>
        <v>Average</v>
      </c>
      <c r="P545" s="6">
        <v>77</v>
      </c>
    </row>
    <row r="546" spans="1:16" x14ac:dyDescent="0.3">
      <c r="A546" s="6" t="s">
        <v>1145</v>
      </c>
      <c r="B546" s="6">
        <v>24</v>
      </c>
      <c r="C546" s="6" t="s">
        <v>25</v>
      </c>
      <c r="D546" s="6" t="s">
        <v>17</v>
      </c>
      <c r="E546" s="6" t="s">
        <v>34</v>
      </c>
      <c r="F546" s="6">
        <v>1545</v>
      </c>
      <c r="G546" s="6">
        <v>55860.97</v>
      </c>
      <c r="H546" s="7">
        <v>43366</v>
      </c>
      <c r="I546" s="6" t="s">
        <v>49</v>
      </c>
      <c r="J546" s="6" t="s">
        <v>1146</v>
      </c>
      <c r="K546" s="6" t="s">
        <v>51</v>
      </c>
      <c r="L546" s="6" t="s">
        <v>52</v>
      </c>
      <c r="M546" s="6" t="s">
        <v>53</v>
      </c>
      <c r="N546" s="6">
        <v>1.63</v>
      </c>
      <c r="O546" s="4" t="str">
        <f t="shared" si="8"/>
        <v>Poor</v>
      </c>
      <c r="P546" s="6">
        <v>7</v>
      </c>
    </row>
    <row r="547" spans="1:16" x14ac:dyDescent="0.3">
      <c r="A547" s="6" t="s">
        <v>1147</v>
      </c>
      <c r="B547" s="6">
        <v>30</v>
      </c>
      <c r="C547" s="6" t="s">
        <v>62</v>
      </c>
      <c r="D547" s="6" t="s">
        <v>55</v>
      </c>
      <c r="E547" s="6" t="s">
        <v>80</v>
      </c>
      <c r="F547" s="6">
        <v>1546</v>
      </c>
      <c r="G547" s="6">
        <v>55158.9</v>
      </c>
      <c r="H547" s="7">
        <v>43867</v>
      </c>
      <c r="I547" s="6" t="s">
        <v>56</v>
      </c>
      <c r="J547" s="6" t="s">
        <v>1148</v>
      </c>
      <c r="K547" s="6" t="s">
        <v>21</v>
      </c>
      <c r="L547" s="6" t="s">
        <v>22</v>
      </c>
      <c r="M547" s="6" t="s">
        <v>23</v>
      </c>
      <c r="N547" s="6">
        <v>4.6500000000000004</v>
      </c>
      <c r="O547" s="4" t="str">
        <f t="shared" si="8"/>
        <v>Excellent</v>
      </c>
      <c r="P547" s="6">
        <v>112</v>
      </c>
    </row>
    <row r="548" spans="1:16" x14ac:dyDescent="0.3">
      <c r="A548" s="6" t="s">
        <v>1149</v>
      </c>
      <c r="B548" s="6">
        <v>32</v>
      </c>
      <c r="C548" s="6" t="s">
        <v>25</v>
      </c>
      <c r="D548" s="6" t="s">
        <v>55</v>
      </c>
      <c r="E548" s="6" t="s">
        <v>27</v>
      </c>
      <c r="F548" s="6">
        <v>1547</v>
      </c>
      <c r="G548" s="6">
        <v>112106.12</v>
      </c>
      <c r="H548" s="7">
        <v>43251</v>
      </c>
      <c r="I548" s="6" t="s">
        <v>63</v>
      </c>
      <c r="J548" s="6" t="s">
        <v>1150</v>
      </c>
      <c r="K548" s="6" t="s">
        <v>30</v>
      </c>
      <c r="L548" s="6" t="s">
        <v>31</v>
      </c>
      <c r="M548" s="6" t="s">
        <v>32</v>
      </c>
      <c r="N548" s="6">
        <v>1.4</v>
      </c>
      <c r="O548" s="4" t="str">
        <f t="shared" si="8"/>
        <v>Poor</v>
      </c>
      <c r="P548" s="6">
        <v>84</v>
      </c>
    </row>
    <row r="549" spans="1:16" x14ac:dyDescent="0.3">
      <c r="A549" s="6" t="s">
        <v>1151</v>
      </c>
      <c r="B549" s="6">
        <v>48</v>
      </c>
      <c r="C549" s="6" t="s">
        <v>62</v>
      </c>
      <c r="D549" s="6" t="s">
        <v>17</v>
      </c>
      <c r="E549" s="6" t="s">
        <v>48</v>
      </c>
      <c r="F549" s="6">
        <v>1548</v>
      </c>
      <c r="G549" s="6">
        <v>198979.47</v>
      </c>
      <c r="H549" s="7">
        <v>40368</v>
      </c>
      <c r="I549" s="6" t="s">
        <v>66</v>
      </c>
      <c r="J549" s="6" t="s">
        <v>1152</v>
      </c>
      <c r="K549" s="6" t="s">
        <v>37</v>
      </c>
      <c r="L549" s="6" t="s">
        <v>38</v>
      </c>
      <c r="M549" s="6" t="s">
        <v>39</v>
      </c>
      <c r="N549" s="6">
        <v>4.21</v>
      </c>
      <c r="O549" s="4" t="str">
        <f t="shared" si="8"/>
        <v>Excellent</v>
      </c>
      <c r="P549" s="6">
        <v>53</v>
      </c>
    </row>
    <row r="550" spans="1:16" x14ac:dyDescent="0.3">
      <c r="A550" s="6" t="s">
        <v>1153</v>
      </c>
      <c r="B550" s="6">
        <v>49</v>
      </c>
      <c r="C550" s="6" t="s">
        <v>16</v>
      </c>
      <c r="D550" s="6" t="s">
        <v>47</v>
      </c>
      <c r="E550" s="6" t="s">
        <v>48</v>
      </c>
      <c r="F550" s="6">
        <v>1549</v>
      </c>
      <c r="G550" s="6">
        <v>72123.34</v>
      </c>
      <c r="H550" s="7">
        <v>43353</v>
      </c>
      <c r="I550" s="6" t="s">
        <v>70</v>
      </c>
      <c r="J550" s="6" t="s">
        <v>1154</v>
      </c>
      <c r="K550" s="6" t="s">
        <v>43</v>
      </c>
      <c r="L550" s="6" t="s">
        <v>44</v>
      </c>
      <c r="M550" s="6" t="s">
        <v>45</v>
      </c>
      <c r="N550" s="6">
        <v>4.17</v>
      </c>
      <c r="O550" s="4" t="str">
        <f t="shared" si="8"/>
        <v>Excellent</v>
      </c>
      <c r="P550" s="6">
        <v>41</v>
      </c>
    </row>
    <row r="551" spans="1:16" x14ac:dyDescent="0.3">
      <c r="A551" s="6" t="s">
        <v>1155</v>
      </c>
      <c r="B551" s="6">
        <v>23</v>
      </c>
      <c r="C551" s="6" t="s">
        <v>62</v>
      </c>
      <c r="D551" s="6" t="s">
        <v>55</v>
      </c>
      <c r="E551" s="6" t="s">
        <v>48</v>
      </c>
      <c r="F551" s="6">
        <v>1550</v>
      </c>
      <c r="G551" s="6">
        <v>162984.54</v>
      </c>
      <c r="H551" s="7">
        <v>40208</v>
      </c>
      <c r="I551" s="6" t="s">
        <v>73</v>
      </c>
      <c r="J551" s="6" t="s">
        <v>1156</v>
      </c>
      <c r="K551" s="6" t="s">
        <v>51</v>
      </c>
      <c r="L551" s="6" t="s">
        <v>52</v>
      </c>
      <c r="M551" s="6" t="s">
        <v>53</v>
      </c>
      <c r="N551" s="6">
        <v>4.4800000000000004</v>
      </c>
      <c r="O551" s="4" t="str">
        <f t="shared" si="8"/>
        <v>Excellent</v>
      </c>
      <c r="P551" s="6">
        <v>176</v>
      </c>
    </row>
    <row r="552" spans="1:16" x14ac:dyDescent="0.3">
      <c r="A552" s="6" t="s">
        <v>1157</v>
      </c>
      <c r="B552" s="6">
        <v>22</v>
      </c>
      <c r="C552" s="6" t="s">
        <v>25</v>
      </c>
      <c r="D552" s="6" t="s">
        <v>26</v>
      </c>
      <c r="E552" s="6" t="s">
        <v>48</v>
      </c>
      <c r="F552" s="6">
        <v>1551</v>
      </c>
      <c r="G552" s="6">
        <v>136079.5</v>
      </c>
      <c r="H552" s="7">
        <v>44781</v>
      </c>
      <c r="I552" s="6" t="s">
        <v>19</v>
      </c>
      <c r="J552" s="6" t="s">
        <v>1158</v>
      </c>
      <c r="K552" s="6" t="s">
        <v>21</v>
      </c>
      <c r="L552" s="6" t="s">
        <v>22</v>
      </c>
      <c r="M552" s="6" t="s">
        <v>23</v>
      </c>
      <c r="N552" s="6">
        <v>2.04</v>
      </c>
      <c r="O552" s="4" t="str">
        <f t="shared" si="8"/>
        <v>Average</v>
      </c>
      <c r="P552" s="6">
        <v>114</v>
      </c>
    </row>
    <row r="553" spans="1:16" x14ac:dyDescent="0.3">
      <c r="A553" s="6" t="s">
        <v>1159</v>
      </c>
      <c r="B553" s="6">
        <v>27</v>
      </c>
      <c r="C553" s="6" t="s">
        <v>16</v>
      </c>
      <c r="D553" s="6" t="s">
        <v>55</v>
      </c>
      <c r="E553" s="6" t="s">
        <v>34</v>
      </c>
      <c r="F553" s="6">
        <v>1552</v>
      </c>
      <c r="G553" s="6">
        <v>92116.47</v>
      </c>
      <c r="H553" s="7">
        <v>36774</v>
      </c>
      <c r="I553" s="6" t="s">
        <v>28</v>
      </c>
      <c r="J553" s="6" t="s">
        <v>1160</v>
      </c>
      <c r="K553" s="6" t="s">
        <v>30</v>
      </c>
      <c r="L553" s="6" t="s">
        <v>31</v>
      </c>
      <c r="M553" s="6" t="s">
        <v>32</v>
      </c>
      <c r="N553" s="6">
        <v>4.91</v>
      </c>
      <c r="O553" s="4" t="str">
        <f t="shared" si="8"/>
        <v>Excellent</v>
      </c>
      <c r="P553" s="6">
        <v>160</v>
      </c>
    </row>
    <row r="554" spans="1:16" x14ac:dyDescent="0.3">
      <c r="A554" s="6" t="s">
        <v>1161</v>
      </c>
      <c r="B554" s="6">
        <v>46</v>
      </c>
      <c r="C554" s="6" t="s">
        <v>25</v>
      </c>
      <c r="D554" s="6" t="s">
        <v>47</v>
      </c>
      <c r="E554" s="6" t="s">
        <v>80</v>
      </c>
      <c r="F554" s="6">
        <v>1553</v>
      </c>
      <c r="G554" s="6">
        <v>165222.51</v>
      </c>
      <c r="H554" s="7">
        <v>37508</v>
      </c>
      <c r="I554" s="6" t="s">
        <v>35</v>
      </c>
      <c r="J554" s="6" t="s">
        <v>1162</v>
      </c>
      <c r="K554" s="6" t="s">
        <v>37</v>
      </c>
      <c r="L554" s="6" t="s">
        <v>38</v>
      </c>
      <c r="M554" s="6" t="s">
        <v>39</v>
      </c>
      <c r="N554" s="6">
        <v>2.78</v>
      </c>
      <c r="O554" s="4" t="str">
        <f t="shared" si="8"/>
        <v>Average</v>
      </c>
      <c r="P554" s="6">
        <v>192</v>
      </c>
    </row>
    <row r="555" spans="1:16" x14ac:dyDescent="0.3">
      <c r="A555" s="6" t="s">
        <v>1163</v>
      </c>
      <c r="B555" s="6">
        <v>56</v>
      </c>
      <c r="C555" s="6" t="s">
        <v>16</v>
      </c>
      <c r="D555" s="6" t="s">
        <v>26</v>
      </c>
      <c r="E555" s="6" t="s">
        <v>48</v>
      </c>
      <c r="F555" s="6">
        <v>1554</v>
      </c>
      <c r="G555" s="6">
        <v>94306.51</v>
      </c>
      <c r="H555" s="7">
        <v>37200</v>
      </c>
      <c r="I555" s="6" t="s">
        <v>41</v>
      </c>
      <c r="J555" s="6" t="s">
        <v>1164</v>
      </c>
      <c r="K555" s="6" t="s">
        <v>43</v>
      </c>
      <c r="L555" s="6" t="s">
        <v>44</v>
      </c>
      <c r="M555" s="6" t="s">
        <v>45</v>
      </c>
      <c r="N555" s="6">
        <v>3.16</v>
      </c>
      <c r="O555" s="4" t="str">
        <f t="shared" si="8"/>
        <v>Good</v>
      </c>
      <c r="P555" s="6">
        <v>195</v>
      </c>
    </row>
    <row r="556" spans="1:16" x14ac:dyDescent="0.3">
      <c r="A556" s="6" t="s">
        <v>1165</v>
      </c>
      <c r="B556" s="6">
        <v>37</v>
      </c>
      <c r="C556" s="6" t="s">
        <v>16</v>
      </c>
      <c r="D556" s="6" t="s">
        <v>17</v>
      </c>
      <c r="E556" s="6" t="s">
        <v>34</v>
      </c>
      <c r="F556" s="6">
        <v>1555</v>
      </c>
      <c r="G556" s="6">
        <v>75310.399999999994</v>
      </c>
      <c r="H556" s="7">
        <v>39141</v>
      </c>
      <c r="I556" s="6" t="s">
        <v>49</v>
      </c>
      <c r="J556" s="6" t="s">
        <v>1166</v>
      </c>
      <c r="K556" s="6" t="s">
        <v>51</v>
      </c>
      <c r="L556" s="6" t="s">
        <v>52</v>
      </c>
      <c r="M556" s="6" t="s">
        <v>53</v>
      </c>
      <c r="N556" s="6">
        <v>1.96</v>
      </c>
      <c r="O556" s="4" t="str">
        <f t="shared" si="8"/>
        <v>Poor</v>
      </c>
      <c r="P556" s="6">
        <v>79</v>
      </c>
    </row>
    <row r="557" spans="1:16" x14ac:dyDescent="0.3">
      <c r="A557" s="6" t="s">
        <v>1167</v>
      </c>
      <c r="B557" s="6">
        <v>25</v>
      </c>
      <c r="C557" s="6" t="s">
        <v>16</v>
      </c>
      <c r="D557" s="6" t="s">
        <v>47</v>
      </c>
      <c r="E557" s="6" t="s">
        <v>18</v>
      </c>
      <c r="F557" s="6">
        <v>1556</v>
      </c>
      <c r="G557" s="6">
        <v>79117.16</v>
      </c>
      <c r="H557" s="7">
        <v>43606</v>
      </c>
      <c r="I557" s="6" t="s">
        <v>56</v>
      </c>
      <c r="J557" s="6" t="s">
        <v>1168</v>
      </c>
      <c r="K557" s="6" t="s">
        <v>21</v>
      </c>
      <c r="L557" s="6" t="s">
        <v>22</v>
      </c>
      <c r="M557" s="6" t="s">
        <v>23</v>
      </c>
      <c r="N557" s="6">
        <v>4.4800000000000004</v>
      </c>
      <c r="O557" s="4" t="str">
        <f t="shared" si="8"/>
        <v>Excellent</v>
      </c>
      <c r="P557" s="6">
        <v>13</v>
      </c>
    </row>
    <row r="558" spans="1:16" x14ac:dyDescent="0.3">
      <c r="A558" s="6" t="s">
        <v>1169</v>
      </c>
      <c r="B558" s="6">
        <v>59</v>
      </c>
      <c r="C558" s="6" t="s">
        <v>16</v>
      </c>
      <c r="D558" s="6" t="s">
        <v>26</v>
      </c>
      <c r="E558" s="6" t="s">
        <v>34</v>
      </c>
      <c r="F558" s="6">
        <v>1557</v>
      </c>
      <c r="G558" s="6">
        <v>78253.77</v>
      </c>
      <c r="H558" s="7">
        <v>44801</v>
      </c>
      <c r="I558" s="6" t="s">
        <v>63</v>
      </c>
      <c r="J558" s="6" t="s">
        <v>1170</v>
      </c>
      <c r="K558" s="6" t="s">
        <v>30</v>
      </c>
      <c r="L558" s="6" t="s">
        <v>31</v>
      </c>
      <c r="M558" s="6" t="s">
        <v>32</v>
      </c>
      <c r="N558" s="6">
        <v>2.4900000000000002</v>
      </c>
      <c r="O558" s="4" t="str">
        <f t="shared" si="8"/>
        <v>Average</v>
      </c>
      <c r="P558" s="6">
        <v>73</v>
      </c>
    </row>
    <row r="559" spans="1:16" x14ac:dyDescent="0.3">
      <c r="A559" s="6" t="s">
        <v>1171</v>
      </c>
      <c r="B559" s="6">
        <v>41</v>
      </c>
      <c r="C559" s="6" t="s">
        <v>25</v>
      </c>
      <c r="D559" s="6" t="s">
        <v>26</v>
      </c>
      <c r="E559" s="6" t="s">
        <v>48</v>
      </c>
      <c r="F559" s="6">
        <v>1558</v>
      </c>
      <c r="G559" s="6">
        <v>163784.25</v>
      </c>
      <c r="H559" s="7">
        <v>38054</v>
      </c>
      <c r="I559" s="6" t="s">
        <v>66</v>
      </c>
      <c r="J559" s="6" t="s">
        <v>1172</v>
      </c>
      <c r="K559" s="6" t="s">
        <v>37</v>
      </c>
      <c r="L559" s="6" t="s">
        <v>38</v>
      </c>
      <c r="M559" s="6" t="s">
        <v>39</v>
      </c>
      <c r="N559" s="6">
        <v>4.7699999999999996</v>
      </c>
      <c r="O559" s="4" t="str">
        <f t="shared" si="8"/>
        <v>Excellent</v>
      </c>
      <c r="P559" s="6">
        <v>25</v>
      </c>
    </row>
    <row r="560" spans="1:16" x14ac:dyDescent="0.3">
      <c r="A560" s="6" t="s">
        <v>1173</v>
      </c>
      <c r="B560" s="6">
        <v>46</v>
      </c>
      <c r="C560" s="6" t="s">
        <v>62</v>
      </c>
      <c r="D560" s="6" t="s">
        <v>26</v>
      </c>
      <c r="E560" s="6" t="s">
        <v>48</v>
      </c>
      <c r="F560" s="6">
        <v>1559</v>
      </c>
      <c r="G560" s="6">
        <v>129267.95</v>
      </c>
      <c r="H560" s="7">
        <v>40296</v>
      </c>
      <c r="I560" s="6" t="s">
        <v>70</v>
      </c>
      <c r="J560" s="6" t="s">
        <v>1174</v>
      </c>
      <c r="K560" s="6" t="s">
        <v>43</v>
      </c>
      <c r="L560" s="6" t="s">
        <v>44</v>
      </c>
      <c r="M560" s="6" t="s">
        <v>45</v>
      </c>
      <c r="N560" s="6">
        <v>1.36</v>
      </c>
      <c r="O560" s="4" t="str">
        <f t="shared" si="8"/>
        <v>Poor</v>
      </c>
      <c r="P560" s="6">
        <v>116</v>
      </c>
    </row>
    <row r="561" spans="1:16" x14ac:dyDescent="0.3">
      <c r="A561" s="6" t="s">
        <v>1175</v>
      </c>
      <c r="B561" s="6">
        <v>28</v>
      </c>
      <c r="C561" s="6" t="s">
        <v>16</v>
      </c>
      <c r="D561" s="6" t="s">
        <v>47</v>
      </c>
      <c r="E561" s="6" t="s">
        <v>34</v>
      </c>
      <c r="F561" s="6">
        <v>1560</v>
      </c>
      <c r="G561" s="6">
        <v>148034.73000000001</v>
      </c>
      <c r="H561" s="7">
        <v>43494</v>
      </c>
      <c r="I561" s="6" t="s">
        <v>73</v>
      </c>
      <c r="J561" s="6" t="s">
        <v>1176</v>
      </c>
      <c r="K561" s="6" t="s">
        <v>51</v>
      </c>
      <c r="L561" s="6" t="s">
        <v>52</v>
      </c>
      <c r="M561" s="6" t="s">
        <v>53</v>
      </c>
      <c r="N561" s="6">
        <v>3.48</v>
      </c>
      <c r="O561" s="4" t="str">
        <f t="shared" si="8"/>
        <v>Good</v>
      </c>
      <c r="P561" s="6">
        <v>14</v>
      </c>
    </row>
    <row r="562" spans="1:16" x14ac:dyDescent="0.3">
      <c r="A562" s="6" t="s">
        <v>1177</v>
      </c>
      <c r="B562" s="6">
        <v>42</v>
      </c>
      <c r="C562" s="6" t="s">
        <v>25</v>
      </c>
      <c r="D562" s="6" t="s">
        <v>69</v>
      </c>
      <c r="E562" s="6" t="s">
        <v>48</v>
      </c>
      <c r="F562" s="6">
        <v>1561</v>
      </c>
      <c r="G562" s="6">
        <v>184148.21</v>
      </c>
      <c r="H562" s="7">
        <v>39586</v>
      </c>
      <c r="I562" s="6" t="s">
        <v>19</v>
      </c>
      <c r="J562" s="6" t="s">
        <v>1178</v>
      </c>
      <c r="K562" s="6" t="s">
        <v>21</v>
      </c>
      <c r="L562" s="6" t="s">
        <v>22</v>
      </c>
      <c r="M562" s="6" t="s">
        <v>23</v>
      </c>
      <c r="N562" s="6">
        <v>2.27</v>
      </c>
      <c r="O562" s="4" t="str">
        <f t="shared" si="8"/>
        <v>Average</v>
      </c>
      <c r="P562" s="6">
        <v>138</v>
      </c>
    </row>
    <row r="563" spans="1:16" x14ac:dyDescent="0.3">
      <c r="A563" s="6" t="s">
        <v>1179</v>
      </c>
      <c r="B563" s="6">
        <v>28</v>
      </c>
      <c r="C563" s="6" t="s">
        <v>25</v>
      </c>
      <c r="D563" s="6" t="s">
        <v>55</v>
      </c>
      <c r="E563" s="6" t="s">
        <v>48</v>
      </c>
      <c r="F563" s="6">
        <v>1562</v>
      </c>
      <c r="G563" s="6">
        <v>75235.11</v>
      </c>
      <c r="H563" s="7">
        <v>38572</v>
      </c>
      <c r="I563" s="6" t="s">
        <v>28</v>
      </c>
      <c r="J563" s="6" t="s">
        <v>1180</v>
      </c>
      <c r="K563" s="6" t="s">
        <v>30</v>
      </c>
      <c r="L563" s="6" t="s">
        <v>31</v>
      </c>
      <c r="M563" s="6" t="s">
        <v>32</v>
      </c>
      <c r="N563" s="6">
        <v>3.61</v>
      </c>
      <c r="O563" s="4" t="str">
        <f t="shared" si="8"/>
        <v>Good</v>
      </c>
      <c r="P563" s="6">
        <v>103</v>
      </c>
    </row>
    <row r="564" spans="1:16" x14ac:dyDescent="0.3">
      <c r="A564" s="6" t="s">
        <v>1181</v>
      </c>
      <c r="B564" s="6">
        <v>50</v>
      </c>
      <c r="C564" s="6" t="s">
        <v>25</v>
      </c>
      <c r="D564" s="6" t="s">
        <v>69</v>
      </c>
      <c r="E564" s="6" t="s">
        <v>34</v>
      </c>
      <c r="F564" s="6">
        <v>1563</v>
      </c>
      <c r="G564" s="6">
        <v>113352.93</v>
      </c>
      <c r="H564" s="7">
        <v>37461</v>
      </c>
      <c r="I564" s="6" t="s">
        <v>35</v>
      </c>
      <c r="J564" s="6" t="s">
        <v>1182</v>
      </c>
      <c r="K564" s="6" t="s">
        <v>37</v>
      </c>
      <c r="L564" s="6" t="s">
        <v>38</v>
      </c>
      <c r="M564" s="6" t="s">
        <v>39</v>
      </c>
      <c r="N564" s="6">
        <v>4.91</v>
      </c>
      <c r="O564" s="4" t="str">
        <f t="shared" si="8"/>
        <v>Excellent</v>
      </c>
      <c r="P564" s="6">
        <v>74</v>
      </c>
    </row>
    <row r="565" spans="1:16" x14ac:dyDescent="0.3">
      <c r="A565" s="6" t="s">
        <v>1183</v>
      </c>
      <c r="B565" s="6">
        <v>28</v>
      </c>
      <c r="C565" s="6" t="s">
        <v>62</v>
      </c>
      <c r="D565" s="6" t="s">
        <v>55</v>
      </c>
      <c r="E565" s="6" t="s">
        <v>80</v>
      </c>
      <c r="F565" s="6">
        <v>1564</v>
      </c>
      <c r="G565" s="6">
        <v>152013.65</v>
      </c>
      <c r="H565" s="7">
        <v>39159</v>
      </c>
      <c r="I565" s="6" t="s">
        <v>41</v>
      </c>
      <c r="J565" s="6" t="s">
        <v>1184</v>
      </c>
      <c r="K565" s="6" t="s">
        <v>43</v>
      </c>
      <c r="L565" s="6" t="s">
        <v>44</v>
      </c>
      <c r="M565" s="6" t="s">
        <v>45</v>
      </c>
      <c r="N565" s="6">
        <v>1.9</v>
      </c>
      <c r="O565" s="4" t="str">
        <f t="shared" si="8"/>
        <v>Poor</v>
      </c>
      <c r="P565" s="6">
        <v>170</v>
      </c>
    </row>
    <row r="566" spans="1:16" x14ac:dyDescent="0.3">
      <c r="A566" s="6" t="s">
        <v>1185</v>
      </c>
      <c r="B566" s="6">
        <v>24</v>
      </c>
      <c r="C566" s="6" t="s">
        <v>25</v>
      </c>
      <c r="D566" s="6" t="s">
        <v>47</v>
      </c>
      <c r="E566" s="6" t="s">
        <v>27</v>
      </c>
      <c r="F566" s="6">
        <v>1565</v>
      </c>
      <c r="G566" s="6">
        <v>102467.66</v>
      </c>
      <c r="H566" s="7">
        <v>41626</v>
      </c>
      <c r="I566" s="6" t="s">
        <v>49</v>
      </c>
      <c r="J566" s="6" t="s">
        <v>1186</v>
      </c>
      <c r="K566" s="6" t="s">
        <v>51</v>
      </c>
      <c r="L566" s="6" t="s">
        <v>52</v>
      </c>
      <c r="M566" s="6" t="s">
        <v>53</v>
      </c>
      <c r="N566" s="6">
        <v>4.87</v>
      </c>
      <c r="O566" s="4" t="str">
        <f t="shared" si="8"/>
        <v>Excellent</v>
      </c>
      <c r="P566" s="6">
        <v>111</v>
      </c>
    </row>
    <row r="567" spans="1:16" x14ac:dyDescent="0.3">
      <c r="A567" s="6" t="s">
        <v>1187</v>
      </c>
      <c r="B567" s="6">
        <v>50</v>
      </c>
      <c r="C567" s="6" t="s">
        <v>25</v>
      </c>
      <c r="D567" s="6" t="s">
        <v>55</v>
      </c>
      <c r="E567" s="6" t="s">
        <v>80</v>
      </c>
      <c r="F567" s="6">
        <v>1566</v>
      </c>
      <c r="G567" s="6">
        <v>149240.94</v>
      </c>
      <c r="H567" s="7">
        <v>41196</v>
      </c>
      <c r="I567" s="6" t="s">
        <v>56</v>
      </c>
      <c r="J567" s="6" t="s">
        <v>1188</v>
      </c>
      <c r="K567" s="6" t="s">
        <v>21</v>
      </c>
      <c r="L567" s="6" t="s">
        <v>22</v>
      </c>
      <c r="M567" s="6" t="s">
        <v>23</v>
      </c>
      <c r="N567" s="6">
        <v>1.27</v>
      </c>
      <c r="O567" s="4" t="str">
        <f t="shared" si="8"/>
        <v>Poor</v>
      </c>
      <c r="P567" s="6">
        <v>100</v>
      </c>
    </row>
    <row r="568" spans="1:16" x14ac:dyDescent="0.3">
      <c r="A568" s="6" t="s">
        <v>1189</v>
      </c>
      <c r="B568" s="6">
        <v>50</v>
      </c>
      <c r="C568" s="6" t="s">
        <v>62</v>
      </c>
      <c r="D568" s="6" t="s">
        <v>47</v>
      </c>
      <c r="E568" s="6" t="s">
        <v>34</v>
      </c>
      <c r="F568" s="6">
        <v>1567</v>
      </c>
      <c r="G568" s="6">
        <v>103959.8</v>
      </c>
      <c r="H568" s="7">
        <v>44544</v>
      </c>
      <c r="I568" s="6" t="s">
        <v>63</v>
      </c>
      <c r="J568" s="6" t="s">
        <v>1190</v>
      </c>
      <c r="K568" s="6" t="s">
        <v>30</v>
      </c>
      <c r="L568" s="6" t="s">
        <v>31</v>
      </c>
      <c r="M568" s="6" t="s">
        <v>32</v>
      </c>
      <c r="N568" s="6">
        <v>4.8099999999999996</v>
      </c>
      <c r="O568" s="4" t="str">
        <f t="shared" si="8"/>
        <v>Excellent</v>
      </c>
      <c r="P568" s="6">
        <v>67</v>
      </c>
    </row>
    <row r="569" spans="1:16" x14ac:dyDescent="0.3">
      <c r="A569" s="6" t="s">
        <v>1191</v>
      </c>
      <c r="B569" s="6">
        <v>60</v>
      </c>
      <c r="C569" s="6" t="s">
        <v>25</v>
      </c>
      <c r="D569" s="6" t="s">
        <v>26</v>
      </c>
      <c r="E569" s="6" t="s">
        <v>48</v>
      </c>
      <c r="F569" s="6">
        <v>1568</v>
      </c>
      <c r="G569" s="6">
        <v>76806.81</v>
      </c>
      <c r="H569" s="7">
        <v>43485</v>
      </c>
      <c r="I569" s="6" t="s">
        <v>66</v>
      </c>
      <c r="J569" s="6" t="s">
        <v>1192</v>
      </c>
      <c r="K569" s="6" t="s">
        <v>37</v>
      </c>
      <c r="L569" s="6" t="s">
        <v>38</v>
      </c>
      <c r="M569" s="6" t="s">
        <v>39</v>
      </c>
      <c r="N569" s="6">
        <v>3.77</v>
      </c>
      <c r="O569" s="4" t="str">
        <f t="shared" si="8"/>
        <v>Good</v>
      </c>
      <c r="P569" s="6">
        <v>58</v>
      </c>
    </row>
    <row r="570" spans="1:16" x14ac:dyDescent="0.3">
      <c r="A570" s="6" t="s">
        <v>1193</v>
      </c>
      <c r="B570" s="6">
        <v>59</v>
      </c>
      <c r="C570" s="6" t="s">
        <v>25</v>
      </c>
      <c r="D570" s="6" t="s">
        <v>17</v>
      </c>
      <c r="E570" s="6" t="s">
        <v>80</v>
      </c>
      <c r="F570" s="6">
        <v>1569</v>
      </c>
      <c r="G570" s="6">
        <v>130105.82</v>
      </c>
      <c r="H570" s="7">
        <v>40415</v>
      </c>
      <c r="I570" s="6" t="s">
        <v>70</v>
      </c>
      <c r="J570" s="6" t="s">
        <v>1194</v>
      </c>
      <c r="K570" s="6" t="s">
        <v>43</v>
      </c>
      <c r="L570" s="6" t="s">
        <v>44</v>
      </c>
      <c r="M570" s="6" t="s">
        <v>45</v>
      </c>
      <c r="N570" s="6">
        <v>1.04</v>
      </c>
      <c r="O570" s="4" t="str">
        <f t="shared" si="8"/>
        <v>Poor</v>
      </c>
      <c r="P570" s="6">
        <v>41</v>
      </c>
    </row>
    <row r="571" spans="1:16" x14ac:dyDescent="0.3">
      <c r="A571" s="6" t="s">
        <v>1195</v>
      </c>
      <c r="B571" s="6">
        <v>27</v>
      </c>
      <c r="C571" s="6" t="s">
        <v>62</v>
      </c>
      <c r="D571" s="6" t="s">
        <v>69</v>
      </c>
      <c r="E571" s="6" t="s">
        <v>34</v>
      </c>
      <c r="F571" s="6">
        <v>1570</v>
      </c>
      <c r="G571" s="6">
        <v>52307.44</v>
      </c>
      <c r="H571" s="7">
        <v>41960</v>
      </c>
      <c r="I571" s="6" t="s">
        <v>73</v>
      </c>
      <c r="J571" s="6" t="s">
        <v>1196</v>
      </c>
      <c r="K571" s="6" t="s">
        <v>51</v>
      </c>
      <c r="L571" s="6" t="s">
        <v>52</v>
      </c>
      <c r="M571" s="6" t="s">
        <v>53</v>
      </c>
      <c r="N571" s="6">
        <v>3.96</v>
      </c>
      <c r="O571" s="4" t="str">
        <f t="shared" si="8"/>
        <v>Good</v>
      </c>
      <c r="P571" s="6">
        <v>88</v>
      </c>
    </row>
    <row r="572" spans="1:16" x14ac:dyDescent="0.3">
      <c r="A572" s="6" t="s">
        <v>1197</v>
      </c>
      <c r="B572" s="6">
        <v>31</v>
      </c>
      <c r="C572" s="6" t="s">
        <v>62</v>
      </c>
      <c r="D572" s="6" t="s">
        <v>69</v>
      </c>
      <c r="E572" s="6" t="s">
        <v>34</v>
      </c>
      <c r="F572" s="6">
        <v>1571</v>
      </c>
      <c r="G572" s="6">
        <v>107761.93</v>
      </c>
      <c r="H572" s="7">
        <v>39816</v>
      </c>
      <c r="I572" s="6" t="s">
        <v>19</v>
      </c>
      <c r="J572" s="6" t="s">
        <v>1198</v>
      </c>
      <c r="K572" s="6" t="s">
        <v>21</v>
      </c>
      <c r="L572" s="6" t="s">
        <v>22</v>
      </c>
      <c r="M572" s="6" t="s">
        <v>23</v>
      </c>
      <c r="N572" s="6">
        <v>1.88</v>
      </c>
      <c r="O572" s="4" t="str">
        <f t="shared" si="8"/>
        <v>Poor</v>
      </c>
      <c r="P572" s="6">
        <v>183</v>
      </c>
    </row>
    <row r="573" spans="1:16" x14ac:dyDescent="0.3">
      <c r="A573" s="6" t="s">
        <v>1199</v>
      </c>
      <c r="B573" s="6">
        <v>58</v>
      </c>
      <c r="C573" s="6" t="s">
        <v>62</v>
      </c>
      <c r="D573" s="6" t="s">
        <v>47</v>
      </c>
      <c r="E573" s="6" t="s">
        <v>18</v>
      </c>
      <c r="F573" s="6">
        <v>1572</v>
      </c>
      <c r="G573" s="6">
        <v>152804.75</v>
      </c>
      <c r="H573" s="7">
        <v>37375</v>
      </c>
      <c r="I573" s="6" t="s">
        <v>28</v>
      </c>
      <c r="J573" s="6" t="s">
        <v>1200</v>
      </c>
      <c r="K573" s="6" t="s">
        <v>30</v>
      </c>
      <c r="L573" s="6" t="s">
        <v>31</v>
      </c>
      <c r="M573" s="6" t="s">
        <v>32</v>
      </c>
      <c r="N573" s="6">
        <v>3.95</v>
      </c>
      <c r="O573" s="4" t="str">
        <f t="shared" si="8"/>
        <v>Good</v>
      </c>
      <c r="P573" s="6">
        <v>101</v>
      </c>
    </row>
    <row r="574" spans="1:16" x14ac:dyDescent="0.3">
      <c r="A574" s="6" t="s">
        <v>1201</v>
      </c>
      <c r="B574" s="6">
        <v>35</v>
      </c>
      <c r="C574" s="6" t="s">
        <v>16</v>
      </c>
      <c r="D574" s="6" t="s">
        <v>55</v>
      </c>
      <c r="E574" s="6" t="s">
        <v>48</v>
      </c>
      <c r="F574" s="6">
        <v>1573</v>
      </c>
      <c r="G574" s="6">
        <v>89658.78</v>
      </c>
      <c r="H574" s="7">
        <v>37791</v>
      </c>
      <c r="I574" s="6" t="s">
        <v>35</v>
      </c>
      <c r="J574" s="6" t="s">
        <v>1202</v>
      </c>
      <c r="K574" s="6" t="s">
        <v>37</v>
      </c>
      <c r="L574" s="6" t="s">
        <v>38</v>
      </c>
      <c r="M574" s="6" t="s">
        <v>39</v>
      </c>
      <c r="N574" s="6">
        <v>2.36</v>
      </c>
      <c r="O574" s="4" t="str">
        <f t="shared" si="8"/>
        <v>Average</v>
      </c>
      <c r="P574" s="6">
        <v>99</v>
      </c>
    </row>
    <row r="575" spans="1:16" x14ac:dyDescent="0.3">
      <c r="A575" s="6" t="s">
        <v>1203</v>
      </c>
      <c r="B575" s="6">
        <v>43</v>
      </c>
      <c r="C575" s="6" t="s">
        <v>62</v>
      </c>
      <c r="D575" s="6" t="s">
        <v>55</v>
      </c>
      <c r="E575" s="6" t="s">
        <v>18</v>
      </c>
      <c r="F575" s="6">
        <v>1574</v>
      </c>
      <c r="G575" s="6">
        <v>158924.78</v>
      </c>
      <c r="H575" s="7">
        <v>36999</v>
      </c>
      <c r="I575" s="6" t="s">
        <v>41</v>
      </c>
      <c r="J575" s="6" t="s">
        <v>1204</v>
      </c>
      <c r="K575" s="6" t="s">
        <v>43</v>
      </c>
      <c r="L575" s="6" t="s">
        <v>44</v>
      </c>
      <c r="M575" s="6" t="s">
        <v>45</v>
      </c>
      <c r="N575" s="6">
        <v>4.83</v>
      </c>
      <c r="O575" s="4" t="str">
        <f t="shared" si="8"/>
        <v>Excellent</v>
      </c>
      <c r="P575" s="6">
        <v>113</v>
      </c>
    </row>
    <row r="576" spans="1:16" x14ac:dyDescent="0.3">
      <c r="A576" s="6" t="s">
        <v>1205</v>
      </c>
      <c r="B576" s="6">
        <v>53</v>
      </c>
      <c r="C576" s="6" t="s">
        <v>16</v>
      </c>
      <c r="D576" s="6" t="s">
        <v>17</v>
      </c>
      <c r="E576" s="6" t="s">
        <v>27</v>
      </c>
      <c r="F576" s="6">
        <v>1575</v>
      </c>
      <c r="G576" s="6">
        <v>123959.3</v>
      </c>
      <c r="H576" s="7">
        <v>44446</v>
      </c>
      <c r="I576" s="6" t="s">
        <v>49</v>
      </c>
      <c r="J576" s="6" t="s">
        <v>1206</v>
      </c>
      <c r="K576" s="6" t="s">
        <v>51</v>
      </c>
      <c r="L576" s="6" t="s">
        <v>52</v>
      </c>
      <c r="M576" s="6" t="s">
        <v>53</v>
      </c>
      <c r="N576" s="6">
        <v>3.4</v>
      </c>
      <c r="O576" s="4" t="str">
        <f t="shared" si="8"/>
        <v>Good</v>
      </c>
      <c r="P576" s="6">
        <v>14</v>
      </c>
    </row>
    <row r="577" spans="1:16" x14ac:dyDescent="0.3">
      <c r="A577" s="6" t="s">
        <v>1207</v>
      </c>
      <c r="B577" s="6">
        <v>39</v>
      </c>
      <c r="C577" s="6" t="s">
        <v>16</v>
      </c>
      <c r="D577" s="6" t="s">
        <v>26</v>
      </c>
      <c r="E577" s="6" t="s">
        <v>34</v>
      </c>
      <c r="F577" s="6">
        <v>1576</v>
      </c>
      <c r="G577" s="6">
        <v>93166.6</v>
      </c>
      <c r="H577" s="7">
        <v>39517</v>
      </c>
      <c r="I577" s="6" t="s">
        <v>56</v>
      </c>
      <c r="J577" s="6" t="s">
        <v>1208</v>
      </c>
      <c r="K577" s="6" t="s">
        <v>21</v>
      </c>
      <c r="L577" s="6" t="s">
        <v>22</v>
      </c>
      <c r="M577" s="6" t="s">
        <v>23</v>
      </c>
      <c r="N577" s="6">
        <v>3.91</v>
      </c>
      <c r="O577" s="4" t="str">
        <f t="shared" si="8"/>
        <v>Good</v>
      </c>
      <c r="P577" s="6">
        <v>37</v>
      </c>
    </row>
    <row r="578" spans="1:16" x14ac:dyDescent="0.3">
      <c r="A578" s="6" t="s">
        <v>1209</v>
      </c>
      <c r="B578" s="6">
        <v>57</v>
      </c>
      <c r="C578" s="6" t="s">
        <v>62</v>
      </c>
      <c r="D578" s="6" t="s">
        <v>55</v>
      </c>
      <c r="E578" s="6" t="s">
        <v>34</v>
      </c>
      <c r="F578" s="6">
        <v>1577</v>
      </c>
      <c r="G578" s="6">
        <v>114703.67</v>
      </c>
      <c r="H578" s="7">
        <v>38114</v>
      </c>
      <c r="I578" s="6" t="s">
        <v>63</v>
      </c>
      <c r="J578" s="6" t="s">
        <v>1210</v>
      </c>
      <c r="K578" s="6" t="s">
        <v>30</v>
      </c>
      <c r="L578" s="6" t="s">
        <v>31</v>
      </c>
      <c r="M578" s="6" t="s">
        <v>32</v>
      </c>
      <c r="N578" s="6">
        <v>1.79</v>
      </c>
      <c r="O578" s="4" t="str">
        <f t="shared" si="8"/>
        <v>Poor</v>
      </c>
      <c r="P578" s="6">
        <v>75</v>
      </c>
    </row>
    <row r="579" spans="1:16" x14ac:dyDescent="0.3">
      <c r="A579" s="6" t="s">
        <v>1211</v>
      </c>
      <c r="B579" s="6">
        <v>30</v>
      </c>
      <c r="C579" s="6" t="s">
        <v>16</v>
      </c>
      <c r="D579" s="6" t="s">
        <v>55</v>
      </c>
      <c r="E579" s="6" t="s">
        <v>48</v>
      </c>
      <c r="F579" s="6">
        <v>1578</v>
      </c>
      <c r="G579" s="6">
        <v>59843.18</v>
      </c>
      <c r="H579" s="7">
        <v>38038</v>
      </c>
      <c r="I579" s="6" t="s">
        <v>66</v>
      </c>
      <c r="J579" s="6" t="s">
        <v>1212</v>
      </c>
      <c r="K579" s="6" t="s">
        <v>37</v>
      </c>
      <c r="L579" s="6" t="s">
        <v>38</v>
      </c>
      <c r="M579" s="6" t="s">
        <v>39</v>
      </c>
      <c r="N579" s="6">
        <v>3.66</v>
      </c>
      <c r="O579" s="4" t="str">
        <f t="shared" ref="O579:O642" si="9">IF(N579&gt;=4,"Excellent",IF(N579&gt;=3,"Good",IF(N579&gt;=2,"Average","Poor")))</f>
        <v>Good</v>
      </c>
      <c r="P579" s="6">
        <v>80</v>
      </c>
    </row>
    <row r="580" spans="1:16" x14ac:dyDescent="0.3">
      <c r="A580" s="6" t="s">
        <v>1213</v>
      </c>
      <c r="B580" s="6">
        <v>47</v>
      </c>
      <c r="C580" s="6" t="s">
        <v>25</v>
      </c>
      <c r="D580" s="6" t="s">
        <v>26</v>
      </c>
      <c r="E580" s="6" t="s">
        <v>18</v>
      </c>
      <c r="F580" s="6">
        <v>1579</v>
      </c>
      <c r="G580" s="6">
        <v>122224.49</v>
      </c>
      <c r="H580" s="7">
        <v>42366</v>
      </c>
      <c r="I580" s="6" t="s">
        <v>70</v>
      </c>
      <c r="J580" s="6" t="s">
        <v>1214</v>
      </c>
      <c r="K580" s="6" t="s">
        <v>43</v>
      </c>
      <c r="L580" s="6" t="s">
        <v>44</v>
      </c>
      <c r="M580" s="6" t="s">
        <v>45</v>
      </c>
      <c r="N580" s="6">
        <v>3.56</v>
      </c>
      <c r="O580" s="4" t="str">
        <f t="shared" si="9"/>
        <v>Good</v>
      </c>
      <c r="P580" s="6">
        <v>43</v>
      </c>
    </row>
    <row r="581" spans="1:16" x14ac:dyDescent="0.3">
      <c r="A581" s="6" t="s">
        <v>1215</v>
      </c>
      <c r="B581" s="6">
        <v>43</v>
      </c>
      <c r="C581" s="6" t="s">
        <v>25</v>
      </c>
      <c r="D581" s="6" t="s">
        <v>17</v>
      </c>
      <c r="E581" s="6" t="s">
        <v>18</v>
      </c>
      <c r="F581" s="6">
        <v>1580</v>
      </c>
      <c r="G581" s="6">
        <v>111441.57</v>
      </c>
      <c r="H581" s="7">
        <v>42097</v>
      </c>
      <c r="I581" s="6" t="s">
        <v>73</v>
      </c>
      <c r="J581" s="6" t="s">
        <v>1216</v>
      </c>
      <c r="K581" s="6" t="s">
        <v>51</v>
      </c>
      <c r="L581" s="6" t="s">
        <v>52</v>
      </c>
      <c r="M581" s="6" t="s">
        <v>53</v>
      </c>
      <c r="N581" s="6">
        <v>4.66</v>
      </c>
      <c r="O581" s="4" t="str">
        <f t="shared" si="9"/>
        <v>Excellent</v>
      </c>
      <c r="P581" s="6">
        <v>167</v>
      </c>
    </row>
    <row r="582" spans="1:16" x14ac:dyDescent="0.3">
      <c r="A582" s="6" t="s">
        <v>1217</v>
      </c>
      <c r="B582" s="6">
        <v>59</v>
      </c>
      <c r="C582" s="6" t="s">
        <v>62</v>
      </c>
      <c r="D582" s="6" t="s">
        <v>55</v>
      </c>
      <c r="E582" s="6" t="s">
        <v>48</v>
      </c>
      <c r="F582" s="6">
        <v>1581</v>
      </c>
      <c r="G582" s="6">
        <v>119168.51</v>
      </c>
      <c r="H582" s="7">
        <v>36929</v>
      </c>
      <c r="I582" s="6" t="s">
        <v>19</v>
      </c>
      <c r="J582" s="6" t="s">
        <v>1218</v>
      </c>
      <c r="K582" s="6" t="s">
        <v>21</v>
      </c>
      <c r="L582" s="6" t="s">
        <v>22</v>
      </c>
      <c r="M582" s="6" t="s">
        <v>23</v>
      </c>
      <c r="N582" s="6">
        <v>1.43</v>
      </c>
      <c r="O582" s="4" t="str">
        <f t="shared" si="9"/>
        <v>Poor</v>
      </c>
      <c r="P582" s="6">
        <v>95</v>
      </c>
    </row>
    <row r="583" spans="1:16" x14ac:dyDescent="0.3">
      <c r="A583" s="6" t="s">
        <v>1219</v>
      </c>
      <c r="B583" s="6">
        <v>44</v>
      </c>
      <c r="C583" s="6" t="s">
        <v>16</v>
      </c>
      <c r="D583" s="6" t="s">
        <v>47</v>
      </c>
      <c r="E583" s="6" t="s">
        <v>18</v>
      </c>
      <c r="F583" s="6">
        <v>1582</v>
      </c>
      <c r="G583" s="6">
        <v>65315.76</v>
      </c>
      <c r="H583" s="7">
        <v>37916</v>
      </c>
      <c r="I583" s="6" t="s">
        <v>28</v>
      </c>
      <c r="J583" s="6" t="s">
        <v>1220</v>
      </c>
      <c r="K583" s="6" t="s">
        <v>30</v>
      </c>
      <c r="L583" s="6" t="s">
        <v>31</v>
      </c>
      <c r="M583" s="6" t="s">
        <v>32</v>
      </c>
      <c r="N583" s="6">
        <v>2.82</v>
      </c>
      <c r="O583" s="4" t="str">
        <f t="shared" si="9"/>
        <v>Average</v>
      </c>
      <c r="P583" s="6">
        <v>172</v>
      </c>
    </row>
    <row r="584" spans="1:16" x14ac:dyDescent="0.3">
      <c r="A584" s="6" t="s">
        <v>1221</v>
      </c>
      <c r="B584" s="6">
        <v>38</v>
      </c>
      <c r="C584" s="6" t="s">
        <v>25</v>
      </c>
      <c r="D584" s="6" t="s">
        <v>26</v>
      </c>
      <c r="E584" s="6" t="s">
        <v>48</v>
      </c>
      <c r="F584" s="6">
        <v>1583</v>
      </c>
      <c r="G584" s="6">
        <v>54137.82</v>
      </c>
      <c r="H584" s="7">
        <v>37457</v>
      </c>
      <c r="I584" s="6" t="s">
        <v>35</v>
      </c>
      <c r="J584" s="6" t="s">
        <v>1222</v>
      </c>
      <c r="K584" s="6" t="s">
        <v>37</v>
      </c>
      <c r="L584" s="6" t="s">
        <v>38</v>
      </c>
      <c r="M584" s="6" t="s">
        <v>39</v>
      </c>
      <c r="N584" s="6">
        <v>3.25</v>
      </c>
      <c r="O584" s="4" t="str">
        <f t="shared" si="9"/>
        <v>Good</v>
      </c>
      <c r="P584" s="6">
        <v>22</v>
      </c>
    </row>
    <row r="585" spans="1:16" x14ac:dyDescent="0.3">
      <c r="A585" s="6" t="s">
        <v>1223</v>
      </c>
      <c r="B585" s="6">
        <v>47</v>
      </c>
      <c r="C585" s="6" t="s">
        <v>16</v>
      </c>
      <c r="D585" s="6" t="s">
        <v>55</v>
      </c>
      <c r="E585" s="6" t="s">
        <v>18</v>
      </c>
      <c r="F585" s="6">
        <v>1584</v>
      </c>
      <c r="G585" s="6">
        <v>69720.009999999995</v>
      </c>
      <c r="H585" s="7">
        <v>43919</v>
      </c>
      <c r="I585" s="6" t="s">
        <v>41</v>
      </c>
      <c r="J585" s="6" t="s">
        <v>1224</v>
      </c>
      <c r="K585" s="6" t="s">
        <v>43</v>
      </c>
      <c r="L585" s="6" t="s">
        <v>44</v>
      </c>
      <c r="M585" s="6" t="s">
        <v>45</v>
      </c>
      <c r="N585" s="6">
        <v>3.31</v>
      </c>
      <c r="O585" s="4" t="str">
        <f t="shared" si="9"/>
        <v>Good</v>
      </c>
      <c r="P585" s="6">
        <v>68</v>
      </c>
    </row>
    <row r="586" spans="1:16" x14ac:dyDescent="0.3">
      <c r="A586" s="6" t="s">
        <v>1225</v>
      </c>
      <c r="B586" s="6">
        <v>59</v>
      </c>
      <c r="C586" s="6" t="s">
        <v>16</v>
      </c>
      <c r="D586" s="6" t="s">
        <v>17</v>
      </c>
      <c r="E586" s="6" t="s">
        <v>48</v>
      </c>
      <c r="F586" s="6">
        <v>1585</v>
      </c>
      <c r="G586" s="6">
        <v>96543.07</v>
      </c>
      <c r="H586" s="7">
        <v>41069</v>
      </c>
      <c r="I586" s="6" t="s">
        <v>49</v>
      </c>
      <c r="J586" s="6" t="s">
        <v>1226</v>
      </c>
      <c r="K586" s="6" t="s">
        <v>51</v>
      </c>
      <c r="L586" s="6" t="s">
        <v>52</v>
      </c>
      <c r="M586" s="6" t="s">
        <v>53</v>
      </c>
      <c r="N586" s="6">
        <v>4.42</v>
      </c>
      <c r="O586" s="4" t="str">
        <f t="shared" si="9"/>
        <v>Excellent</v>
      </c>
      <c r="P586" s="6">
        <v>19</v>
      </c>
    </row>
    <row r="587" spans="1:16" x14ac:dyDescent="0.3">
      <c r="A587" s="6" t="s">
        <v>1227</v>
      </c>
      <c r="B587" s="6">
        <v>23</v>
      </c>
      <c r="C587" s="6" t="s">
        <v>25</v>
      </c>
      <c r="D587" s="6" t="s">
        <v>69</v>
      </c>
      <c r="E587" s="6" t="s">
        <v>27</v>
      </c>
      <c r="F587" s="6">
        <v>1586</v>
      </c>
      <c r="G587" s="6">
        <v>66204.36</v>
      </c>
      <c r="H587" s="7">
        <v>42579</v>
      </c>
      <c r="I587" s="6" t="s">
        <v>56</v>
      </c>
      <c r="J587" s="6" t="s">
        <v>1228</v>
      </c>
      <c r="K587" s="6" t="s">
        <v>21</v>
      </c>
      <c r="L587" s="6" t="s">
        <v>22</v>
      </c>
      <c r="M587" s="6" t="s">
        <v>23</v>
      </c>
      <c r="N587" s="6">
        <v>2.04</v>
      </c>
      <c r="O587" s="4" t="str">
        <f t="shared" si="9"/>
        <v>Average</v>
      </c>
      <c r="P587" s="6">
        <v>146</v>
      </c>
    </row>
    <row r="588" spans="1:16" x14ac:dyDescent="0.3">
      <c r="A588" s="6" t="s">
        <v>1229</v>
      </c>
      <c r="B588" s="6">
        <v>27</v>
      </c>
      <c r="C588" s="6" t="s">
        <v>62</v>
      </c>
      <c r="D588" s="6" t="s">
        <v>47</v>
      </c>
      <c r="E588" s="6" t="s">
        <v>48</v>
      </c>
      <c r="F588" s="6">
        <v>1587</v>
      </c>
      <c r="G588" s="6">
        <v>165098.76</v>
      </c>
      <c r="H588" s="7">
        <v>40609</v>
      </c>
      <c r="I588" s="6" t="s">
        <v>63</v>
      </c>
      <c r="J588" s="6" t="s">
        <v>1230</v>
      </c>
      <c r="K588" s="6" t="s">
        <v>30</v>
      </c>
      <c r="L588" s="6" t="s">
        <v>31</v>
      </c>
      <c r="M588" s="6" t="s">
        <v>32</v>
      </c>
      <c r="N588" s="6">
        <v>2.6</v>
      </c>
      <c r="O588" s="4" t="str">
        <f t="shared" si="9"/>
        <v>Average</v>
      </c>
      <c r="P588" s="6">
        <v>95</v>
      </c>
    </row>
    <row r="589" spans="1:16" x14ac:dyDescent="0.3">
      <c r="A589" s="6" t="s">
        <v>1231</v>
      </c>
      <c r="B589" s="6">
        <v>28</v>
      </c>
      <c r="C589" s="6" t="s">
        <v>16</v>
      </c>
      <c r="D589" s="6" t="s">
        <v>47</v>
      </c>
      <c r="E589" s="6" t="s">
        <v>48</v>
      </c>
      <c r="F589" s="6">
        <v>1588</v>
      </c>
      <c r="G589" s="6">
        <v>179512.19</v>
      </c>
      <c r="H589" s="7">
        <v>42656</v>
      </c>
      <c r="I589" s="6" t="s">
        <v>66</v>
      </c>
      <c r="J589" s="6" t="s">
        <v>1232</v>
      </c>
      <c r="K589" s="6" t="s">
        <v>37</v>
      </c>
      <c r="L589" s="6" t="s">
        <v>38</v>
      </c>
      <c r="M589" s="6" t="s">
        <v>39</v>
      </c>
      <c r="N589" s="6">
        <v>1.69</v>
      </c>
      <c r="O589" s="4" t="str">
        <f t="shared" si="9"/>
        <v>Poor</v>
      </c>
      <c r="P589" s="6">
        <v>187</v>
      </c>
    </row>
    <row r="590" spans="1:16" x14ac:dyDescent="0.3">
      <c r="A590" s="6" t="s">
        <v>1233</v>
      </c>
      <c r="B590" s="6">
        <v>34</v>
      </c>
      <c r="C590" s="6" t="s">
        <v>25</v>
      </c>
      <c r="D590" s="6" t="s">
        <v>47</v>
      </c>
      <c r="E590" s="6" t="s">
        <v>18</v>
      </c>
      <c r="F590" s="6">
        <v>1589</v>
      </c>
      <c r="G590" s="6">
        <v>137398.88</v>
      </c>
      <c r="H590" s="7">
        <v>42805</v>
      </c>
      <c r="I590" s="6" t="s">
        <v>70</v>
      </c>
      <c r="J590" s="6" t="s">
        <v>1234</v>
      </c>
      <c r="K590" s="6" t="s">
        <v>43</v>
      </c>
      <c r="L590" s="6" t="s">
        <v>44</v>
      </c>
      <c r="M590" s="6" t="s">
        <v>45</v>
      </c>
      <c r="N590" s="6">
        <v>3.39</v>
      </c>
      <c r="O590" s="4" t="str">
        <f t="shared" si="9"/>
        <v>Good</v>
      </c>
      <c r="P590" s="6">
        <v>167</v>
      </c>
    </row>
    <row r="591" spans="1:16" x14ac:dyDescent="0.3">
      <c r="A591" s="6" t="s">
        <v>1235</v>
      </c>
      <c r="B591" s="6">
        <v>48</v>
      </c>
      <c r="C591" s="6" t="s">
        <v>62</v>
      </c>
      <c r="D591" s="6" t="s">
        <v>47</v>
      </c>
      <c r="E591" s="6" t="s">
        <v>18</v>
      </c>
      <c r="F591" s="6">
        <v>1590</v>
      </c>
      <c r="G591" s="6">
        <v>144189.63</v>
      </c>
      <c r="H591" s="7">
        <v>38319</v>
      </c>
      <c r="I591" s="6" t="s">
        <v>73</v>
      </c>
      <c r="J591" s="6" t="s">
        <v>1236</v>
      </c>
      <c r="K591" s="6" t="s">
        <v>51</v>
      </c>
      <c r="L591" s="6" t="s">
        <v>52</v>
      </c>
      <c r="M591" s="6" t="s">
        <v>53</v>
      </c>
      <c r="N591" s="6">
        <v>4.49</v>
      </c>
      <c r="O591" s="4" t="str">
        <f t="shared" si="9"/>
        <v>Excellent</v>
      </c>
      <c r="P591" s="6">
        <v>85</v>
      </c>
    </row>
    <row r="592" spans="1:16" x14ac:dyDescent="0.3">
      <c r="A592" s="6" t="s">
        <v>1237</v>
      </c>
      <c r="B592" s="6">
        <v>32</v>
      </c>
      <c r="C592" s="6" t="s">
        <v>16</v>
      </c>
      <c r="D592" s="6" t="s">
        <v>69</v>
      </c>
      <c r="E592" s="6" t="s">
        <v>48</v>
      </c>
      <c r="F592" s="6">
        <v>1591</v>
      </c>
      <c r="G592" s="6">
        <v>194005.54</v>
      </c>
      <c r="H592" s="7">
        <v>37272</v>
      </c>
      <c r="I592" s="6" t="s">
        <v>19</v>
      </c>
      <c r="J592" s="6" t="s">
        <v>1238</v>
      </c>
      <c r="K592" s="6" t="s">
        <v>21</v>
      </c>
      <c r="L592" s="6" t="s">
        <v>22</v>
      </c>
      <c r="M592" s="6" t="s">
        <v>23</v>
      </c>
      <c r="N592" s="6">
        <v>2.91</v>
      </c>
      <c r="O592" s="4" t="str">
        <f t="shared" si="9"/>
        <v>Average</v>
      </c>
      <c r="P592" s="6">
        <v>46</v>
      </c>
    </row>
    <row r="593" spans="1:16" x14ac:dyDescent="0.3">
      <c r="A593" s="6" t="s">
        <v>1239</v>
      </c>
      <c r="B593" s="6">
        <v>36</v>
      </c>
      <c r="C593" s="6" t="s">
        <v>16</v>
      </c>
      <c r="D593" s="6" t="s">
        <v>69</v>
      </c>
      <c r="E593" s="6" t="s">
        <v>48</v>
      </c>
      <c r="F593" s="6">
        <v>1592</v>
      </c>
      <c r="G593" s="6">
        <v>132712.63</v>
      </c>
      <c r="H593" s="7">
        <v>38448</v>
      </c>
      <c r="I593" s="6" t="s">
        <v>28</v>
      </c>
      <c r="J593" s="6" t="s">
        <v>1240</v>
      </c>
      <c r="K593" s="6" t="s">
        <v>30</v>
      </c>
      <c r="L593" s="6" t="s">
        <v>31</v>
      </c>
      <c r="M593" s="6" t="s">
        <v>32</v>
      </c>
      <c r="N593" s="6">
        <v>1.36</v>
      </c>
      <c r="O593" s="4" t="str">
        <f t="shared" si="9"/>
        <v>Poor</v>
      </c>
      <c r="P593" s="6">
        <v>178</v>
      </c>
    </row>
    <row r="594" spans="1:16" x14ac:dyDescent="0.3">
      <c r="A594" s="6" t="s">
        <v>1241</v>
      </c>
      <c r="B594" s="6">
        <v>30</v>
      </c>
      <c r="C594" s="6" t="s">
        <v>16</v>
      </c>
      <c r="D594" s="6" t="s">
        <v>69</v>
      </c>
      <c r="E594" s="6" t="s">
        <v>18</v>
      </c>
      <c r="F594" s="6">
        <v>1593</v>
      </c>
      <c r="G594" s="6">
        <v>180303.16</v>
      </c>
      <c r="H594" s="7">
        <v>37642</v>
      </c>
      <c r="I594" s="6" t="s">
        <v>35</v>
      </c>
      <c r="J594" s="6" t="s">
        <v>1242</v>
      </c>
      <c r="K594" s="6" t="s">
        <v>37</v>
      </c>
      <c r="L594" s="6" t="s">
        <v>38</v>
      </c>
      <c r="M594" s="6" t="s">
        <v>39</v>
      </c>
      <c r="N594" s="6">
        <v>1.74</v>
      </c>
      <c r="O594" s="4" t="str">
        <f t="shared" si="9"/>
        <v>Poor</v>
      </c>
      <c r="P594" s="6">
        <v>33</v>
      </c>
    </row>
    <row r="595" spans="1:16" x14ac:dyDescent="0.3">
      <c r="A595" s="6" t="s">
        <v>1243</v>
      </c>
      <c r="B595" s="6">
        <v>29</v>
      </c>
      <c r="C595" s="6" t="s">
        <v>16</v>
      </c>
      <c r="D595" s="6" t="s">
        <v>69</v>
      </c>
      <c r="E595" s="6" t="s">
        <v>34</v>
      </c>
      <c r="F595" s="6">
        <v>1594</v>
      </c>
      <c r="G595" s="6">
        <v>159094.14000000001</v>
      </c>
      <c r="H595" s="7">
        <v>44435</v>
      </c>
      <c r="I595" s="6" t="s">
        <v>41</v>
      </c>
      <c r="J595" s="6" t="s">
        <v>1244</v>
      </c>
      <c r="K595" s="6" t="s">
        <v>43</v>
      </c>
      <c r="L595" s="6" t="s">
        <v>44</v>
      </c>
      <c r="M595" s="6" t="s">
        <v>45</v>
      </c>
      <c r="N595" s="6">
        <v>1.97</v>
      </c>
      <c r="O595" s="4" t="str">
        <f t="shared" si="9"/>
        <v>Poor</v>
      </c>
      <c r="P595" s="6">
        <v>115</v>
      </c>
    </row>
    <row r="596" spans="1:16" x14ac:dyDescent="0.3">
      <c r="A596" s="6" t="s">
        <v>1245</v>
      </c>
      <c r="B596" s="6">
        <v>27</v>
      </c>
      <c r="C596" s="6" t="s">
        <v>62</v>
      </c>
      <c r="D596" s="6" t="s">
        <v>17</v>
      </c>
      <c r="E596" s="6" t="s">
        <v>80</v>
      </c>
      <c r="F596" s="6">
        <v>1595</v>
      </c>
      <c r="G596" s="6">
        <v>133133.51999999999</v>
      </c>
      <c r="H596" s="7">
        <v>42520</v>
      </c>
      <c r="I596" s="6" t="s">
        <v>49</v>
      </c>
      <c r="J596" s="6" t="s">
        <v>1246</v>
      </c>
      <c r="K596" s="6" t="s">
        <v>51</v>
      </c>
      <c r="L596" s="6" t="s">
        <v>52</v>
      </c>
      <c r="M596" s="6" t="s">
        <v>53</v>
      </c>
      <c r="N596" s="6">
        <v>2.44</v>
      </c>
      <c r="O596" s="4" t="str">
        <f t="shared" si="9"/>
        <v>Average</v>
      </c>
      <c r="P596" s="6">
        <v>62</v>
      </c>
    </row>
    <row r="597" spans="1:16" x14ac:dyDescent="0.3">
      <c r="A597" s="6" t="s">
        <v>1247</v>
      </c>
      <c r="B597" s="6">
        <v>64</v>
      </c>
      <c r="C597" s="6" t="s">
        <v>16</v>
      </c>
      <c r="D597" s="6" t="s">
        <v>55</v>
      </c>
      <c r="E597" s="6" t="s">
        <v>27</v>
      </c>
      <c r="F597" s="6">
        <v>1596</v>
      </c>
      <c r="G597" s="6">
        <v>126717.08</v>
      </c>
      <c r="H597" s="7">
        <v>42484</v>
      </c>
      <c r="I597" s="6" t="s">
        <v>56</v>
      </c>
      <c r="J597" s="6" t="s">
        <v>1248</v>
      </c>
      <c r="K597" s="6" t="s">
        <v>21</v>
      </c>
      <c r="L597" s="6" t="s">
        <v>22</v>
      </c>
      <c r="M597" s="6" t="s">
        <v>23</v>
      </c>
      <c r="N597" s="6">
        <v>4.57</v>
      </c>
      <c r="O597" s="4" t="str">
        <f t="shared" si="9"/>
        <v>Excellent</v>
      </c>
      <c r="P597" s="6">
        <v>5</v>
      </c>
    </row>
    <row r="598" spans="1:16" x14ac:dyDescent="0.3">
      <c r="A598" s="6" t="s">
        <v>1249</v>
      </c>
      <c r="B598" s="6">
        <v>25</v>
      </c>
      <c r="C598" s="6" t="s">
        <v>25</v>
      </c>
      <c r="D598" s="6" t="s">
        <v>69</v>
      </c>
      <c r="E598" s="6" t="s">
        <v>48</v>
      </c>
      <c r="F598" s="6">
        <v>1597</v>
      </c>
      <c r="G598" s="6">
        <v>54476.87</v>
      </c>
      <c r="H598" s="7">
        <v>40346</v>
      </c>
      <c r="I598" s="6" t="s">
        <v>63</v>
      </c>
      <c r="J598" s="6" t="s">
        <v>1250</v>
      </c>
      <c r="K598" s="6" t="s">
        <v>30</v>
      </c>
      <c r="L598" s="6" t="s">
        <v>31</v>
      </c>
      <c r="M598" s="6" t="s">
        <v>32</v>
      </c>
      <c r="N598" s="6">
        <v>2.38</v>
      </c>
      <c r="O598" s="4" t="str">
        <f t="shared" si="9"/>
        <v>Average</v>
      </c>
      <c r="P598" s="6">
        <v>36</v>
      </c>
    </row>
    <row r="599" spans="1:16" x14ac:dyDescent="0.3">
      <c r="A599" s="6" t="s">
        <v>1251</v>
      </c>
      <c r="B599" s="6">
        <v>32</v>
      </c>
      <c r="C599" s="6" t="s">
        <v>25</v>
      </c>
      <c r="D599" s="6" t="s">
        <v>69</v>
      </c>
      <c r="E599" s="6" t="s">
        <v>18</v>
      </c>
      <c r="F599" s="6">
        <v>1598</v>
      </c>
      <c r="G599" s="6">
        <v>94627.61</v>
      </c>
      <c r="H599" s="7">
        <v>42618</v>
      </c>
      <c r="I599" s="6" t="s">
        <v>66</v>
      </c>
      <c r="J599" s="6" t="s">
        <v>1252</v>
      </c>
      <c r="K599" s="6" t="s">
        <v>37</v>
      </c>
      <c r="L599" s="6" t="s">
        <v>38</v>
      </c>
      <c r="M599" s="6" t="s">
        <v>39</v>
      </c>
      <c r="N599" s="6">
        <v>1.17</v>
      </c>
      <c r="O599" s="4" t="str">
        <f t="shared" si="9"/>
        <v>Poor</v>
      </c>
      <c r="P599" s="6">
        <v>180</v>
      </c>
    </row>
    <row r="600" spans="1:16" x14ac:dyDescent="0.3">
      <c r="A600" s="6" t="s">
        <v>1253</v>
      </c>
      <c r="B600" s="6">
        <v>49</v>
      </c>
      <c r="C600" s="6" t="s">
        <v>25</v>
      </c>
      <c r="D600" s="6" t="s">
        <v>17</v>
      </c>
      <c r="E600" s="6" t="s">
        <v>80</v>
      </c>
      <c r="F600" s="6">
        <v>1599</v>
      </c>
      <c r="G600" s="6">
        <v>85578.67</v>
      </c>
      <c r="H600" s="7">
        <v>42274</v>
      </c>
      <c r="I600" s="6" t="s">
        <v>70</v>
      </c>
      <c r="J600" s="6" t="s">
        <v>1254</v>
      </c>
      <c r="K600" s="6" t="s">
        <v>43</v>
      </c>
      <c r="L600" s="6" t="s">
        <v>44</v>
      </c>
      <c r="M600" s="6" t="s">
        <v>45</v>
      </c>
      <c r="N600" s="6">
        <v>2.2799999999999998</v>
      </c>
      <c r="O600" s="4" t="str">
        <f t="shared" si="9"/>
        <v>Average</v>
      </c>
      <c r="P600" s="6">
        <v>132</v>
      </c>
    </row>
    <row r="601" spans="1:16" x14ac:dyDescent="0.3">
      <c r="A601" s="6" t="s">
        <v>1255</v>
      </c>
      <c r="B601" s="6">
        <v>47</v>
      </c>
      <c r="C601" s="6" t="s">
        <v>62</v>
      </c>
      <c r="D601" s="6" t="s">
        <v>26</v>
      </c>
      <c r="E601" s="6" t="s">
        <v>48</v>
      </c>
      <c r="F601" s="6">
        <v>1600</v>
      </c>
      <c r="G601" s="6">
        <v>93873.05</v>
      </c>
      <c r="H601" s="7">
        <v>37149</v>
      </c>
      <c r="I601" s="6" t="s">
        <v>73</v>
      </c>
      <c r="J601" s="6" t="s">
        <v>1256</v>
      </c>
      <c r="K601" s="6" t="s">
        <v>51</v>
      </c>
      <c r="L601" s="6" t="s">
        <v>52</v>
      </c>
      <c r="M601" s="6" t="s">
        <v>53</v>
      </c>
      <c r="N601" s="6">
        <v>4</v>
      </c>
      <c r="O601" s="4" t="str">
        <f t="shared" si="9"/>
        <v>Excellent</v>
      </c>
      <c r="P601" s="6">
        <v>168</v>
      </c>
    </row>
    <row r="602" spans="1:16" x14ac:dyDescent="0.3">
      <c r="A602" s="6" t="s">
        <v>1257</v>
      </c>
      <c r="B602" s="6">
        <v>25</v>
      </c>
      <c r="C602" s="6" t="s">
        <v>25</v>
      </c>
      <c r="D602" s="6" t="s">
        <v>17</v>
      </c>
      <c r="E602" s="6" t="s">
        <v>18</v>
      </c>
      <c r="F602" s="6">
        <v>1601</v>
      </c>
      <c r="G602" s="6">
        <v>149907.38</v>
      </c>
      <c r="H602" s="7">
        <v>41924</v>
      </c>
      <c r="I602" s="6" t="s">
        <v>19</v>
      </c>
      <c r="J602" s="6" t="s">
        <v>1258</v>
      </c>
      <c r="K602" s="6" t="s">
        <v>21</v>
      </c>
      <c r="L602" s="6" t="s">
        <v>22</v>
      </c>
      <c r="M602" s="6" t="s">
        <v>23</v>
      </c>
      <c r="N602" s="6">
        <v>1.75</v>
      </c>
      <c r="O602" s="4" t="str">
        <f t="shared" si="9"/>
        <v>Poor</v>
      </c>
      <c r="P602" s="6">
        <v>181</v>
      </c>
    </row>
    <row r="603" spans="1:16" x14ac:dyDescent="0.3">
      <c r="A603" s="6" t="s">
        <v>1259</v>
      </c>
      <c r="B603" s="6">
        <v>36</v>
      </c>
      <c r="C603" s="6" t="s">
        <v>16</v>
      </c>
      <c r="D603" s="6" t="s">
        <v>26</v>
      </c>
      <c r="E603" s="6" t="s">
        <v>18</v>
      </c>
      <c r="F603" s="6">
        <v>1602</v>
      </c>
      <c r="G603" s="6">
        <v>127407.79</v>
      </c>
      <c r="H603" s="7">
        <v>40976</v>
      </c>
      <c r="I603" s="6" t="s">
        <v>28</v>
      </c>
      <c r="J603" s="6" t="s">
        <v>1260</v>
      </c>
      <c r="K603" s="6" t="s">
        <v>30</v>
      </c>
      <c r="L603" s="6" t="s">
        <v>31</v>
      </c>
      <c r="M603" s="6" t="s">
        <v>32</v>
      </c>
      <c r="N603" s="6">
        <v>3.02</v>
      </c>
      <c r="O603" s="4" t="str">
        <f t="shared" si="9"/>
        <v>Good</v>
      </c>
      <c r="P603" s="6">
        <v>156</v>
      </c>
    </row>
    <row r="604" spans="1:16" x14ac:dyDescent="0.3">
      <c r="A604" s="6" t="s">
        <v>1261</v>
      </c>
      <c r="B604" s="6">
        <v>40</v>
      </c>
      <c r="C604" s="6" t="s">
        <v>16</v>
      </c>
      <c r="D604" s="6" t="s">
        <v>47</v>
      </c>
      <c r="E604" s="6" t="s">
        <v>34</v>
      </c>
      <c r="F604" s="6">
        <v>1603</v>
      </c>
      <c r="G604" s="6">
        <v>110672.6</v>
      </c>
      <c r="H604" s="7">
        <v>40253</v>
      </c>
      <c r="I604" s="6" t="s">
        <v>35</v>
      </c>
      <c r="J604" s="6" t="s">
        <v>1262</v>
      </c>
      <c r="K604" s="6" t="s">
        <v>37</v>
      </c>
      <c r="L604" s="6" t="s">
        <v>38</v>
      </c>
      <c r="M604" s="6" t="s">
        <v>39</v>
      </c>
      <c r="N604" s="6">
        <v>3.39</v>
      </c>
      <c r="O604" s="4" t="str">
        <f t="shared" si="9"/>
        <v>Good</v>
      </c>
      <c r="P604" s="6">
        <v>150</v>
      </c>
    </row>
    <row r="605" spans="1:16" x14ac:dyDescent="0.3">
      <c r="A605" s="6" t="s">
        <v>1263</v>
      </c>
      <c r="B605" s="6">
        <v>27</v>
      </c>
      <c r="C605" s="6" t="s">
        <v>25</v>
      </c>
      <c r="D605" s="6" t="s">
        <v>17</v>
      </c>
      <c r="E605" s="6" t="s">
        <v>48</v>
      </c>
      <c r="F605" s="6">
        <v>1604</v>
      </c>
      <c r="G605" s="6">
        <v>147956.4</v>
      </c>
      <c r="H605" s="7">
        <v>37803</v>
      </c>
      <c r="I605" s="6" t="s">
        <v>41</v>
      </c>
      <c r="J605" s="6" t="s">
        <v>1264</v>
      </c>
      <c r="K605" s="6" t="s">
        <v>43</v>
      </c>
      <c r="L605" s="6" t="s">
        <v>44</v>
      </c>
      <c r="M605" s="6" t="s">
        <v>45</v>
      </c>
      <c r="N605" s="6">
        <v>4.4000000000000004</v>
      </c>
      <c r="O605" s="4" t="str">
        <f t="shared" si="9"/>
        <v>Excellent</v>
      </c>
      <c r="P605" s="6">
        <v>59</v>
      </c>
    </row>
    <row r="606" spans="1:16" x14ac:dyDescent="0.3">
      <c r="A606" s="6" t="s">
        <v>1265</v>
      </c>
      <c r="B606" s="6">
        <v>26</v>
      </c>
      <c r="C606" s="6" t="s">
        <v>62</v>
      </c>
      <c r="D606" s="6" t="s">
        <v>47</v>
      </c>
      <c r="E606" s="6" t="s">
        <v>80</v>
      </c>
      <c r="F606" s="6">
        <v>1605</v>
      </c>
      <c r="G606" s="6">
        <v>76904.960000000006</v>
      </c>
      <c r="H606" s="7">
        <v>41290</v>
      </c>
      <c r="I606" s="6" t="s">
        <v>49</v>
      </c>
      <c r="J606" s="6" t="s">
        <v>1266</v>
      </c>
      <c r="K606" s="6" t="s">
        <v>51</v>
      </c>
      <c r="L606" s="6" t="s">
        <v>52</v>
      </c>
      <c r="M606" s="6" t="s">
        <v>53</v>
      </c>
      <c r="N606" s="6">
        <v>4.5199999999999996</v>
      </c>
      <c r="O606" s="4" t="str">
        <f t="shared" si="9"/>
        <v>Excellent</v>
      </c>
      <c r="P606" s="6">
        <v>22</v>
      </c>
    </row>
    <row r="607" spans="1:16" x14ac:dyDescent="0.3">
      <c r="A607" s="6" t="s">
        <v>1267</v>
      </c>
      <c r="B607" s="6">
        <v>39</v>
      </c>
      <c r="C607" s="6" t="s">
        <v>62</v>
      </c>
      <c r="D607" s="6" t="s">
        <v>26</v>
      </c>
      <c r="E607" s="6" t="s">
        <v>27</v>
      </c>
      <c r="F607" s="6">
        <v>1606</v>
      </c>
      <c r="G607" s="6">
        <v>85472.35</v>
      </c>
      <c r="H607" s="7">
        <v>38214</v>
      </c>
      <c r="I607" s="6" t="s">
        <v>56</v>
      </c>
      <c r="J607" s="6" t="s">
        <v>1268</v>
      </c>
      <c r="K607" s="6" t="s">
        <v>21</v>
      </c>
      <c r="L607" s="6" t="s">
        <v>22</v>
      </c>
      <c r="M607" s="6" t="s">
        <v>23</v>
      </c>
      <c r="N607" s="6">
        <v>2.19</v>
      </c>
      <c r="O607" s="4" t="str">
        <f t="shared" si="9"/>
        <v>Average</v>
      </c>
      <c r="P607" s="6">
        <v>19</v>
      </c>
    </row>
    <row r="608" spans="1:16" x14ac:dyDescent="0.3">
      <c r="A608" s="6" t="s">
        <v>1269</v>
      </c>
      <c r="B608" s="6">
        <v>27</v>
      </c>
      <c r="C608" s="6" t="s">
        <v>16</v>
      </c>
      <c r="D608" s="6" t="s">
        <v>17</v>
      </c>
      <c r="E608" s="6" t="s">
        <v>34</v>
      </c>
      <c r="F608" s="6">
        <v>1607</v>
      </c>
      <c r="G608" s="6">
        <v>122192.26</v>
      </c>
      <c r="H608" s="7">
        <v>41444</v>
      </c>
      <c r="I608" s="6" t="s">
        <v>63</v>
      </c>
      <c r="J608" s="6" t="s">
        <v>1270</v>
      </c>
      <c r="K608" s="6" t="s">
        <v>30</v>
      </c>
      <c r="L608" s="6" t="s">
        <v>31</v>
      </c>
      <c r="M608" s="6" t="s">
        <v>32</v>
      </c>
      <c r="N608" s="6">
        <v>4.6500000000000004</v>
      </c>
      <c r="O608" s="4" t="str">
        <f t="shared" si="9"/>
        <v>Excellent</v>
      </c>
      <c r="P608" s="6">
        <v>24</v>
      </c>
    </row>
    <row r="609" spans="1:16" x14ac:dyDescent="0.3">
      <c r="A609" s="6" t="s">
        <v>1271</v>
      </c>
      <c r="B609" s="6">
        <v>52</v>
      </c>
      <c r="C609" s="6" t="s">
        <v>16</v>
      </c>
      <c r="D609" s="6" t="s">
        <v>26</v>
      </c>
      <c r="E609" s="6" t="s">
        <v>27</v>
      </c>
      <c r="F609" s="6">
        <v>1608</v>
      </c>
      <c r="G609" s="6">
        <v>155865.62</v>
      </c>
      <c r="H609" s="7">
        <v>39009</v>
      </c>
      <c r="I609" s="6" t="s">
        <v>66</v>
      </c>
      <c r="J609" s="6" t="s">
        <v>1272</v>
      </c>
      <c r="K609" s="6" t="s">
        <v>37</v>
      </c>
      <c r="L609" s="6" t="s">
        <v>38</v>
      </c>
      <c r="M609" s="6" t="s">
        <v>39</v>
      </c>
      <c r="N609" s="6">
        <v>4.0599999999999996</v>
      </c>
      <c r="O609" s="4" t="str">
        <f t="shared" si="9"/>
        <v>Excellent</v>
      </c>
      <c r="P609" s="6">
        <v>128</v>
      </c>
    </row>
    <row r="610" spans="1:16" x14ac:dyDescent="0.3">
      <c r="A610" s="6" t="s">
        <v>1273</v>
      </c>
      <c r="B610" s="6">
        <v>46</v>
      </c>
      <c r="C610" s="6" t="s">
        <v>25</v>
      </c>
      <c r="D610" s="6" t="s">
        <v>26</v>
      </c>
      <c r="E610" s="6" t="s">
        <v>48</v>
      </c>
      <c r="F610" s="6">
        <v>1609</v>
      </c>
      <c r="G610" s="6">
        <v>66372.600000000006</v>
      </c>
      <c r="H610" s="7">
        <v>43513</v>
      </c>
      <c r="I610" s="6" t="s">
        <v>70</v>
      </c>
      <c r="J610" s="6" t="s">
        <v>1274</v>
      </c>
      <c r="K610" s="6" t="s">
        <v>43</v>
      </c>
      <c r="L610" s="6" t="s">
        <v>44</v>
      </c>
      <c r="M610" s="6" t="s">
        <v>45</v>
      </c>
      <c r="N610" s="6">
        <v>2.36</v>
      </c>
      <c r="O610" s="4" t="str">
        <f t="shared" si="9"/>
        <v>Average</v>
      </c>
      <c r="P610" s="6">
        <v>154</v>
      </c>
    </row>
    <row r="611" spans="1:16" x14ac:dyDescent="0.3">
      <c r="A611" s="6" t="s">
        <v>1275</v>
      </c>
      <c r="B611" s="6">
        <v>25</v>
      </c>
      <c r="C611" s="6" t="s">
        <v>62</v>
      </c>
      <c r="D611" s="6" t="s">
        <v>47</v>
      </c>
      <c r="E611" s="6" t="s">
        <v>80</v>
      </c>
      <c r="F611" s="6">
        <v>1610</v>
      </c>
      <c r="G611" s="6">
        <v>176904.31</v>
      </c>
      <c r="H611" s="7">
        <v>43479</v>
      </c>
      <c r="I611" s="6" t="s">
        <v>73</v>
      </c>
      <c r="J611" s="6" t="s">
        <v>1276</v>
      </c>
      <c r="K611" s="6" t="s">
        <v>51</v>
      </c>
      <c r="L611" s="6" t="s">
        <v>52</v>
      </c>
      <c r="M611" s="6" t="s">
        <v>53</v>
      </c>
      <c r="N611" s="6">
        <v>4.49</v>
      </c>
      <c r="O611" s="4" t="str">
        <f t="shared" si="9"/>
        <v>Excellent</v>
      </c>
      <c r="P611" s="6">
        <v>55</v>
      </c>
    </row>
    <row r="612" spans="1:16" x14ac:dyDescent="0.3">
      <c r="A612" s="6" t="s">
        <v>1277</v>
      </c>
      <c r="B612" s="6">
        <v>27</v>
      </c>
      <c r="C612" s="6" t="s">
        <v>25</v>
      </c>
      <c r="D612" s="6" t="s">
        <v>26</v>
      </c>
      <c r="E612" s="6" t="s">
        <v>80</v>
      </c>
      <c r="F612" s="6">
        <v>1611</v>
      </c>
      <c r="G612" s="6">
        <v>163598.23000000001</v>
      </c>
      <c r="H612" s="7">
        <v>38571</v>
      </c>
      <c r="I612" s="6" t="s">
        <v>19</v>
      </c>
      <c r="J612" s="6" t="s">
        <v>1278</v>
      </c>
      <c r="K612" s="6" t="s">
        <v>21</v>
      </c>
      <c r="L612" s="6" t="s">
        <v>22</v>
      </c>
      <c r="M612" s="6" t="s">
        <v>23</v>
      </c>
      <c r="N612" s="6">
        <v>1</v>
      </c>
      <c r="O612" s="4" t="str">
        <f t="shared" si="9"/>
        <v>Poor</v>
      </c>
      <c r="P612" s="6">
        <v>33</v>
      </c>
    </row>
    <row r="613" spans="1:16" x14ac:dyDescent="0.3">
      <c r="A613" s="6" t="s">
        <v>1279</v>
      </c>
      <c r="B613" s="6">
        <v>62</v>
      </c>
      <c r="C613" s="6" t="s">
        <v>16</v>
      </c>
      <c r="D613" s="6" t="s">
        <v>55</v>
      </c>
      <c r="E613" s="6" t="s">
        <v>80</v>
      </c>
      <c r="F613" s="6">
        <v>1612</v>
      </c>
      <c r="G613" s="6">
        <v>146340.24</v>
      </c>
      <c r="H613" s="7">
        <v>44469</v>
      </c>
      <c r="I613" s="6" t="s">
        <v>28</v>
      </c>
      <c r="J613" s="6" t="s">
        <v>1280</v>
      </c>
      <c r="K613" s="6" t="s">
        <v>30</v>
      </c>
      <c r="L613" s="6" t="s">
        <v>31</v>
      </c>
      <c r="M613" s="6" t="s">
        <v>32</v>
      </c>
      <c r="N613" s="6">
        <v>1.6</v>
      </c>
      <c r="O613" s="4" t="str">
        <f t="shared" si="9"/>
        <v>Poor</v>
      </c>
      <c r="P613" s="6">
        <v>25</v>
      </c>
    </row>
    <row r="614" spans="1:16" x14ac:dyDescent="0.3">
      <c r="A614" s="6" t="s">
        <v>1281</v>
      </c>
      <c r="B614" s="6">
        <v>58</v>
      </c>
      <c r="C614" s="6" t="s">
        <v>16</v>
      </c>
      <c r="D614" s="6" t="s">
        <v>69</v>
      </c>
      <c r="E614" s="6" t="s">
        <v>18</v>
      </c>
      <c r="F614" s="6">
        <v>1613</v>
      </c>
      <c r="G614" s="6">
        <v>116439.74</v>
      </c>
      <c r="H614" s="7">
        <v>37534</v>
      </c>
      <c r="I614" s="6" t="s">
        <v>35</v>
      </c>
      <c r="J614" s="6" t="s">
        <v>1282</v>
      </c>
      <c r="K614" s="6" t="s">
        <v>37</v>
      </c>
      <c r="L614" s="6" t="s">
        <v>38</v>
      </c>
      <c r="M614" s="6" t="s">
        <v>39</v>
      </c>
      <c r="N614" s="6">
        <v>2.79</v>
      </c>
      <c r="O614" s="4" t="str">
        <f t="shared" si="9"/>
        <v>Average</v>
      </c>
      <c r="P614" s="6">
        <v>5</v>
      </c>
    </row>
    <row r="615" spans="1:16" x14ac:dyDescent="0.3">
      <c r="A615" s="6" t="s">
        <v>1283</v>
      </c>
      <c r="B615" s="6">
        <v>46</v>
      </c>
      <c r="C615" s="6" t="s">
        <v>25</v>
      </c>
      <c r="D615" s="6" t="s">
        <v>17</v>
      </c>
      <c r="E615" s="6" t="s">
        <v>80</v>
      </c>
      <c r="F615" s="6">
        <v>1614</v>
      </c>
      <c r="G615" s="6">
        <v>172137.66</v>
      </c>
      <c r="H615" s="7">
        <v>41909</v>
      </c>
      <c r="I615" s="6" t="s">
        <v>41</v>
      </c>
      <c r="J615" s="6" t="s">
        <v>1284</v>
      </c>
      <c r="K615" s="6" t="s">
        <v>43</v>
      </c>
      <c r="L615" s="6" t="s">
        <v>44</v>
      </c>
      <c r="M615" s="6" t="s">
        <v>45</v>
      </c>
      <c r="N615" s="6">
        <v>1.37</v>
      </c>
      <c r="O615" s="4" t="str">
        <f t="shared" si="9"/>
        <v>Poor</v>
      </c>
      <c r="P615" s="6">
        <v>127</v>
      </c>
    </row>
    <row r="616" spans="1:16" x14ac:dyDescent="0.3">
      <c r="A616" s="6" t="s">
        <v>1285</v>
      </c>
      <c r="B616" s="6">
        <v>55</v>
      </c>
      <c r="C616" s="6" t="s">
        <v>62</v>
      </c>
      <c r="D616" s="6" t="s">
        <v>47</v>
      </c>
      <c r="E616" s="6" t="s">
        <v>18</v>
      </c>
      <c r="F616" s="6">
        <v>1615</v>
      </c>
      <c r="G616" s="6">
        <v>107062.89</v>
      </c>
      <c r="H616" s="7">
        <v>43051</v>
      </c>
      <c r="I616" s="6" t="s">
        <v>49</v>
      </c>
      <c r="J616" s="6" t="s">
        <v>1286</v>
      </c>
      <c r="K616" s="6" t="s">
        <v>51</v>
      </c>
      <c r="L616" s="6" t="s">
        <v>52</v>
      </c>
      <c r="M616" s="6" t="s">
        <v>53</v>
      </c>
      <c r="N616" s="6">
        <v>1.46</v>
      </c>
      <c r="O616" s="4" t="str">
        <f t="shared" si="9"/>
        <v>Poor</v>
      </c>
      <c r="P616" s="6">
        <v>81</v>
      </c>
    </row>
    <row r="617" spans="1:16" x14ac:dyDescent="0.3">
      <c r="A617" s="6" t="s">
        <v>1287</v>
      </c>
      <c r="B617" s="6">
        <v>40</v>
      </c>
      <c r="C617" s="6" t="s">
        <v>16</v>
      </c>
      <c r="D617" s="6" t="s">
        <v>69</v>
      </c>
      <c r="E617" s="6" t="s">
        <v>80</v>
      </c>
      <c r="F617" s="6">
        <v>1616</v>
      </c>
      <c r="G617" s="6">
        <v>79768.45</v>
      </c>
      <c r="H617" s="7">
        <v>36944</v>
      </c>
      <c r="I617" s="6" t="s">
        <v>56</v>
      </c>
      <c r="J617" s="6" t="s">
        <v>1288</v>
      </c>
      <c r="K617" s="6" t="s">
        <v>21</v>
      </c>
      <c r="L617" s="6" t="s">
        <v>22</v>
      </c>
      <c r="M617" s="6" t="s">
        <v>23</v>
      </c>
      <c r="N617" s="6">
        <v>2.75</v>
      </c>
      <c r="O617" s="4" t="str">
        <f t="shared" si="9"/>
        <v>Average</v>
      </c>
      <c r="P617" s="6">
        <v>106</v>
      </c>
    </row>
    <row r="618" spans="1:16" x14ac:dyDescent="0.3">
      <c r="A618" s="6" t="s">
        <v>1289</v>
      </c>
      <c r="B618" s="6">
        <v>55</v>
      </c>
      <c r="C618" s="6" t="s">
        <v>16</v>
      </c>
      <c r="D618" s="6" t="s">
        <v>47</v>
      </c>
      <c r="E618" s="6" t="s">
        <v>27</v>
      </c>
      <c r="F618" s="6">
        <v>1617</v>
      </c>
      <c r="G618" s="6">
        <v>79643.06</v>
      </c>
      <c r="H618" s="7">
        <v>38944</v>
      </c>
      <c r="I618" s="6" t="s">
        <v>63</v>
      </c>
      <c r="J618" s="6" t="s">
        <v>1290</v>
      </c>
      <c r="K618" s="6" t="s">
        <v>30</v>
      </c>
      <c r="L618" s="6" t="s">
        <v>31</v>
      </c>
      <c r="M618" s="6" t="s">
        <v>32</v>
      </c>
      <c r="N618" s="6">
        <v>3.97</v>
      </c>
      <c r="O618" s="4" t="str">
        <f t="shared" si="9"/>
        <v>Good</v>
      </c>
      <c r="P618" s="6">
        <v>5</v>
      </c>
    </row>
    <row r="619" spans="1:16" x14ac:dyDescent="0.3">
      <c r="A619" s="6" t="s">
        <v>1291</v>
      </c>
      <c r="B619" s="6">
        <v>36</v>
      </c>
      <c r="C619" s="6" t="s">
        <v>62</v>
      </c>
      <c r="D619" s="6" t="s">
        <v>55</v>
      </c>
      <c r="E619" s="6" t="s">
        <v>27</v>
      </c>
      <c r="F619" s="6">
        <v>1618</v>
      </c>
      <c r="G619" s="6">
        <v>186910.81</v>
      </c>
      <c r="H619" s="7">
        <v>37907</v>
      </c>
      <c r="I619" s="6" t="s">
        <v>66</v>
      </c>
      <c r="J619" s="6" t="s">
        <v>1292</v>
      </c>
      <c r="K619" s="6" t="s">
        <v>37</v>
      </c>
      <c r="L619" s="6" t="s">
        <v>38</v>
      </c>
      <c r="M619" s="6" t="s">
        <v>39</v>
      </c>
      <c r="N619" s="6">
        <v>1.6</v>
      </c>
      <c r="O619" s="4" t="str">
        <f t="shared" si="9"/>
        <v>Poor</v>
      </c>
      <c r="P619" s="6">
        <v>90</v>
      </c>
    </row>
    <row r="620" spans="1:16" x14ac:dyDescent="0.3">
      <c r="A620" s="6" t="s">
        <v>1293</v>
      </c>
      <c r="B620" s="6">
        <v>29</v>
      </c>
      <c r="C620" s="6" t="s">
        <v>16</v>
      </c>
      <c r="D620" s="6" t="s">
        <v>69</v>
      </c>
      <c r="E620" s="6" t="s">
        <v>80</v>
      </c>
      <c r="F620" s="6">
        <v>1619</v>
      </c>
      <c r="G620" s="6">
        <v>139021.10999999999</v>
      </c>
      <c r="H620" s="7">
        <v>42378</v>
      </c>
      <c r="I620" s="6" t="s">
        <v>70</v>
      </c>
      <c r="J620" s="6" t="s">
        <v>1294</v>
      </c>
      <c r="K620" s="6" t="s">
        <v>43</v>
      </c>
      <c r="L620" s="6" t="s">
        <v>44</v>
      </c>
      <c r="M620" s="6" t="s">
        <v>45</v>
      </c>
      <c r="N620" s="6">
        <v>4.5</v>
      </c>
      <c r="O620" s="4" t="str">
        <f t="shared" si="9"/>
        <v>Excellent</v>
      </c>
      <c r="P620" s="6">
        <v>41</v>
      </c>
    </row>
    <row r="621" spans="1:16" x14ac:dyDescent="0.3">
      <c r="A621" s="6" t="s">
        <v>1295</v>
      </c>
      <c r="B621" s="6">
        <v>55</v>
      </c>
      <c r="C621" s="6" t="s">
        <v>62</v>
      </c>
      <c r="D621" s="6" t="s">
        <v>17</v>
      </c>
      <c r="E621" s="6" t="s">
        <v>80</v>
      </c>
      <c r="F621" s="6">
        <v>1620</v>
      </c>
      <c r="G621" s="6">
        <v>86153.05</v>
      </c>
      <c r="H621" s="7">
        <v>38188</v>
      </c>
      <c r="I621" s="6" t="s">
        <v>73</v>
      </c>
      <c r="J621" s="6" t="s">
        <v>1296</v>
      </c>
      <c r="K621" s="6" t="s">
        <v>51</v>
      </c>
      <c r="L621" s="6" t="s">
        <v>52</v>
      </c>
      <c r="M621" s="6" t="s">
        <v>53</v>
      </c>
      <c r="N621" s="6">
        <v>3.6</v>
      </c>
      <c r="O621" s="4" t="str">
        <f t="shared" si="9"/>
        <v>Good</v>
      </c>
      <c r="P621" s="6">
        <v>78</v>
      </c>
    </row>
    <row r="622" spans="1:16" x14ac:dyDescent="0.3">
      <c r="A622" s="6" t="s">
        <v>1297</v>
      </c>
      <c r="B622" s="6">
        <v>39</v>
      </c>
      <c r="C622" s="6" t="s">
        <v>62</v>
      </c>
      <c r="D622" s="6" t="s">
        <v>26</v>
      </c>
      <c r="E622" s="6" t="s">
        <v>18</v>
      </c>
      <c r="F622" s="6">
        <v>1621</v>
      </c>
      <c r="G622" s="6">
        <v>84826.23</v>
      </c>
      <c r="H622" s="7">
        <v>38130</v>
      </c>
      <c r="I622" s="6" t="s">
        <v>19</v>
      </c>
      <c r="J622" s="6" t="s">
        <v>1298</v>
      </c>
      <c r="K622" s="6" t="s">
        <v>21</v>
      </c>
      <c r="L622" s="6" t="s">
        <v>22</v>
      </c>
      <c r="M622" s="6" t="s">
        <v>23</v>
      </c>
      <c r="N622" s="6">
        <v>4.63</v>
      </c>
      <c r="O622" s="4" t="str">
        <f t="shared" si="9"/>
        <v>Excellent</v>
      </c>
      <c r="P622" s="6">
        <v>144</v>
      </c>
    </row>
    <row r="623" spans="1:16" x14ac:dyDescent="0.3">
      <c r="A623" s="6" t="s">
        <v>1299</v>
      </c>
      <c r="B623" s="6">
        <v>51</v>
      </c>
      <c r="C623" s="6" t="s">
        <v>16</v>
      </c>
      <c r="D623" s="6" t="s">
        <v>26</v>
      </c>
      <c r="E623" s="6" t="s">
        <v>18</v>
      </c>
      <c r="F623" s="6">
        <v>1622</v>
      </c>
      <c r="G623" s="6">
        <v>121962.51</v>
      </c>
      <c r="H623" s="7">
        <v>43703</v>
      </c>
      <c r="I623" s="6" t="s">
        <v>28</v>
      </c>
      <c r="J623" s="6" t="s">
        <v>1300</v>
      </c>
      <c r="K623" s="6" t="s">
        <v>30</v>
      </c>
      <c r="L623" s="6" t="s">
        <v>31</v>
      </c>
      <c r="M623" s="6" t="s">
        <v>32</v>
      </c>
      <c r="N623" s="6">
        <v>4.92</v>
      </c>
      <c r="O623" s="4" t="str">
        <f t="shared" si="9"/>
        <v>Excellent</v>
      </c>
      <c r="P623" s="6">
        <v>51</v>
      </c>
    </row>
    <row r="624" spans="1:16" x14ac:dyDescent="0.3">
      <c r="A624" s="6" t="s">
        <v>1301</v>
      </c>
      <c r="B624" s="6">
        <v>34</v>
      </c>
      <c r="C624" s="6" t="s">
        <v>25</v>
      </c>
      <c r="D624" s="6" t="s">
        <v>69</v>
      </c>
      <c r="E624" s="6" t="s">
        <v>18</v>
      </c>
      <c r="F624" s="6">
        <v>1623</v>
      </c>
      <c r="G624" s="6">
        <v>133995.53</v>
      </c>
      <c r="H624" s="7">
        <v>41984</v>
      </c>
      <c r="I624" s="6" t="s">
        <v>35</v>
      </c>
      <c r="J624" s="6" t="s">
        <v>1302</v>
      </c>
      <c r="K624" s="6" t="s">
        <v>37</v>
      </c>
      <c r="L624" s="6" t="s">
        <v>38</v>
      </c>
      <c r="M624" s="6" t="s">
        <v>39</v>
      </c>
      <c r="N624" s="6">
        <v>2.12</v>
      </c>
      <c r="O624" s="4" t="str">
        <f t="shared" si="9"/>
        <v>Average</v>
      </c>
      <c r="P624" s="6">
        <v>180</v>
      </c>
    </row>
    <row r="625" spans="1:16" x14ac:dyDescent="0.3">
      <c r="A625" s="6" t="s">
        <v>1303</v>
      </c>
      <c r="B625" s="6">
        <v>54</v>
      </c>
      <c r="C625" s="6" t="s">
        <v>16</v>
      </c>
      <c r="D625" s="6" t="s">
        <v>47</v>
      </c>
      <c r="E625" s="6" t="s">
        <v>48</v>
      </c>
      <c r="F625" s="6">
        <v>1624</v>
      </c>
      <c r="G625" s="6">
        <v>184492.29</v>
      </c>
      <c r="H625" s="7">
        <v>44058</v>
      </c>
      <c r="I625" s="6" t="s">
        <v>41</v>
      </c>
      <c r="J625" s="6" t="s">
        <v>1304</v>
      </c>
      <c r="K625" s="6" t="s">
        <v>43</v>
      </c>
      <c r="L625" s="6" t="s">
        <v>44</v>
      </c>
      <c r="M625" s="6" t="s">
        <v>45</v>
      </c>
      <c r="N625" s="6">
        <v>3.43</v>
      </c>
      <c r="O625" s="4" t="str">
        <f t="shared" si="9"/>
        <v>Good</v>
      </c>
      <c r="P625" s="6">
        <v>188</v>
      </c>
    </row>
    <row r="626" spans="1:16" x14ac:dyDescent="0.3">
      <c r="A626" s="6" t="s">
        <v>1305</v>
      </c>
      <c r="B626" s="6">
        <v>56</v>
      </c>
      <c r="C626" s="6" t="s">
        <v>16</v>
      </c>
      <c r="D626" s="6" t="s">
        <v>17</v>
      </c>
      <c r="E626" s="6" t="s">
        <v>18</v>
      </c>
      <c r="F626" s="6">
        <v>1625</v>
      </c>
      <c r="G626" s="6">
        <v>88349.22</v>
      </c>
      <c r="H626" s="7">
        <v>40204</v>
      </c>
      <c r="I626" s="6" t="s">
        <v>49</v>
      </c>
      <c r="J626" s="6" t="s">
        <v>1306</v>
      </c>
      <c r="K626" s="6" t="s">
        <v>51</v>
      </c>
      <c r="L626" s="6" t="s">
        <v>52</v>
      </c>
      <c r="M626" s="6" t="s">
        <v>53</v>
      </c>
      <c r="N626" s="6">
        <v>4</v>
      </c>
      <c r="O626" s="4" t="str">
        <f t="shared" si="9"/>
        <v>Excellent</v>
      </c>
      <c r="P626" s="6">
        <v>93</v>
      </c>
    </row>
    <row r="627" spans="1:16" x14ac:dyDescent="0.3">
      <c r="A627" s="6" t="s">
        <v>1307</v>
      </c>
      <c r="B627" s="6">
        <v>45</v>
      </c>
      <c r="C627" s="6" t="s">
        <v>16</v>
      </c>
      <c r="D627" s="6" t="s">
        <v>26</v>
      </c>
      <c r="E627" s="6" t="s">
        <v>18</v>
      </c>
      <c r="F627" s="6">
        <v>1626</v>
      </c>
      <c r="G627" s="6">
        <v>149020.12</v>
      </c>
      <c r="H627" s="7">
        <v>42413</v>
      </c>
      <c r="I627" s="6" t="s">
        <v>56</v>
      </c>
      <c r="J627" s="6" t="s">
        <v>1308</v>
      </c>
      <c r="K627" s="6" t="s">
        <v>21</v>
      </c>
      <c r="L627" s="6" t="s">
        <v>22</v>
      </c>
      <c r="M627" s="6" t="s">
        <v>23</v>
      </c>
      <c r="N627" s="6">
        <v>4.18</v>
      </c>
      <c r="O627" s="4" t="str">
        <f t="shared" si="9"/>
        <v>Excellent</v>
      </c>
      <c r="P627" s="6">
        <v>68</v>
      </c>
    </row>
    <row r="628" spans="1:16" x14ac:dyDescent="0.3">
      <c r="A628" s="6" t="s">
        <v>1309</v>
      </c>
      <c r="B628" s="6">
        <v>47</v>
      </c>
      <c r="C628" s="6" t="s">
        <v>16</v>
      </c>
      <c r="D628" s="6" t="s">
        <v>69</v>
      </c>
      <c r="E628" s="6" t="s">
        <v>48</v>
      </c>
      <c r="F628" s="6">
        <v>1627</v>
      </c>
      <c r="G628" s="6">
        <v>158918.78</v>
      </c>
      <c r="H628" s="7">
        <v>38608</v>
      </c>
      <c r="I628" s="6" t="s">
        <v>63</v>
      </c>
      <c r="J628" s="6" t="s">
        <v>1310</v>
      </c>
      <c r="K628" s="6" t="s">
        <v>30</v>
      </c>
      <c r="L628" s="6" t="s">
        <v>31</v>
      </c>
      <c r="M628" s="6" t="s">
        <v>32</v>
      </c>
      <c r="N628" s="6">
        <v>4.6100000000000003</v>
      </c>
      <c r="O628" s="4" t="str">
        <f t="shared" si="9"/>
        <v>Excellent</v>
      </c>
      <c r="P628" s="6">
        <v>1</v>
      </c>
    </row>
    <row r="629" spans="1:16" x14ac:dyDescent="0.3">
      <c r="A629" s="6" t="s">
        <v>1311</v>
      </c>
      <c r="B629" s="6">
        <v>63</v>
      </c>
      <c r="C629" s="6" t="s">
        <v>25</v>
      </c>
      <c r="D629" s="6" t="s">
        <v>69</v>
      </c>
      <c r="E629" s="6" t="s">
        <v>80</v>
      </c>
      <c r="F629" s="6">
        <v>1628</v>
      </c>
      <c r="G629" s="6">
        <v>182301.05</v>
      </c>
      <c r="H629" s="7">
        <v>36699</v>
      </c>
      <c r="I629" s="6" t="s">
        <v>66</v>
      </c>
      <c r="J629" s="6" t="s">
        <v>1312</v>
      </c>
      <c r="K629" s="6" t="s">
        <v>37</v>
      </c>
      <c r="L629" s="6" t="s">
        <v>38</v>
      </c>
      <c r="M629" s="6" t="s">
        <v>39</v>
      </c>
      <c r="N629" s="6">
        <v>1.06</v>
      </c>
      <c r="O629" s="4" t="str">
        <f t="shared" si="9"/>
        <v>Poor</v>
      </c>
      <c r="P629" s="6">
        <v>18</v>
      </c>
    </row>
    <row r="630" spans="1:16" x14ac:dyDescent="0.3">
      <c r="A630" s="6" t="s">
        <v>1313</v>
      </c>
      <c r="B630" s="6">
        <v>22</v>
      </c>
      <c r="C630" s="6" t="s">
        <v>25</v>
      </c>
      <c r="D630" s="6" t="s">
        <v>55</v>
      </c>
      <c r="E630" s="6" t="s">
        <v>34</v>
      </c>
      <c r="F630" s="6">
        <v>1629</v>
      </c>
      <c r="G630" s="6">
        <v>181295.7</v>
      </c>
      <c r="H630" s="7">
        <v>40002</v>
      </c>
      <c r="I630" s="6" t="s">
        <v>70</v>
      </c>
      <c r="J630" s="6" t="s">
        <v>1314</v>
      </c>
      <c r="K630" s="6" t="s">
        <v>43</v>
      </c>
      <c r="L630" s="6" t="s">
        <v>44</v>
      </c>
      <c r="M630" s="6" t="s">
        <v>45</v>
      </c>
      <c r="N630" s="6">
        <v>2.42</v>
      </c>
      <c r="O630" s="4" t="str">
        <f t="shared" si="9"/>
        <v>Average</v>
      </c>
      <c r="P630" s="6">
        <v>112</v>
      </c>
    </row>
    <row r="631" spans="1:16" x14ac:dyDescent="0.3">
      <c r="A631" s="6" t="s">
        <v>1315</v>
      </c>
      <c r="B631" s="6">
        <v>34</v>
      </c>
      <c r="C631" s="6" t="s">
        <v>25</v>
      </c>
      <c r="D631" s="6" t="s">
        <v>17</v>
      </c>
      <c r="E631" s="6" t="s">
        <v>48</v>
      </c>
      <c r="F631" s="6">
        <v>1630</v>
      </c>
      <c r="G631" s="6">
        <v>135718.99</v>
      </c>
      <c r="H631" s="7">
        <v>39302</v>
      </c>
      <c r="I631" s="6" t="s">
        <v>73</v>
      </c>
      <c r="J631" s="6" t="s">
        <v>1316</v>
      </c>
      <c r="K631" s="6" t="s">
        <v>51</v>
      </c>
      <c r="L631" s="6" t="s">
        <v>52</v>
      </c>
      <c r="M631" s="6" t="s">
        <v>53</v>
      </c>
      <c r="N631" s="6">
        <v>2.9</v>
      </c>
      <c r="O631" s="4" t="str">
        <f t="shared" si="9"/>
        <v>Average</v>
      </c>
      <c r="P631" s="6">
        <v>78</v>
      </c>
    </row>
    <row r="632" spans="1:16" x14ac:dyDescent="0.3">
      <c r="A632" s="6" t="s">
        <v>1317</v>
      </c>
      <c r="B632" s="6">
        <v>31</v>
      </c>
      <c r="C632" s="6" t="s">
        <v>62</v>
      </c>
      <c r="D632" s="6" t="s">
        <v>17</v>
      </c>
      <c r="E632" s="6" t="s">
        <v>18</v>
      </c>
      <c r="F632" s="6">
        <v>1631</v>
      </c>
      <c r="G632" s="6">
        <v>98972.26</v>
      </c>
      <c r="H632" s="7">
        <v>36669</v>
      </c>
      <c r="I632" s="6" t="s">
        <v>19</v>
      </c>
      <c r="J632" s="6" t="s">
        <v>1318</v>
      </c>
      <c r="K632" s="6" t="s">
        <v>21</v>
      </c>
      <c r="L632" s="6" t="s">
        <v>22</v>
      </c>
      <c r="M632" s="6" t="s">
        <v>23</v>
      </c>
      <c r="N632" s="6">
        <v>2.88</v>
      </c>
      <c r="O632" s="4" t="str">
        <f t="shared" si="9"/>
        <v>Average</v>
      </c>
      <c r="P632" s="6">
        <v>138</v>
      </c>
    </row>
    <row r="633" spans="1:16" x14ac:dyDescent="0.3">
      <c r="A633" s="6" t="s">
        <v>1319</v>
      </c>
      <c r="B633" s="6">
        <v>40</v>
      </c>
      <c r="C633" s="6" t="s">
        <v>25</v>
      </c>
      <c r="D633" s="6" t="s">
        <v>47</v>
      </c>
      <c r="E633" s="6" t="s">
        <v>48</v>
      </c>
      <c r="F633" s="6">
        <v>1632</v>
      </c>
      <c r="G633" s="6">
        <v>93392.17</v>
      </c>
      <c r="H633" s="7">
        <v>36581</v>
      </c>
      <c r="I633" s="6" t="s">
        <v>28</v>
      </c>
      <c r="J633" s="6" t="s">
        <v>1320</v>
      </c>
      <c r="K633" s="6" t="s">
        <v>30</v>
      </c>
      <c r="L633" s="6" t="s">
        <v>31</v>
      </c>
      <c r="M633" s="6" t="s">
        <v>32</v>
      </c>
      <c r="N633" s="6">
        <v>2.34</v>
      </c>
      <c r="O633" s="4" t="str">
        <f t="shared" si="9"/>
        <v>Average</v>
      </c>
      <c r="P633" s="6">
        <v>141</v>
      </c>
    </row>
    <row r="634" spans="1:16" x14ac:dyDescent="0.3">
      <c r="A634" s="6" t="s">
        <v>1321</v>
      </c>
      <c r="B634" s="6">
        <v>26</v>
      </c>
      <c r="C634" s="6" t="s">
        <v>62</v>
      </c>
      <c r="D634" s="6" t="s">
        <v>47</v>
      </c>
      <c r="E634" s="6" t="s">
        <v>27</v>
      </c>
      <c r="F634" s="6">
        <v>1633</v>
      </c>
      <c r="G634" s="6">
        <v>153205.43</v>
      </c>
      <c r="H634" s="7">
        <v>40564</v>
      </c>
      <c r="I634" s="6" t="s">
        <v>35</v>
      </c>
      <c r="J634" s="6" t="s">
        <v>1322</v>
      </c>
      <c r="K634" s="6" t="s">
        <v>37</v>
      </c>
      <c r="L634" s="6" t="s">
        <v>38</v>
      </c>
      <c r="M634" s="6" t="s">
        <v>39</v>
      </c>
      <c r="N634" s="6">
        <v>4.8600000000000003</v>
      </c>
      <c r="O634" s="4" t="str">
        <f t="shared" si="9"/>
        <v>Excellent</v>
      </c>
      <c r="P634" s="6">
        <v>137</v>
      </c>
    </row>
    <row r="635" spans="1:16" x14ac:dyDescent="0.3">
      <c r="A635" s="6" t="s">
        <v>1323</v>
      </c>
      <c r="B635" s="6">
        <v>29</v>
      </c>
      <c r="C635" s="6" t="s">
        <v>16</v>
      </c>
      <c r="D635" s="6" t="s">
        <v>69</v>
      </c>
      <c r="E635" s="6" t="s">
        <v>27</v>
      </c>
      <c r="F635" s="6">
        <v>1634</v>
      </c>
      <c r="G635" s="6">
        <v>169668.18</v>
      </c>
      <c r="H635" s="7">
        <v>43840</v>
      </c>
      <c r="I635" s="6" t="s">
        <v>41</v>
      </c>
      <c r="J635" s="6" t="s">
        <v>1324</v>
      </c>
      <c r="K635" s="6" t="s">
        <v>43</v>
      </c>
      <c r="L635" s="6" t="s">
        <v>44</v>
      </c>
      <c r="M635" s="6" t="s">
        <v>45</v>
      </c>
      <c r="N635" s="6">
        <v>1.23</v>
      </c>
      <c r="O635" s="4" t="str">
        <f t="shared" si="9"/>
        <v>Poor</v>
      </c>
      <c r="P635" s="6">
        <v>63</v>
      </c>
    </row>
    <row r="636" spans="1:16" x14ac:dyDescent="0.3">
      <c r="A636" s="6" t="s">
        <v>1325</v>
      </c>
      <c r="B636" s="6">
        <v>25</v>
      </c>
      <c r="C636" s="6" t="s">
        <v>25</v>
      </c>
      <c r="D636" s="6" t="s">
        <v>55</v>
      </c>
      <c r="E636" s="6" t="s">
        <v>80</v>
      </c>
      <c r="F636" s="6">
        <v>1635</v>
      </c>
      <c r="G636" s="6">
        <v>111696.18</v>
      </c>
      <c r="H636" s="7">
        <v>44171</v>
      </c>
      <c r="I636" s="6" t="s">
        <v>49</v>
      </c>
      <c r="J636" s="6" t="s">
        <v>1326</v>
      </c>
      <c r="K636" s="6" t="s">
        <v>51</v>
      </c>
      <c r="L636" s="6" t="s">
        <v>52</v>
      </c>
      <c r="M636" s="6" t="s">
        <v>53</v>
      </c>
      <c r="N636" s="6">
        <v>4.1399999999999997</v>
      </c>
      <c r="O636" s="4" t="str">
        <f t="shared" si="9"/>
        <v>Excellent</v>
      </c>
      <c r="P636" s="6">
        <v>69</v>
      </c>
    </row>
    <row r="637" spans="1:16" x14ac:dyDescent="0.3">
      <c r="A637" s="6" t="s">
        <v>1327</v>
      </c>
      <c r="B637" s="6">
        <v>34</v>
      </c>
      <c r="C637" s="6" t="s">
        <v>25</v>
      </c>
      <c r="D637" s="6" t="s">
        <v>69</v>
      </c>
      <c r="E637" s="6" t="s">
        <v>18</v>
      </c>
      <c r="F637" s="6">
        <v>1636</v>
      </c>
      <c r="G637" s="6">
        <v>158624.41</v>
      </c>
      <c r="H637" s="7">
        <v>44665</v>
      </c>
      <c r="I637" s="6" t="s">
        <v>56</v>
      </c>
      <c r="J637" s="6" t="s">
        <v>1328</v>
      </c>
      <c r="K637" s="6" t="s">
        <v>21</v>
      </c>
      <c r="L637" s="6" t="s">
        <v>22</v>
      </c>
      <c r="M637" s="6" t="s">
        <v>23</v>
      </c>
      <c r="N637" s="6">
        <v>2.1</v>
      </c>
      <c r="O637" s="4" t="str">
        <f t="shared" si="9"/>
        <v>Average</v>
      </c>
      <c r="P637" s="6">
        <v>12</v>
      </c>
    </row>
    <row r="638" spans="1:16" x14ac:dyDescent="0.3">
      <c r="A638" s="6" t="s">
        <v>1329</v>
      </c>
      <c r="B638" s="6">
        <v>59</v>
      </c>
      <c r="C638" s="6" t="s">
        <v>25</v>
      </c>
      <c r="D638" s="6" t="s">
        <v>47</v>
      </c>
      <c r="E638" s="6" t="s">
        <v>27</v>
      </c>
      <c r="F638" s="6">
        <v>1637</v>
      </c>
      <c r="G638" s="6">
        <v>64248.01</v>
      </c>
      <c r="H638" s="7">
        <v>41160</v>
      </c>
      <c r="I638" s="6" t="s">
        <v>63</v>
      </c>
      <c r="J638" s="6" t="s">
        <v>1330</v>
      </c>
      <c r="K638" s="6" t="s">
        <v>30</v>
      </c>
      <c r="L638" s="6" t="s">
        <v>31</v>
      </c>
      <c r="M638" s="6" t="s">
        <v>32</v>
      </c>
      <c r="N638" s="6">
        <v>2.5299999999999998</v>
      </c>
      <c r="O638" s="4" t="str">
        <f t="shared" si="9"/>
        <v>Average</v>
      </c>
      <c r="P638" s="6">
        <v>30</v>
      </c>
    </row>
    <row r="639" spans="1:16" x14ac:dyDescent="0.3">
      <c r="A639" s="6" t="s">
        <v>1331</v>
      </c>
      <c r="B639" s="6">
        <v>40</v>
      </c>
      <c r="C639" s="6" t="s">
        <v>25</v>
      </c>
      <c r="D639" s="6" t="s">
        <v>26</v>
      </c>
      <c r="E639" s="6" t="s">
        <v>48</v>
      </c>
      <c r="F639" s="6">
        <v>1638</v>
      </c>
      <c r="G639" s="6">
        <v>68255.63</v>
      </c>
      <c r="H639" s="7">
        <v>40523</v>
      </c>
      <c r="I639" s="6" t="s">
        <v>66</v>
      </c>
      <c r="J639" s="6" t="s">
        <v>1332</v>
      </c>
      <c r="K639" s="6" t="s">
        <v>37</v>
      </c>
      <c r="L639" s="6" t="s">
        <v>38</v>
      </c>
      <c r="M639" s="6" t="s">
        <v>39</v>
      </c>
      <c r="N639" s="6">
        <v>1.56</v>
      </c>
      <c r="O639" s="4" t="str">
        <f t="shared" si="9"/>
        <v>Poor</v>
      </c>
      <c r="P639" s="6">
        <v>32</v>
      </c>
    </row>
    <row r="640" spans="1:16" x14ac:dyDescent="0.3">
      <c r="A640" s="6" t="s">
        <v>1333</v>
      </c>
      <c r="B640" s="6">
        <v>29</v>
      </c>
      <c r="C640" s="6" t="s">
        <v>25</v>
      </c>
      <c r="D640" s="6" t="s">
        <v>55</v>
      </c>
      <c r="E640" s="6" t="s">
        <v>18</v>
      </c>
      <c r="F640" s="6">
        <v>1639</v>
      </c>
      <c r="G640" s="6">
        <v>112412.55</v>
      </c>
      <c r="H640" s="7">
        <v>40630</v>
      </c>
      <c r="I640" s="6" t="s">
        <v>70</v>
      </c>
      <c r="J640" s="6" t="s">
        <v>1334</v>
      </c>
      <c r="K640" s="6" t="s">
        <v>43</v>
      </c>
      <c r="L640" s="6" t="s">
        <v>44</v>
      </c>
      <c r="M640" s="6" t="s">
        <v>45</v>
      </c>
      <c r="N640" s="6">
        <v>3.53</v>
      </c>
      <c r="O640" s="4" t="str">
        <f t="shared" si="9"/>
        <v>Good</v>
      </c>
      <c r="P640" s="6">
        <v>26</v>
      </c>
    </row>
    <row r="641" spans="1:16" x14ac:dyDescent="0.3">
      <c r="A641" s="6" t="s">
        <v>1335</v>
      </c>
      <c r="B641" s="6">
        <v>48</v>
      </c>
      <c r="C641" s="6" t="s">
        <v>16</v>
      </c>
      <c r="D641" s="6" t="s">
        <v>17</v>
      </c>
      <c r="E641" s="6" t="s">
        <v>80</v>
      </c>
      <c r="F641" s="6">
        <v>1640</v>
      </c>
      <c r="G641" s="6">
        <v>158607.1</v>
      </c>
      <c r="H641" s="7">
        <v>39434</v>
      </c>
      <c r="I641" s="6" t="s">
        <v>73</v>
      </c>
      <c r="J641" s="6" t="s">
        <v>1336</v>
      </c>
      <c r="K641" s="6" t="s">
        <v>51</v>
      </c>
      <c r="L641" s="6" t="s">
        <v>52</v>
      </c>
      <c r="M641" s="6" t="s">
        <v>53</v>
      </c>
      <c r="N641" s="6">
        <v>2.0299999999999998</v>
      </c>
      <c r="O641" s="4" t="str">
        <f t="shared" si="9"/>
        <v>Average</v>
      </c>
      <c r="P641" s="6">
        <v>105</v>
      </c>
    </row>
    <row r="642" spans="1:16" x14ac:dyDescent="0.3">
      <c r="A642" s="6" t="s">
        <v>1337</v>
      </c>
      <c r="B642" s="6">
        <v>51</v>
      </c>
      <c r="C642" s="6" t="s">
        <v>25</v>
      </c>
      <c r="D642" s="6" t="s">
        <v>26</v>
      </c>
      <c r="E642" s="6" t="s">
        <v>18</v>
      </c>
      <c r="F642" s="6">
        <v>1641</v>
      </c>
      <c r="G642" s="6">
        <v>187233.17</v>
      </c>
      <c r="H642" s="7">
        <v>37204</v>
      </c>
      <c r="I642" s="6" t="s">
        <v>19</v>
      </c>
      <c r="J642" s="6" t="s">
        <v>1338</v>
      </c>
      <c r="K642" s="6" t="s">
        <v>21</v>
      </c>
      <c r="L642" s="6" t="s">
        <v>22</v>
      </c>
      <c r="M642" s="6" t="s">
        <v>23</v>
      </c>
      <c r="N642" s="6">
        <v>2.09</v>
      </c>
      <c r="O642" s="4" t="str">
        <f t="shared" si="9"/>
        <v>Average</v>
      </c>
      <c r="P642" s="6">
        <v>161</v>
      </c>
    </row>
    <row r="643" spans="1:16" x14ac:dyDescent="0.3">
      <c r="A643" s="6" t="s">
        <v>1339</v>
      </c>
      <c r="B643" s="6">
        <v>25</v>
      </c>
      <c r="C643" s="6" t="s">
        <v>62</v>
      </c>
      <c r="D643" s="6" t="s">
        <v>26</v>
      </c>
      <c r="E643" s="6" t="s">
        <v>18</v>
      </c>
      <c r="F643" s="6">
        <v>1642</v>
      </c>
      <c r="G643" s="6">
        <v>150847.21</v>
      </c>
      <c r="H643" s="7">
        <v>36886</v>
      </c>
      <c r="I643" s="6" t="s">
        <v>28</v>
      </c>
      <c r="J643" s="6" t="s">
        <v>1340</v>
      </c>
      <c r="K643" s="6" t="s">
        <v>30</v>
      </c>
      <c r="L643" s="6" t="s">
        <v>31</v>
      </c>
      <c r="M643" s="6" t="s">
        <v>32</v>
      </c>
      <c r="N643" s="6">
        <v>3.31</v>
      </c>
      <c r="O643" s="4" t="str">
        <f t="shared" ref="O643:O706" si="10">IF(N643&gt;=4,"Excellent",IF(N643&gt;=3,"Good",IF(N643&gt;=2,"Average","Poor")))</f>
        <v>Good</v>
      </c>
      <c r="P643" s="6">
        <v>107</v>
      </c>
    </row>
    <row r="644" spans="1:16" x14ac:dyDescent="0.3">
      <c r="A644" s="6" t="s">
        <v>1341</v>
      </c>
      <c r="B644" s="6">
        <v>32</v>
      </c>
      <c r="C644" s="6" t="s">
        <v>62</v>
      </c>
      <c r="D644" s="6" t="s">
        <v>17</v>
      </c>
      <c r="E644" s="6" t="s">
        <v>48</v>
      </c>
      <c r="F644" s="6">
        <v>1643</v>
      </c>
      <c r="G644" s="6">
        <v>76919.47</v>
      </c>
      <c r="H644" s="7">
        <v>43566</v>
      </c>
      <c r="I644" s="6" t="s">
        <v>35</v>
      </c>
      <c r="J644" s="6" t="s">
        <v>1342</v>
      </c>
      <c r="K644" s="6" t="s">
        <v>37</v>
      </c>
      <c r="L644" s="6" t="s">
        <v>38</v>
      </c>
      <c r="M644" s="6" t="s">
        <v>39</v>
      </c>
      <c r="N644" s="6">
        <v>2.17</v>
      </c>
      <c r="O644" s="4" t="str">
        <f t="shared" si="10"/>
        <v>Average</v>
      </c>
      <c r="P644" s="6">
        <v>94</v>
      </c>
    </row>
    <row r="645" spans="1:16" x14ac:dyDescent="0.3">
      <c r="A645" s="6" t="s">
        <v>1343</v>
      </c>
      <c r="B645" s="6">
        <v>42</v>
      </c>
      <c r="C645" s="6" t="s">
        <v>25</v>
      </c>
      <c r="D645" s="6" t="s">
        <v>69</v>
      </c>
      <c r="E645" s="6" t="s">
        <v>18</v>
      </c>
      <c r="F645" s="6">
        <v>1644</v>
      </c>
      <c r="G645" s="6">
        <v>113011.89</v>
      </c>
      <c r="H645" s="7">
        <v>36904</v>
      </c>
      <c r="I645" s="6" t="s">
        <v>41</v>
      </c>
      <c r="J645" s="6" t="s">
        <v>1344</v>
      </c>
      <c r="K645" s="6" t="s">
        <v>43</v>
      </c>
      <c r="L645" s="6" t="s">
        <v>44</v>
      </c>
      <c r="M645" s="6" t="s">
        <v>45</v>
      </c>
      <c r="N645" s="6">
        <v>4.95</v>
      </c>
      <c r="O645" s="4" t="str">
        <f t="shared" si="10"/>
        <v>Excellent</v>
      </c>
      <c r="P645" s="6">
        <v>134</v>
      </c>
    </row>
    <row r="646" spans="1:16" x14ac:dyDescent="0.3">
      <c r="A646" s="6" t="s">
        <v>1345</v>
      </c>
      <c r="B646" s="6">
        <v>64</v>
      </c>
      <c r="C646" s="6" t="s">
        <v>62</v>
      </c>
      <c r="D646" s="6" t="s">
        <v>55</v>
      </c>
      <c r="E646" s="6" t="s">
        <v>48</v>
      </c>
      <c r="F646" s="6">
        <v>1645</v>
      </c>
      <c r="G646" s="6">
        <v>90982.91</v>
      </c>
      <c r="H646" s="7">
        <v>41104</v>
      </c>
      <c r="I646" s="6" t="s">
        <v>49</v>
      </c>
      <c r="J646" s="6" t="s">
        <v>1346</v>
      </c>
      <c r="K646" s="6" t="s">
        <v>51</v>
      </c>
      <c r="L646" s="6" t="s">
        <v>52</v>
      </c>
      <c r="M646" s="6" t="s">
        <v>53</v>
      </c>
      <c r="N646" s="6">
        <v>4.93</v>
      </c>
      <c r="O646" s="4" t="str">
        <f t="shared" si="10"/>
        <v>Excellent</v>
      </c>
      <c r="P646" s="6">
        <v>1</v>
      </c>
    </row>
    <row r="647" spans="1:16" x14ac:dyDescent="0.3">
      <c r="A647" s="6" t="s">
        <v>1347</v>
      </c>
      <c r="B647" s="6">
        <v>23</v>
      </c>
      <c r="C647" s="6" t="s">
        <v>25</v>
      </c>
      <c r="D647" s="6" t="s">
        <v>26</v>
      </c>
      <c r="E647" s="6" t="s">
        <v>48</v>
      </c>
      <c r="F647" s="6">
        <v>1646</v>
      </c>
      <c r="G647" s="6">
        <v>60115.79</v>
      </c>
      <c r="H647" s="7">
        <v>43342</v>
      </c>
      <c r="I647" s="6" t="s">
        <v>56</v>
      </c>
      <c r="J647" s="6" t="s">
        <v>1348</v>
      </c>
      <c r="K647" s="6" t="s">
        <v>21</v>
      </c>
      <c r="L647" s="6" t="s">
        <v>22</v>
      </c>
      <c r="M647" s="6" t="s">
        <v>23</v>
      </c>
      <c r="N647" s="6">
        <v>3.76</v>
      </c>
      <c r="O647" s="4" t="str">
        <f t="shared" si="10"/>
        <v>Good</v>
      </c>
      <c r="P647" s="6">
        <v>142</v>
      </c>
    </row>
    <row r="648" spans="1:16" x14ac:dyDescent="0.3">
      <c r="A648" s="6" t="s">
        <v>1349</v>
      </c>
      <c r="B648" s="6">
        <v>42</v>
      </c>
      <c r="C648" s="6" t="s">
        <v>16</v>
      </c>
      <c r="D648" s="6" t="s">
        <v>69</v>
      </c>
      <c r="E648" s="6" t="s">
        <v>18</v>
      </c>
      <c r="F648" s="6">
        <v>1647</v>
      </c>
      <c r="G648" s="6">
        <v>173867.8</v>
      </c>
      <c r="H648" s="7">
        <v>41697</v>
      </c>
      <c r="I648" s="6" t="s">
        <v>63</v>
      </c>
      <c r="J648" s="6" t="s">
        <v>1350</v>
      </c>
      <c r="K648" s="6" t="s">
        <v>30</v>
      </c>
      <c r="L648" s="6" t="s">
        <v>31</v>
      </c>
      <c r="M648" s="6" t="s">
        <v>32</v>
      </c>
      <c r="N648" s="6">
        <v>1.63</v>
      </c>
      <c r="O648" s="4" t="str">
        <f t="shared" si="10"/>
        <v>Poor</v>
      </c>
      <c r="P648" s="6">
        <v>75</v>
      </c>
    </row>
    <row r="649" spans="1:16" x14ac:dyDescent="0.3">
      <c r="A649" s="6" t="s">
        <v>1351</v>
      </c>
      <c r="B649" s="6">
        <v>38</v>
      </c>
      <c r="C649" s="6" t="s">
        <v>62</v>
      </c>
      <c r="D649" s="6" t="s">
        <v>17</v>
      </c>
      <c r="E649" s="6" t="s">
        <v>80</v>
      </c>
      <c r="F649" s="6">
        <v>1648</v>
      </c>
      <c r="G649" s="6">
        <v>101529.57</v>
      </c>
      <c r="H649" s="7">
        <v>42258</v>
      </c>
      <c r="I649" s="6" t="s">
        <v>66</v>
      </c>
      <c r="J649" s="6" t="s">
        <v>1352</v>
      </c>
      <c r="K649" s="6" t="s">
        <v>37</v>
      </c>
      <c r="L649" s="6" t="s">
        <v>38</v>
      </c>
      <c r="M649" s="6" t="s">
        <v>39</v>
      </c>
      <c r="N649" s="6">
        <v>3.14</v>
      </c>
      <c r="O649" s="4" t="str">
        <f t="shared" si="10"/>
        <v>Good</v>
      </c>
      <c r="P649" s="6">
        <v>29</v>
      </c>
    </row>
    <row r="650" spans="1:16" x14ac:dyDescent="0.3">
      <c r="A650" s="6" t="s">
        <v>1353</v>
      </c>
      <c r="B650" s="6">
        <v>64</v>
      </c>
      <c r="C650" s="6" t="s">
        <v>25</v>
      </c>
      <c r="D650" s="6" t="s">
        <v>69</v>
      </c>
      <c r="E650" s="6" t="s">
        <v>80</v>
      </c>
      <c r="F650" s="6">
        <v>1649</v>
      </c>
      <c r="G650" s="6">
        <v>127649.35</v>
      </c>
      <c r="H650" s="7">
        <v>44418</v>
      </c>
      <c r="I650" s="6" t="s">
        <v>70</v>
      </c>
      <c r="J650" s="6" t="s">
        <v>1354</v>
      </c>
      <c r="K650" s="6" t="s">
        <v>43</v>
      </c>
      <c r="L650" s="6" t="s">
        <v>44</v>
      </c>
      <c r="M650" s="6" t="s">
        <v>45</v>
      </c>
      <c r="N650" s="6">
        <v>1.21</v>
      </c>
      <c r="O650" s="4" t="str">
        <f t="shared" si="10"/>
        <v>Poor</v>
      </c>
      <c r="P650" s="6">
        <v>197</v>
      </c>
    </row>
    <row r="651" spans="1:16" x14ac:dyDescent="0.3">
      <c r="A651" s="6" t="s">
        <v>1355</v>
      </c>
      <c r="B651" s="6">
        <v>50</v>
      </c>
      <c r="C651" s="6" t="s">
        <v>62</v>
      </c>
      <c r="D651" s="6" t="s">
        <v>26</v>
      </c>
      <c r="E651" s="6" t="s">
        <v>34</v>
      </c>
      <c r="F651" s="6">
        <v>1650</v>
      </c>
      <c r="G651" s="6">
        <v>136504.01999999999</v>
      </c>
      <c r="H651" s="7">
        <v>43367</v>
      </c>
      <c r="I651" s="6" t="s">
        <v>73</v>
      </c>
      <c r="J651" s="6" t="s">
        <v>1356</v>
      </c>
      <c r="K651" s="6" t="s">
        <v>51</v>
      </c>
      <c r="L651" s="6" t="s">
        <v>52</v>
      </c>
      <c r="M651" s="6" t="s">
        <v>53</v>
      </c>
      <c r="N651" s="6">
        <v>2.75</v>
      </c>
      <c r="O651" s="4" t="str">
        <f t="shared" si="10"/>
        <v>Average</v>
      </c>
      <c r="P651" s="6">
        <v>176</v>
      </c>
    </row>
    <row r="652" spans="1:16" x14ac:dyDescent="0.3">
      <c r="A652" s="6" t="s">
        <v>1357</v>
      </c>
      <c r="B652" s="6">
        <v>48</v>
      </c>
      <c r="C652" s="6" t="s">
        <v>25</v>
      </c>
      <c r="D652" s="6" t="s">
        <v>55</v>
      </c>
      <c r="E652" s="6" t="s">
        <v>27</v>
      </c>
      <c r="F652" s="6">
        <v>1651</v>
      </c>
      <c r="G652" s="6">
        <v>188112.37</v>
      </c>
      <c r="H652" s="7">
        <v>39084</v>
      </c>
      <c r="I652" s="6" t="s">
        <v>19</v>
      </c>
      <c r="J652" s="6" t="s">
        <v>1358</v>
      </c>
      <c r="K652" s="6" t="s">
        <v>21</v>
      </c>
      <c r="L652" s="6" t="s">
        <v>22</v>
      </c>
      <c r="M652" s="6" t="s">
        <v>23</v>
      </c>
      <c r="N652" s="6">
        <v>1.28</v>
      </c>
      <c r="O652" s="4" t="str">
        <f t="shared" si="10"/>
        <v>Poor</v>
      </c>
      <c r="P652" s="6">
        <v>179</v>
      </c>
    </row>
    <row r="653" spans="1:16" x14ac:dyDescent="0.3">
      <c r="A653" s="6" t="s">
        <v>1359</v>
      </c>
      <c r="B653" s="6">
        <v>45</v>
      </c>
      <c r="C653" s="6" t="s">
        <v>62</v>
      </c>
      <c r="D653" s="6" t="s">
        <v>55</v>
      </c>
      <c r="E653" s="6" t="s">
        <v>18</v>
      </c>
      <c r="F653" s="6">
        <v>1652</v>
      </c>
      <c r="G653" s="6">
        <v>65045.99</v>
      </c>
      <c r="H653" s="7">
        <v>44721</v>
      </c>
      <c r="I653" s="6" t="s">
        <v>28</v>
      </c>
      <c r="J653" s="6" t="s">
        <v>1360</v>
      </c>
      <c r="K653" s="6" t="s">
        <v>30</v>
      </c>
      <c r="L653" s="6" t="s">
        <v>31</v>
      </c>
      <c r="M653" s="6" t="s">
        <v>32</v>
      </c>
      <c r="N653" s="6">
        <v>2.58</v>
      </c>
      <c r="O653" s="4" t="str">
        <f t="shared" si="10"/>
        <v>Average</v>
      </c>
      <c r="P653" s="6">
        <v>118</v>
      </c>
    </row>
    <row r="654" spans="1:16" x14ac:dyDescent="0.3">
      <c r="A654" s="6" t="s">
        <v>1361</v>
      </c>
      <c r="B654" s="6">
        <v>24</v>
      </c>
      <c r="C654" s="6" t="s">
        <v>16</v>
      </c>
      <c r="D654" s="6" t="s">
        <v>17</v>
      </c>
      <c r="E654" s="6" t="s">
        <v>18</v>
      </c>
      <c r="F654" s="6">
        <v>1653</v>
      </c>
      <c r="G654" s="6">
        <v>195862.91</v>
      </c>
      <c r="H654" s="7">
        <v>43951</v>
      </c>
      <c r="I654" s="6" t="s">
        <v>35</v>
      </c>
      <c r="J654" s="6" t="s">
        <v>1362</v>
      </c>
      <c r="K654" s="6" t="s">
        <v>37</v>
      </c>
      <c r="L654" s="6" t="s">
        <v>38</v>
      </c>
      <c r="M654" s="6" t="s">
        <v>39</v>
      </c>
      <c r="N654" s="6">
        <v>4.4000000000000004</v>
      </c>
      <c r="O654" s="4" t="str">
        <f t="shared" si="10"/>
        <v>Excellent</v>
      </c>
      <c r="P654" s="6">
        <v>166</v>
      </c>
    </row>
    <row r="655" spans="1:16" x14ac:dyDescent="0.3">
      <c r="A655" s="6" t="s">
        <v>1363</v>
      </c>
      <c r="B655" s="6">
        <v>60</v>
      </c>
      <c r="C655" s="6" t="s">
        <v>62</v>
      </c>
      <c r="D655" s="6" t="s">
        <v>69</v>
      </c>
      <c r="E655" s="6" t="s">
        <v>48</v>
      </c>
      <c r="F655" s="6">
        <v>1654</v>
      </c>
      <c r="G655" s="6">
        <v>116902.96</v>
      </c>
      <c r="H655" s="7">
        <v>39565</v>
      </c>
      <c r="I655" s="6" t="s">
        <v>41</v>
      </c>
      <c r="J655" s="6" t="s">
        <v>1364</v>
      </c>
      <c r="K655" s="6" t="s">
        <v>43</v>
      </c>
      <c r="L655" s="6" t="s">
        <v>44</v>
      </c>
      <c r="M655" s="6" t="s">
        <v>45</v>
      </c>
      <c r="N655" s="6">
        <v>1.1599999999999999</v>
      </c>
      <c r="O655" s="4" t="str">
        <f t="shared" si="10"/>
        <v>Poor</v>
      </c>
      <c r="P655" s="6">
        <v>32</v>
      </c>
    </row>
    <row r="656" spans="1:16" x14ac:dyDescent="0.3">
      <c r="A656" s="6" t="s">
        <v>1365</v>
      </c>
      <c r="B656" s="6">
        <v>31</v>
      </c>
      <c r="C656" s="6" t="s">
        <v>62</v>
      </c>
      <c r="D656" s="6" t="s">
        <v>47</v>
      </c>
      <c r="E656" s="6" t="s">
        <v>80</v>
      </c>
      <c r="F656" s="6">
        <v>1655</v>
      </c>
      <c r="G656" s="6">
        <v>127929.26</v>
      </c>
      <c r="H656" s="7">
        <v>37151</v>
      </c>
      <c r="I656" s="6" t="s">
        <v>49</v>
      </c>
      <c r="J656" s="6" t="s">
        <v>1366</v>
      </c>
      <c r="K656" s="6" t="s">
        <v>51</v>
      </c>
      <c r="L656" s="6" t="s">
        <v>52</v>
      </c>
      <c r="M656" s="6" t="s">
        <v>53</v>
      </c>
      <c r="N656" s="6">
        <v>3.94</v>
      </c>
      <c r="O656" s="4" t="str">
        <f t="shared" si="10"/>
        <v>Good</v>
      </c>
      <c r="P656" s="6">
        <v>18</v>
      </c>
    </row>
    <row r="657" spans="1:16" x14ac:dyDescent="0.3">
      <c r="A657" s="6" t="s">
        <v>1367</v>
      </c>
      <c r="B657" s="6">
        <v>24</v>
      </c>
      <c r="C657" s="6" t="s">
        <v>62</v>
      </c>
      <c r="D657" s="6" t="s">
        <v>55</v>
      </c>
      <c r="E657" s="6" t="s">
        <v>18</v>
      </c>
      <c r="F657" s="6">
        <v>1656</v>
      </c>
      <c r="G657" s="6">
        <v>198719.92</v>
      </c>
      <c r="H657" s="7">
        <v>36665</v>
      </c>
      <c r="I657" s="6" t="s">
        <v>56</v>
      </c>
      <c r="J657" s="6" t="s">
        <v>1368</v>
      </c>
      <c r="K657" s="6" t="s">
        <v>21</v>
      </c>
      <c r="L657" s="6" t="s">
        <v>22</v>
      </c>
      <c r="M657" s="6" t="s">
        <v>23</v>
      </c>
      <c r="N657" s="6">
        <v>3.71</v>
      </c>
      <c r="O657" s="4" t="str">
        <f t="shared" si="10"/>
        <v>Good</v>
      </c>
      <c r="P657" s="6">
        <v>42</v>
      </c>
    </row>
    <row r="658" spans="1:16" x14ac:dyDescent="0.3">
      <c r="A658" s="6" t="s">
        <v>1369</v>
      </c>
      <c r="B658" s="6">
        <v>63</v>
      </c>
      <c r="C658" s="6" t="s">
        <v>62</v>
      </c>
      <c r="D658" s="6" t="s">
        <v>47</v>
      </c>
      <c r="E658" s="6" t="s">
        <v>80</v>
      </c>
      <c r="F658" s="6">
        <v>1657</v>
      </c>
      <c r="G658" s="6">
        <v>76363.62</v>
      </c>
      <c r="H658" s="7">
        <v>37496</v>
      </c>
      <c r="I658" s="6" t="s">
        <v>63</v>
      </c>
      <c r="J658" s="6" t="s">
        <v>1370</v>
      </c>
      <c r="K658" s="6" t="s">
        <v>30</v>
      </c>
      <c r="L658" s="6" t="s">
        <v>31</v>
      </c>
      <c r="M658" s="6" t="s">
        <v>32</v>
      </c>
      <c r="N658" s="6">
        <v>4.84</v>
      </c>
      <c r="O658" s="4" t="str">
        <f t="shared" si="10"/>
        <v>Excellent</v>
      </c>
      <c r="P658" s="6">
        <v>179</v>
      </c>
    </row>
    <row r="659" spans="1:16" x14ac:dyDescent="0.3">
      <c r="A659" s="6" t="s">
        <v>1371</v>
      </c>
      <c r="B659" s="6">
        <v>47</v>
      </c>
      <c r="C659" s="6" t="s">
        <v>25</v>
      </c>
      <c r="D659" s="6" t="s">
        <v>69</v>
      </c>
      <c r="E659" s="6" t="s">
        <v>34</v>
      </c>
      <c r="F659" s="6">
        <v>1658</v>
      </c>
      <c r="G659" s="6">
        <v>160291.63</v>
      </c>
      <c r="H659" s="7">
        <v>41456</v>
      </c>
      <c r="I659" s="6" t="s">
        <v>66</v>
      </c>
      <c r="J659" s="6" t="s">
        <v>1372</v>
      </c>
      <c r="K659" s="6" t="s">
        <v>37</v>
      </c>
      <c r="L659" s="6" t="s">
        <v>38</v>
      </c>
      <c r="M659" s="6" t="s">
        <v>39</v>
      </c>
      <c r="N659" s="6">
        <v>2.11</v>
      </c>
      <c r="O659" s="4" t="str">
        <f t="shared" si="10"/>
        <v>Average</v>
      </c>
      <c r="P659" s="6">
        <v>121</v>
      </c>
    </row>
    <row r="660" spans="1:16" x14ac:dyDescent="0.3">
      <c r="A660" s="6" t="s">
        <v>1373</v>
      </c>
      <c r="B660" s="6">
        <v>58</v>
      </c>
      <c r="C660" s="6" t="s">
        <v>16</v>
      </c>
      <c r="D660" s="6" t="s">
        <v>69</v>
      </c>
      <c r="E660" s="6" t="s">
        <v>18</v>
      </c>
      <c r="F660" s="6">
        <v>1659</v>
      </c>
      <c r="G660" s="6">
        <v>152458.94</v>
      </c>
      <c r="H660" s="7">
        <v>39347</v>
      </c>
      <c r="I660" s="6" t="s">
        <v>70</v>
      </c>
      <c r="J660" s="6" t="s">
        <v>1374</v>
      </c>
      <c r="K660" s="6" t="s">
        <v>43</v>
      </c>
      <c r="L660" s="6" t="s">
        <v>44</v>
      </c>
      <c r="M660" s="6" t="s">
        <v>45</v>
      </c>
      <c r="N660" s="6">
        <v>2.64</v>
      </c>
      <c r="O660" s="4" t="str">
        <f t="shared" si="10"/>
        <v>Average</v>
      </c>
      <c r="P660" s="6">
        <v>116</v>
      </c>
    </row>
    <row r="661" spans="1:16" x14ac:dyDescent="0.3">
      <c r="A661" s="6" t="s">
        <v>1375</v>
      </c>
      <c r="B661" s="6">
        <v>48</v>
      </c>
      <c r="C661" s="6" t="s">
        <v>16</v>
      </c>
      <c r="D661" s="6" t="s">
        <v>47</v>
      </c>
      <c r="E661" s="6" t="s">
        <v>48</v>
      </c>
      <c r="F661" s="6">
        <v>1660</v>
      </c>
      <c r="G661" s="6">
        <v>83624.28</v>
      </c>
      <c r="H661" s="7">
        <v>38717</v>
      </c>
      <c r="I661" s="6" t="s">
        <v>73</v>
      </c>
      <c r="J661" s="6" t="s">
        <v>1376</v>
      </c>
      <c r="K661" s="6" t="s">
        <v>51</v>
      </c>
      <c r="L661" s="6" t="s">
        <v>52</v>
      </c>
      <c r="M661" s="6" t="s">
        <v>53</v>
      </c>
      <c r="N661" s="6">
        <v>2.4500000000000002</v>
      </c>
      <c r="O661" s="4" t="str">
        <f t="shared" si="10"/>
        <v>Average</v>
      </c>
      <c r="P661" s="6">
        <v>49</v>
      </c>
    </row>
    <row r="662" spans="1:16" x14ac:dyDescent="0.3">
      <c r="A662" s="6" t="s">
        <v>1377</v>
      </c>
      <c r="B662" s="6">
        <v>26</v>
      </c>
      <c r="C662" s="6" t="s">
        <v>62</v>
      </c>
      <c r="D662" s="6" t="s">
        <v>17</v>
      </c>
      <c r="E662" s="6" t="s">
        <v>80</v>
      </c>
      <c r="F662" s="6">
        <v>1661</v>
      </c>
      <c r="G662" s="6">
        <v>194938.78</v>
      </c>
      <c r="H662" s="7">
        <v>39979</v>
      </c>
      <c r="I662" s="6" t="s">
        <v>19</v>
      </c>
      <c r="J662" s="6" t="s">
        <v>1378</v>
      </c>
      <c r="K662" s="6" t="s">
        <v>21</v>
      </c>
      <c r="L662" s="6" t="s">
        <v>22</v>
      </c>
      <c r="M662" s="6" t="s">
        <v>23</v>
      </c>
      <c r="N662" s="6">
        <v>1.67</v>
      </c>
      <c r="O662" s="4" t="str">
        <f t="shared" si="10"/>
        <v>Poor</v>
      </c>
      <c r="P662" s="6">
        <v>129</v>
      </c>
    </row>
    <row r="663" spans="1:16" x14ac:dyDescent="0.3">
      <c r="A663" s="6" t="s">
        <v>1379</v>
      </c>
      <c r="B663" s="6">
        <v>63</v>
      </c>
      <c r="C663" s="6" t="s">
        <v>62</v>
      </c>
      <c r="D663" s="6" t="s">
        <v>47</v>
      </c>
      <c r="E663" s="6" t="s">
        <v>27</v>
      </c>
      <c r="F663" s="6">
        <v>1662</v>
      </c>
      <c r="G663" s="6">
        <v>55487.42</v>
      </c>
      <c r="H663" s="7">
        <v>36796</v>
      </c>
      <c r="I663" s="6" t="s">
        <v>28</v>
      </c>
      <c r="J663" s="6" t="s">
        <v>1380</v>
      </c>
      <c r="K663" s="6" t="s">
        <v>30</v>
      </c>
      <c r="L663" s="6" t="s">
        <v>31</v>
      </c>
      <c r="M663" s="6" t="s">
        <v>32</v>
      </c>
      <c r="N663" s="6">
        <v>3.47</v>
      </c>
      <c r="O663" s="4" t="str">
        <f t="shared" si="10"/>
        <v>Good</v>
      </c>
      <c r="P663" s="6">
        <v>199</v>
      </c>
    </row>
    <row r="664" spans="1:16" x14ac:dyDescent="0.3">
      <c r="A664" s="6" t="s">
        <v>1381</v>
      </c>
      <c r="B664" s="6">
        <v>32</v>
      </c>
      <c r="C664" s="6" t="s">
        <v>16</v>
      </c>
      <c r="D664" s="6" t="s">
        <v>26</v>
      </c>
      <c r="E664" s="6" t="s">
        <v>80</v>
      </c>
      <c r="F664" s="6">
        <v>1663</v>
      </c>
      <c r="G664" s="6">
        <v>149090.34</v>
      </c>
      <c r="H664" s="7">
        <v>41880</v>
      </c>
      <c r="I664" s="6" t="s">
        <v>35</v>
      </c>
      <c r="J664" s="6" t="s">
        <v>1382</v>
      </c>
      <c r="K664" s="6" t="s">
        <v>37</v>
      </c>
      <c r="L664" s="6" t="s">
        <v>38</v>
      </c>
      <c r="M664" s="6" t="s">
        <v>39</v>
      </c>
      <c r="N664" s="6">
        <v>4.45</v>
      </c>
      <c r="O664" s="4" t="str">
        <f t="shared" si="10"/>
        <v>Excellent</v>
      </c>
      <c r="P664" s="6">
        <v>128</v>
      </c>
    </row>
    <row r="665" spans="1:16" x14ac:dyDescent="0.3">
      <c r="A665" s="6" t="s">
        <v>1383</v>
      </c>
      <c r="B665" s="6">
        <v>34</v>
      </c>
      <c r="C665" s="6" t="s">
        <v>16</v>
      </c>
      <c r="D665" s="6" t="s">
        <v>47</v>
      </c>
      <c r="E665" s="6" t="s">
        <v>80</v>
      </c>
      <c r="F665" s="6">
        <v>1664</v>
      </c>
      <c r="G665" s="6">
        <v>181032.33</v>
      </c>
      <c r="H665" s="7">
        <v>43107</v>
      </c>
      <c r="I665" s="6" t="s">
        <v>41</v>
      </c>
      <c r="J665" s="6" t="s">
        <v>1384</v>
      </c>
      <c r="K665" s="6" t="s">
        <v>43</v>
      </c>
      <c r="L665" s="6" t="s">
        <v>44</v>
      </c>
      <c r="M665" s="6" t="s">
        <v>45</v>
      </c>
      <c r="N665" s="6">
        <v>4.72</v>
      </c>
      <c r="O665" s="4" t="str">
        <f t="shared" si="10"/>
        <v>Excellent</v>
      </c>
      <c r="P665" s="6">
        <v>106</v>
      </c>
    </row>
    <row r="666" spans="1:16" x14ac:dyDescent="0.3">
      <c r="A666" s="6" t="s">
        <v>1385</v>
      </c>
      <c r="B666" s="6">
        <v>62</v>
      </c>
      <c r="C666" s="6" t="s">
        <v>16</v>
      </c>
      <c r="D666" s="6" t="s">
        <v>47</v>
      </c>
      <c r="E666" s="6" t="s">
        <v>27</v>
      </c>
      <c r="F666" s="6">
        <v>1665</v>
      </c>
      <c r="G666" s="6">
        <v>110052.66</v>
      </c>
      <c r="H666" s="7">
        <v>38893</v>
      </c>
      <c r="I666" s="6" t="s">
        <v>49</v>
      </c>
      <c r="J666" s="6" t="s">
        <v>1386</v>
      </c>
      <c r="K666" s="6" t="s">
        <v>51</v>
      </c>
      <c r="L666" s="6" t="s">
        <v>52</v>
      </c>
      <c r="M666" s="6" t="s">
        <v>53</v>
      </c>
      <c r="N666" s="6">
        <v>3.85</v>
      </c>
      <c r="O666" s="4" t="str">
        <f t="shared" si="10"/>
        <v>Good</v>
      </c>
      <c r="P666" s="6">
        <v>91</v>
      </c>
    </row>
    <row r="667" spans="1:16" x14ac:dyDescent="0.3">
      <c r="A667" s="6" t="s">
        <v>1387</v>
      </c>
      <c r="B667" s="6">
        <v>55</v>
      </c>
      <c r="C667" s="6" t="s">
        <v>16</v>
      </c>
      <c r="D667" s="6" t="s">
        <v>17</v>
      </c>
      <c r="E667" s="6" t="s">
        <v>80</v>
      </c>
      <c r="F667" s="6">
        <v>1666</v>
      </c>
      <c r="G667" s="6">
        <v>116486.61</v>
      </c>
      <c r="H667" s="7">
        <v>41282</v>
      </c>
      <c r="I667" s="6" t="s">
        <v>56</v>
      </c>
      <c r="J667" s="6" t="s">
        <v>1388</v>
      </c>
      <c r="K667" s="6" t="s">
        <v>21</v>
      </c>
      <c r="L667" s="6" t="s">
        <v>22</v>
      </c>
      <c r="M667" s="6" t="s">
        <v>23</v>
      </c>
      <c r="N667" s="6">
        <v>3.05</v>
      </c>
      <c r="O667" s="4" t="str">
        <f t="shared" si="10"/>
        <v>Good</v>
      </c>
      <c r="P667" s="6">
        <v>123</v>
      </c>
    </row>
    <row r="668" spans="1:16" x14ac:dyDescent="0.3">
      <c r="A668" s="6" t="s">
        <v>1389</v>
      </c>
      <c r="B668" s="6">
        <v>59</v>
      </c>
      <c r="C668" s="6" t="s">
        <v>62</v>
      </c>
      <c r="D668" s="6" t="s">
        <v>26</v>
      </c>
      <c r="E668" s="6" t="s">
        <v>34</v>
      </c>
      <c r="F668" s="6">
        <v>1667</v>
      </c>
      <c r="G668" s="6">
        <v>59861.93</v>
      </c>
      <c r="H668" s="7">
        <v>43059</v>
      </c>
      <c r="I668" s="6" t="s">
        <v>63</v>
      </c>
      <c r="J668" s="6" t="s">
        <v>1390</v>
      </c>
      <c r="K668" s="6" t="s">
        <v>30</v>
      </c>
      <c r="L668" s="6" t="s">
        <v>31</v>
      </c>
      <c r="M668" s="6" t="s">
        <v>32</v>
      </c>
      <c r="N668" s="6">
        <v>3.96</v>
      </c>
      <c r="O668" s="4" t="str">
        <f t="shared" si="10"/>
        <v>Good</v>
      </c>
      <c r="P668" s="6">
        <v>44</v>
      </c>
    </row>
    <row r="669" spans="1:16" x14ac:dyDescent="0.3">
      <c r="A669" s="6" t="s">
        <v>1391</v>
      </c>
      <c r="B669" s="6">
        <v>61</v>
      </c>
      <c r="C669" s="6" t="s">
        <v>16</v>
      </c>
      <c r="D669" s="6" t="s">
        <v>69</v>
      </c>
      <c r="E669" s="6" t="s">
        <v>18</v>
      </c>
      <c r="F669" s="6">
        <v>1668</v>
      </c>
      <c r="G669" s="6">
        <v>89493.53</v>
      </c>
      <c r="H669" s="7">
        <v>40673</v>
      </c>
      <c r="I669" s="6" t="s">
        <v>66</v>
      </c>
      <c r="J669" s="6" t="s">
        <v>1392</v>
      </c>
      <c r="K669" s="6" t="s">
        <v>37</v>
      </c>
      <c r="L669" s="6" t="s">
        <v>38</v>
      </c>
      <c r="M669" s="6" t="s">
        <v>39</v>
      </c>
      <c r="N669" s="6">
        <v>4.4800000000000004</v>
      </c>
      <c r="O669" s="4" t="str">
        <f t="shared" si="10"/>
        <v>Excellent</v>
      </c>
      <c r="P669" s="6">
        <v>26</v>
      </c>
    </row>
    <row r="670" spans="1:16" x14ac:dyDescent="0.3">
      <c r="A670" s="6" t="s">
        <v>1393</v>
      </c>
      <c r="B670" s="6">
        <v>54</v>
      </c>
      <c r="C670" s="6" t="s">
        <v>62</v>
      </c>
      <c r="D670" s="6" t="s">
        <v>26</v>
      </c>
      <c r="E670" s="6" t="s">
        <v>18</v>
      </c>
      <c r="F670" s="6">
        <v>1669</v>
      </c>
      <c r="G670" s="6">
        <v>157490.16</v>
      </c>
      <c r="H670" s="7">
        <v>41154</v>
      </c>
      <c r="I670" s="6" t="s">
        <v>70</v>
      </c>
      <c r="J670" s="6" t="s">
        <v>1394</v>
      </c>
      <c r="K670" s="6" t="s">
        <v>43</v>
      </c>
      <c r="L670" s="6" t="s">
        <v>44</v>
      </c>
      <c r="M670" s="6" t="s">
        <v>45</v>
      </c>
      <c r="N670" s="6">
        <v>1.69</v>
      </c>
      <c r="O670" s="4" t="str">
        <f t="shared" si="10"/>
        <v>Poor</v>
      </c>
      <c r="P670" s="6">
        <v>87</v>
      </c>
    </row>
    <row r="671" spans="1:16" x14ac:dyDescent="0.3">
      <c r="A671" s="6" t="s">
        <v>1395</v>
      </c>
      <c r="B671" s="6">
        <v>55</v>
      </c>
      <c r="C671" s="6" t="s">
        <v>62</v>
      </c>
      <c r="D671" s="6" t="s">
        <v>47</v>
      </c>
      <c r="E671" s="6" t="s">
        <v>18</v>
      </c>
      <c r="F671" s="6">
        <v>1670</v>
      </c>
      <c r="G671" s="6">
        <v>197344.94</v>
      </c>
      <c r="H671" s="7">
        <v>43154</v>
      </c>
      <c r="I671" s="6" t="s">
        <v>73</v>
      </c>
      <c r="J671" s="6" t="s">
        <v>1396</v>
      </c>
      <c r="K671" s="6" t="s">
        <v>51</v>
      </c>
      <c r="L671" s="6" t="s">
        <v>52</v>
      </c>
      <c r="M671" s="6" t="s">
        <v>53</v>
      </c>
      <c r="N671" s="6">
        <v>3.96</v>
      </c>
      <c r="O671" s="4" t="str">
        <f t="shared" si="10"/>
        <v>Good</v>
      </c>
      <c r="P671" s="6">
        <v>173</v>
      </c>
    </row>
    <row r="672" spans="1:16" x14ac:dyDescent="0.3">
      <c r="A672" s="6" t="s">
        <v>1397</v>
      </c>
      <c r="B672" s="6">
        <v>48</v>
      </c>
      <c r="C672" s="6" t="s">
        <v>16</v>
      </c>
      <c r="D672" s="6" t="s">
        <v>69</v>
      </c>
      <c r="E672" s="6" t="s">
        <v>80</v>
      </c>
      <c r="F672" s="6">
        <v>1671</v>
      </c>
      <c r="G672" s="6">
        <v>101753.24</v>
      </c>
      <c r="H672" s="7">
        <v>42721</v>
      </c>
      <c r="I672" s="6" t="s">
        <v>19</v>
      </c>
      <c r="J672" s="6" t="s">
        <v>1398</v>
      </c>
      <c r="K672" s="6" t="s">
        <v>21</v>
      </c>
      <c r="L672" s="6" t="s">
        <v>22</v>
      </c>
      <c r="M672" s="6" t="s">
        <v>23</v>
      </c>
      <c r="N672" s="6">
        <v>4.97</v>
      </c>
      <c r="O672" s="4" t="str">
        <f t="shared" si="10"/>
        <v>Excellent</v>
      </c>
      <c r="P672" s="6">
        <v>99</v>
      </c>
    </row>
    <row r="673" spans="1:16" x14ac:dyDescent="0.3">
      <c r="A673" s="6" t="s">
        <v>1399</v>
      </c>
      <c r="B673" s="6">
        <v>57</v>
      </c>
      <c r="C673" s="6" t="s">
        <v>25</v>
      </c>
      <c r="D673" s="6" t="s">
        <v>17</v>
      </c>
      <c r="E673" s="6" t="s">
        <v>27</v>
      </c>
      <c r="F673" s="6">
        <v>1672</v>
      </c>
      <c r="G673" s="6">
        <v>72219.520000000004</v>
      </c>
      <c r="H673" s="7">
        <v>43503</v>
      </c>
      <c r="I673" s="6" t="s">
        <v>28</v>
      </c>
      <c r="J673" s="6" t="s">
        <v>1400</v>
      </c>
      <c r="K673" s="6" t="s">
        <v>30</v>
      </c>
      <c r="L673" s="6" t="s">
        <v>31</v>
      </c>
      <c r="M673" s="6" t="s">
        <v>32</v>
      </c>
      <c r="N673" s="6">
        <v>2.5299999999999998</v>
      </c>
      <c r="O673" s="4" t="str">
        <f t="shared" si="10"/>
        <v>Average</v>
      </c>
      <c r="P673" s="6">
        <v>34</v>
      </c>
    </row>
    <row r="674" spans="1:16" x14ac:dyDescent="0.3">
      <c r="A674" s="6" t="s">
        <v>1401</v>
      </c>
      <c r="B674" s="6">
        <v>47</v>
      </c>
      <c r="C674" s="6" t="s">
        <v>62</v>
      </c>
      <c r="D674" s="6" t="s">
        <v>69</v>
      </c>
      <c r="E674" s="6" t="s">
        <v>80</v>
      </c>
      <c r="F674" s="6">
        <v>1673</v>
      </c>
      <c r="G674" s="6">
        <v>63934.27</v>
      </c>
      <c r="H674" s="7">
        <v>43588</v>
      </c>
      <c r="I674" s="6" t="s">
        <v>35</v>
      </c>
      <c r="J674" s="6" t="s">
        <v>1402</v>
      </c>
      <c r="K674" s="6" t="s">
        <v>37</v>
      </c>
      <c r="L674" s="6" t="s">
        <v>38</v>
      </c>
      <c r="M674" s="6" t="s">
        <v>39</v>
      </c>
      <c r="N674" s="6">
        <v>4.9400000000000004</v>
      </c>
      <c r="O674" s="4" t="str">
        <f t="shared" si="10"/>
        <v>Excellent</v>
      </c>
      <c r="P674" s="6">
        <v>162</v>
      </c>
    </row>
    <row r="675" spans="1:16" x14ac:dyDescent="0.3">
      <c r="A675" s="6" t="s">
        <v>1403</v>
      </c>
      <c r="B675" s="6">
        <v>46</v>
      </c>
      <c r="C675" s="6" t="s">
        <v>16</v>
      </c>
      <c r="D675" s="6" t="s">
        <v>17</v>
      </c>
      <c r="E675" s="6" t="s">
        <v>18</v>
      </c>
      <c r="F675" s="6">
        <v>1674</v>
      </c>
      <c r="G675" s="6">
        <v>77055.44</v>
      </c>
      <c r="H675" s="7">
        <v>36819</v>
      </c>
      <c r="I675" s="6" t="s">
        <v>41</v>
      </c>
      <c r="J675" s="6" t="s">
        <v>1404</v>
      </c>
      <c r="K675" s="6" t="s">
        <v>43</v>
      </c>
      <c r="L675" s="6" t="s">
        <v>44</v>
      </c>
      <c r="M675" s="6" t="s">
        <v>45</v>
      </c>
      <c r="N675" s="6">
        <v>1.87</v>
      </c>
      <c r="O675" s="4" t="str">
        <f t="shared" si="10"/>
        <v>Poor</v>
      </c>
      <c r="P675" s="6">
        <v>77</v>
      </c>
    </row>
    <row r="676" spans="1:16" x14ac:dyDescent="0.3">
      <c r="A676" s="6" t="s">
        <v>1405</v>
      </c>
      <c r="B676" s="6">
        <v>40</v>
      </c>
      <c r="C676" s="6" t="s">
        <v>62</v>
      </c>
      <c r="D676" s="6" t="s">
        <v>47</v>
      </c>
      <c r="E676" s="6" t="s">
        <v>27</v>
      </c>
      <c r="F676" s="6">
        <v>1675</v>
      </c>
      <c r="G676" s="6">
        <v>66656.039999999994</v>
      </c>
      <c r="H676" s="7">
        <v>42621</v>
      </c>
      <c r="I676" s="6" t="s">
        <v>49</v>
      </c>
      <c r="J676" s="6" t="s">
        <v>1406</v>
      </c>
      <c r="K676" s="6" t="s">
        <v>51</v>
      </c>
      <c r="L676" s="6" t="s">
        <v>52</v>
      </c>
      <c r="M676" s="6" t="s">
        <v>53</v>
      </c>
      <c r="N676" s="6">
        <v>2.09</v>
      </c>
      <c r="O676" s="4" t="str">
        <f t="shared" si="10"/>
        <v>Average</v>
      </c>
      <c r="P676" s="6">
        <v>87</v>
      </c>
    </row>
    <row r="677" spans="1:16" x14ac:dyDescent="0.3">
      <c r="A677" s="6" t="s">
        <v>1407</v>
      </c>
      <c r="B677" s="6">
        <v>42</v>
      </c>
      <c r="C677" s="6" t="s">
        <v>25</v>
      </c>
      <c r="D677" s="6" t="s">
        <v>26</v>
      </c>
      <c r="E677" s="6" t="s">
        <v>18</v>
      </c>
      <c r="F677" s="6">
        <v>1676</v>
      </c>
      <c r="G677" s="6">
        <v>174476.17</v>
      </c>
      <c r="H677" s="7">
        <v>38850</v>
      </c>
      <c r="I677" s="6" t="s">
        <v>56</v>
      </c>
      <c r="J677" s="6" t="s">
        <v>1408</v>
      </c>
      <c r="K677" s="6" t="s">
        <v>21</v>
      </c>
      <c r="L677" s="6" t="s">
        <v>22</v>
      </c>
      <c r="M677" s="6" t="s">
        <v>23</v>
      </c>
      <c r="N677" s="6">
        <v>2.11</v>
      </c>
      <c r="O677" s="4" t="str">
        <f t="shared" si="10"/>
        <v>Average</v>
      </c>
      <c r="P677" s="6">
        <v>35</v>
      </c>
    </row>
    <row r="678" spans="1:16" x14ac:dyDescent="0.3">
      <c r="A678" s="6" t="s">
        <v>1409</v>
      </c>
      <c r="B678" s="6">
        <v>52</v>
      </c>
      <c r="C678" s="6" t="s">
        <v>16</v>
      </c>
      <c r="D678" s="6" t="s">
        <v>26</v>
      </c>
      <c r="E678" s="6" t="s">
        <v>18</v>
      </c>
      <c r="F678" s="6">
        <v>1677</v>
      </c>
      <c r="G678" s="6">
        <v>107513.21</v>
      </c>
      <c r="H678" s="7">
        <v>38312</v>
      </c>
      <c r="I678" s="6" t="s">
        <v>63</v>
      </c>
      <c r="J678" s="6" t="s">
        <v>1410</v>
      </c>
      <c r="K678" s="6" t="s">
        <v>30</v>
      </c>
      <c r="L678" s="6" t="s">
        <v>31</v>
      </c>
      <c r="M678" s="6" t="s">
        <v>32</v>
      </c>
      <c r="N678" s="6">
        <v>3.41</v>
      </c>
      <c r="O678" s="4" t="str">
        <f t="shared" si="10"/>
        <v>Good</v>
      </c>
      <c r="P678" s="6">
        <v>125</v>
      </c>
    </row>
    <row r="679" spans="1:16" x14ac:dyDescent="0.3">
      <c r="A679" s="6" t="s">
        <v>1411</v>
      </c>
      <c r="B679" s="6">
        <v>50</v>
      </c>
      <c r="C679" s="6" t="s">
        <v>62</v>
      </c>
      <c r="D679" s="6" t="s">
        <v>26</v>
      </c>
      <c r="E679" s="6" t="s">
        <v>34</v>
      </c>
      <c r="F679" s="6">
        <v>1678</v>
      </c>
      <c r="G679" s="6">
        <v>109690.63</v>
      </c>
      <c r="H679" s="7">
        <v>38298</v>
      </c>
      <c r="I679" s="6" t="s">
        <v>66</v>
      </c>
      <c r="J679" s="6" t="s">
        <v>1412</v>
      </c>
      <c r="K679" s="6" t="s">
        <v>37</v>
      </c>
      <c r="L679" s="6" t="s">
        <v>38</v>
      </c>
      <c r="M679" s="6" t="s">
        <v>39</v>
      </c>
      <c r="N679" s="6">
        <v>4.33</v>
      </c>
      <c r="O679" s="4" t="str">
        <f t="shared" si="10"/>
        <v>Excellent</v>
      </c>
      <c r="P679" s="6">
        <v>86</v>
      </c>
    </row>
    <row r="680" spans="1:16" x14ac:dyDescent="0.3">
      <c r="A680" s="6" t="s">
        <v>1413</v>
      </c>
      <c r="B680" s="6">
        <v>30</v>
      </c>
      <c r="C680" s="6" t="s">
        <v>25</v>
      </c>
      <c r="D680" s="6" t="s">
        <v>26</v>
      </c>
      <c r="E680" s="6" t="s">
        <v>34</v>
      </c>
      <c r="F680" s="6">
        <v>1679</v>
      </c>
      <c r="G680" s="6">
        <v>176548.6</v>
      </c>
      <c r="H680" s="7">
        <v>36754</v>
      </c>
      <c r="I680" s="6" t="s">
        <v>70</v>
      </c>
      <c r="J680" s="6" t="s">
        <v>1414</v>
      </c>
      <c r="K680" s="6" t="s">
        <v>43</v>
      </c>
      <c r="L680" s="6" t="s">
        <v>44</v>
      </c>
      <c r="M680" s="6" t="s">
        <v>45</v>
      </c>
      <c r="N680" s="6">
        <v>4.9800000000000004</v>
      </c>
      <c r="O680" s="4" t="str">
        <f t="shared" si="10"/>
        <v>Excellent</v>
      </c>
      <c r="P680" s="6">
        <v>11</v>
      </c>
    </row>
    <row r="681" spans="1:16" x14ac:dyDescent="0.3">
      <c r="A681" s="6" t="s">
        <v>1415</v>
      </c>
      <c r="B681" s="6">
        <v>40</v>
      </c>
      <c r="C681" s="6" t="s">
        <v>25</v>
      </c>
      <c r="D681" s="6" t="s">
        <v>26</v>
      </c>
      <c r="E681" s="6" t="s">
        <v>80</v>
      </c>
      <c r="F681" s="6">
        <v>1680</v>
      </c>
      <c r="G681" s="6">
        <v>161305.68</v>
      </c>
      <c r="H681" s="7">
        <v>36696</v>
      </c>
      <c r="I681" s="6" t="s">
        <v>73</v>
      </c>
      <c r="J681" s="6" t="s">
        <v>1416</v>
      </c>
      <c r="K681" s="6" t="s">
        <v>51</v>
      </c>
      <c r="L681" s="6" t="s">
        <v>52</v>
      </c>
      <c r="M681" s="6" t="s">
        <v>53</v>
      </c>
      <c r="N681" s="6">
        <v>4.22</v>
      </c>
      <c r="O681" s="4" t="str">
        <f t="shared" si="10"/>
        <v>Excellent</v>
      </c>
      <c r="P681" s="6">
        <v>67</v>
      </c>
    </row>
    <row r="682" spans="1:16" x14ac:dyDescent="0.3">
      <c r="A682" s="6" t="s">
        <v>1417</v>
      </c>
      <c r="B682" s="6">
        <v>47</v>
      </c>
      <c r="C682" s="6" t="s">
        <v>62</v>
      </c>
      <c r="D682" s="6" t="s">
        <v>55</v>
      </c>
      <c r="E682" s="6" t="s">
        <v>34</v>
      </c>
      <c r="F682" s="6">
        <v>1681</v>
      </c>
      <c r="G682" s="6">
        <v>129041.36</v>
      </c>
      <c r="H682" s="7">
        <v>36540</v>
      </c>
      <c r="I682" s="6" t="s">
        <v>19</v>
      </c>
      <c r="J682" s="6" t="s">
        <v>1418</v>
      </c>
      <c r="K682" s="6" t="s">
        <v>21</v>
      </c>
      <c r="L682" s="6" t="s">
        <v>22</v>
      </c>
      <c r="M682" s="6" t="s">
        <v>23</v>
      </c>
      <c r="N682" s="6">
        <v>2.4900000000000002</v>
      </c>
      <c r="O682" s="4" t="str">
        <f t="shared" si="10"/>
        <v>Average</v>
      </c>
      <c r="P682" s="6">
        <v>189</v>
      </c>
    </row>
    <row r="683" spans="1:16" x14ac:dyDescent="0.3">
      <c r="A683" s="6" t="s">
        <v>1419</v>
      </c>
      <c r="B683" s="6">
        <v>46</v>
      </c>
      <c r="C683" s="6" t="s">
        <v>16</v>
      </c>
      <c r="D683" s="6" t="s">
        <v>47</v>
      </c>
      <c r="E683" s="6" t="s">
        <v>27</v>
      </c>
      <c r="F683" s="6">
        <v>1682</v>
      </c>
      <c r="G683" s="6">
        <v>124998.43</v>
      </c>
      <c r="H683" s="7">
        <v>38860</v>
      </c>
      <c r="I683" s="6" t="s">
        <v>28</v>
      </c>
      <c r="J683" s="6" t="s">
        <v>1420</v>
      </c>
      <c r="K683" s="6" t="s">
        <v>30</v>
      </c>
      <c r="L683" s="6" t="s">
        <v>31</v>
      </c>
      <c r="M683" s="6" t="s">
        <v>32</v>
      </c>
      <c r="N683" s="6">
        <v>1.64</v>
      </c>
      <c r="O683" s="4" t="str">
        <f t="shared" si="10"/>
        <v>Poor</v>
      </c>
      <c r="P683" s="6">
        <v>75</v>
      </c>
    </row>
    <row r="684" spans="1:16" x14ac:dyDescent="0.3">
      <c r="A684" s="6" t="s">
        <v>1421</v>
      </c>
      <c r="B684" s="6">
        <v>61</v>
      </c>
      <c r="C684" s="6" t="s">
        <v>16</v>
      </c>
      <c r="D684" s="6" t="s">
        <v>26</v>
      </c>
      <c r="E684" s="6" t="s">
        <v>48</v>
      </c>
      <c r="F684" s="6">
        <v>1683</v>
      </c>
      <c r="G684" s="6">
        <v>154489.60000000001</v>
      </c>
      <c r="H684" s="7">
        <v>42862</v>
      </c>
      <c r="I684" s="6" t="s">
        <v>35</v>
      </c>
      <c r="J684" s="6" t="s">
        <v>1422</v>
      </c>
      <c r="K684" s="6" t="s">
        <v>37</v>
      </c>
      <c r="L684" s="6" t="s">
        <v>38</v>
      </c>
      <c r="M684" s="6" t="s">
        <v>39</v>
      </c>
      <c r="N684" s="6">
        <v>4.5599999999999996</v>
      </c>
      <c r="O684" s="4" t="str">
        <f t="shared" si="10"/>
        <v>Excellent</v>
      </c>
      <c r="P684" s="6">
        <v>34</v>
      </c>
    </row>
    <row r="685" spans="1:16" x14ac:dyDescent="0.3">
      <c r="A685" s="6" t="s">
        <v>1423</v>
      </c>
      <c r="B685" s="6">
        <v>64</v>
      </c>
      <c r="C685" s="6" t="s">
        <v>62</v>
      </c>
      <c r="D685" s="6" t="s">
        <v>26</v>
      </c>
      <c r="E685" s="6" t="s">
        <v>27</v>
      </c>
      <c r="F685" s="6">
        <v>1684</v>
      </c>
      <c r="G685" s="6">
        <v>138104.04</v>
      </c>
      <c r="H685" s="7">
        <v>41313</v>
      </c>
      <c r="I685" s="6" t="s">
        <v>41</v>
      </c>
      <c r="J685" s="6" t="s">
        <v>1424</v>
      </c>
      <c r="K685" s="6" t="s">
        <v>43</v>
      </c>
      <c r="L685" s="6" t="s">
        <v>44</v>
      </c>
      <c r="M685" s="6" t="s">
        <v>45</v>
      </c>
      <c r="N685" s="6">
        <v>3.71</v>
      </c>
      <c r="O685" s="4" t="str">
        <f t="shared" si="10"/>
        <v>Good</v>
      </c>
      <c r="P685" s="6">
        <v>31</v>
      </c>
    </row>
    <row r="686" spans="1:16" x14ac:dyDescent="0.3">
      <c r="A686" s="6" t="s">
        <v>1425</v>
      </c>
      <c r="B686" s="6">
        <v>50</v>
      </c>
      <c r="C686" s="6" t="s">
        <v>25</v>
      </c>
      <c r="D686" s="6" t="s">
        <v>17</v>
      </c>
      <c r="E686" s="6" t="s">
        <v>18</v>
      </c>
      <c r="F686" s="6">
        <v>1685</v>
      </c>
      <c r="G686" s="6">
        <v>78273.56</v>
      </c>
      <c r="H686" s="7">
        <v>38286</v>
      </c>
      <c r="I686" s="6" t="s">
        <v>49</v>
      </c>
      <c r="J686" s="6" t="s">
        <v>1426</v>
      </c>
      <c r="K686" s="6" t="s">
        <v>51</v>
      </c>
      <c r="L686" s="6" t="s">
        <v>52</v>
      </c>
      <c r="M686" s="6" t="s">
        <v>53</v>
      </c>
      <c r="N686" s="6">
        <v>1.57</v>
      </c>
      <c r="O686" s="4" t="str">
        <f t="shared" si="10"/>
        <v>Poor</v>
      </c>
      <c r="P686" s="6">
        <v>72</v>
      </c>
    </row>
    <row r="687" spans="1:16" x14ac:dyDescent="0.3">
      <c r="A687" s="6" t="s">
        <v>1427</v>
      </c>
      <c r="B687" s="6">
        <v>46</v>
      </c>
      <c r="C687" s="6" t="s">
        <v>25</v>
      </c>
      <c r="D687" s="6" t="s">
        <v>47</v>
      </c>
      <c r="E687" s="6" t="s">
        <v>18</v>
      </c>
      <c r="F687" s="6">
        <v>1686</v>
      </c>
      <c r="G687" s="6">
        <v>68865.39</v>
      </c>
      <c r="H687" s="7">
        <v>40689</v>
      </c>
      <c r="I687" s="6" t="s">
        <v>56</v>
      </c>
      <c r="J687" s="6" t="s">
        <v>1428</v>
      </c>
      <c r="K687" s="6" t="s">
        <v>21</v>
      </c>
      <c r="L687" s="6" t="s">
        <v>22</v>
      </c>
      <c r="M687" s="6" t="s">
        <v>23</v>
      </c>
      <c r="N687" s="6">
        <v>2.33</v>
      </c>
      <c r="O687" s="4" t="str">
        <f t="shared" si="10"/>
        <v>Average</v>
      </c>
      <c r="P687" s="6">
        <v>112</v>
      </c>
    </row>
    <row r="688" spans="1:16" x14ac:dyDescent="0.3">
      <c r="A688" s="6" t="s">
        <v>1429</v>
      </c>
      <c r="B688" s="6">
        <v>40</v>
      </c>
      <c r="C688" s="6" t="s">
        <v>25</v>
      </c>
      <c r="D688" s="6" t="s">
        <v>17</v>
      </c>
      <c r="E688" s="6" t="s">
        <v>34</v>
      </c>
      <c r="F688" s="6">
        <v>1687</v>
      </c>
      <c r="G688" s="6">
        <v>110876</v>
      </c>
      <c r="H688" s="7">
        <v>42829</v>
      </c>
      <c r="I688" s="6" t="s">
        <v>63</v>
      </c>
      <c r="J688" s="6" t="s">
        <v>1430</v>
      </c>
      <c r="K688" s="6" t="s">
        <v>30</v>
      </c>
      <c r="L688" s="6" t="s">
        <v>31</v>
      </c>
      <c r="M688" s="6" t="s">
        <v>32</v>
      </c>
      <c r="N688" s="6">
        <v>3.47</v>
      </c>
      <c r="O688" s="4" t="str">
        <f t="shared" si="10"/>
        <v>Good</v>
      </c>
      <c r="P688" s="6">
        <v>157</v>
      </c>
    </row>
    <row r="689" spans="1:16" x14ac:dyDescent="0.3">
      <c r="A689" s="6" t="s">
        <v>1431</v>
      </c>
      <c r="B689" s="6">
        <v>25</v>
      </c>
      <c r="C689" s="6" t="s">
        <v>25</v>
      </c>
      <c r="D689" s="6" t="s">
        <v>26</v>
      </c>
      <c r="E689" s="6" t="s">
        <v>18</v>
      </c>
      <c r="F689" s="6">
        <v>1688</v>
      </c>
      <c r="G689" s="6">
        <v>124112.18</v>
      </c>
      <c r="H689" s="7">
        <v>39010</v>
      </c>
      <c r="I689" s="6" t="s">
        <v>66</v>
      </c>
      <c r="J689" s="6" t="s">
        <v>1432</v>
      </c>
      <c r="K689" s="6" t="s">
        <v>37</v>
      </c>
      <c r="L689" s="6" t="s">
        <v>38</v>
      </c>
      <c r="M689" s="6" t="s">
        <v>39</v>
      </c>
      <c r="N689" s="6">
        <v>2.83</v>
      </c>
      <c r="O689" s="4" t="str">
        <f t="shared" si="10"/>
        <v>Average</v>
      </c>
      <c r="P689" s="6">
        <v>125</v>
      </c>
    </row>
    <row r="690" spans="1:16" x14ac:dyDescent="0.3">
      <c r="A690" s="6" t="s">
        <v>1433</v>
      </c>
      <c r="B690" s="6">
        <v>41</v>
      </c>
      <c r="C690" s="6" t="s">
        <v>62</v>
      </c>
      <c r="D690" s="6" t="s">
        <v>47</v>
      </c>
      <c r="E690" s="6" t="s">
        <v>48</v>
      </c>
      <c r="F690" s="6">
        <v>1689</v>
      </c>
      <c r="G690" s="6">
        <v>62330.74</v>
      </c>
      <c r="H690" s="7">
        <v>38715</v>
      </c>
      <c r="I690" s="6" t="s">
        <v>70</v>
      </c>
      <c r="J690" s="6" t="s">
        <v>1434</v>
      </c>
      <c r="K690" s="6" t="s">
        <v>43</v>
      </c>
      <c r="L690" s="6" t="s">
        <v>44</v>
      </c>
      <c r="M690" s="6" t="s">
        <v>45</v>
      </c>
      <c r="N690" s="6">
        <v>2.36</v>
      </c>
      <c r="O690" s="4" t="str">
        <f t="shared" si="10"/>
        <v>Average</v>
      </c>
      <c r="P690" s="6">
        <v>11</v>
      </c>
    </row>
    <row r="691" spans="1:16" x14ac:dyDescent="0.3">
      <c r="A691" s="6" t="s">
        <v>1435</v>
      </c>
      <c r="B691" s="6">
        <v>22</v>
      </c>
      <c r="C691" s="6" t="s">
        <v>25</v>
      </c>
      <c r="D691" s="6" t="s">
        <v>47</v>
      </c>
      <c r="E691" s="6" t="s">
        <v>80</v>
      </c>
      <c r="F691" s="6">
        <v>1690</v>
      </c>
      <c r="G691" s="6">
        <v>130349.48</v>
      </c>
      <c r="H691" s="7">
        <v>39261</v>
      </c>
      <c r="I691" s="6" t="s">
        <v>73</v>
      </c>
      <c r="J691" s="6" t="s">
        <v>1436</v>
      </c>
      <c r="K691" s="6" t="s">
        <v>51</v>
      </c>
      <c r="L691" s="6" t="s">
        <v>52</v>
      </c>
      <c r="M691" s="6" t="s">
        <v>53</v>
      </c>
      <c r="N691" s="6">
        <v>2.94</v>
      </c>
      <c r="O691" s="4" t="str">
        <f t="shared" si="10"/>
        <v>Average</v>
      </c>
      <c r="P691" s="6">
        <v>135</v>
      </c>
    </row>
    <row r="692" spans="1:16" x14ac:dyDescent="0.3">
      <c r="A692" s="6" t="s">
        <v>1437</v>
      </c>
      <c r="B692" s="6">
        <v>32</v>
      </c>
      <c r="C692" s="6" t="s">
        <v>62</v>
      </c>
      <c r="D692" s="6" t="s">
        <v>47</v>
      </c>
      <c r="E692" s="6" t="s">
        <v>80</v>
      </c>
      <c r="F692" s="6">
        <v>1691</v>
      </c>
      <c r="G692" s="6">
        <v>195156.9</v>
      </c>
      <c r="H692" s="7">
        <v>43836</v>
      </c>
      <c r="I692" s="6" t="s">
        <v>19</v>
      </c>
      <c r="J692" s="6" t="s">
        <v>1438</v>
      </c>
      <c r="K692" s="6" t="s">
        <v>21</v>
      </c>
      <c r="L692" s="6" t="s">
        <v>22</v>
      </c>
      <c r="M692" s="6" t="s">
        <v>23</v>
      </c>
      <c r="N692" s="6">
        <v>4.0599999999999996</v>
      </c>
      <c r="O692" s="4" t="str">
        <f t="shared" si="10"/>
        <v>Excellent</v>
      </c>
      <c r="P692" s="6">
        <v>57</v>
      </c>
    </row>
    <row r="693" spans="1:16" x14ac:dyDescent="0.3">
      <c r="A693" s="6" t="s">
        <v>1439</v>
      </c>
      <c r="B693" s="6">
        <v>25</v>
      </c>
      <c r="C693" s="6" t="s">
        <v>16</v>
      </c>
      <c r="D693" s="6" t="s">
        <v>69</v>
      </c>
      <c r="E693" s="6" t="s">
        <v>27</v>
      </c>
      <c r="F693" s="6">
        <v>1692</v>
      </c>
      <c r="G693" s="6">
        <v>154730.23999999999</v>
      </c>
      <c r="H693" s="7">
        <v>37462</v>
      </c>
      <c r="I693" s="6" t="s">
        <v>28</v>
      </c>
      <c r="J693" s="6" t="s">
        <v>1440</v>
      </c>
      <c r="K693" s="6" t="s">
        <v>30</v>
      </c>
      <c r="L693" s="6" t="s">
        <v>31</v>
      </c>
      <c r="M693" s="6" t="s">
        <v>32</v>
      </c>
      <c r="N693" s="6">
        <v>4.33</v>
      </c>
      <c r="O693" s="4" t="str">
        <f t="shared" si="10"/>
        <v>Excellent</v>
      </c>
      <c r="P693" s="6">
        <v>88</v>
      </c>
    </row>
    <row r="694" spans="1:16" x14ac:dyDescent="0.3">
      <c r="A694" s="6" t="s">
        <v>1441</v>
      </c>
      <c r="B694" s="6">
        <v>28</v>
      </c>
      <c r="C694" s="6" t="s">
        <v>16</v>
      </c>
      <c r="D694" s="6" t="s">
        <v>55</v>
      </c>
      <c r="E694" s="6" t="s">
        <v>80</v>
      </c>
      <c r="F694" s="6">
        <v>1693</v>
      </c>
      <c r="G694" s="6">
        <v>71385.53</v>
      </c>
      <c r="H694" s="7">
        <v>40772</v>
      </c>
      <c r="I694" s="6" t="s">
        <v>35</v>
      </c>
      <c r="J694" s="6" t="s">
        <v>1442</v>
      </c>
      <c r="K694" s="6" t="s">
        <v>37</v>
      </c>
      <c r="L694" s="6" t="s">
        <v>38</v>
      </c>
      <c r="M694" s="6" t="s">
        <v>39</v>
      </c>
      <c r="N694" s="6">
        <v>3.11</v>
      </c>
      <c r="O694" s="4" t="str">
        <f t="shared" si="10"/>
        <v>Good</v>
      </c>
      <c r="P694" s="6">
        <v>132</v>
      </c>
    </row>
    <row r="695" spans="1:16" x14ac:dyDescent="0.3">
      <c r="A695" s="6" t="s">
        <v>1443</v>
      </c>
      <c r="B695" s="6">
        <v>49</v>
      </c>
      <c r="C695" s="6" t="s">
        <v>25</v>
      </c>
      <c r="D695" s="6" t="s">
        <v>55</v>
      </c>
      <c r="E695" s="6" t="s">
        <v>34</v>
      </c>
      <c r="F695" s="6">
        <v>1694</v>
      </c>
      <c r="G695" s="6">
        <v>135436.76</v>
      </c>
      <c r="H695" s="7">
        <v>42140</v>
      </c>
      <c r="I695" s="6" t="s">
        <v>41</v>
      </c>
      <c r="J695" s="6" t="s">
        <v>1444</v>
      </c>
      <c r="K695" s="6" t="s">
        <v>43</v>
      </c>
      <c r="L695" s="6" t="s">
        <v>44</v>
      </c>
      <c r="M695" s="6" t="s">
        <v>45</v>
      </c>
      <c r="N695" s="6">
        <v>1.56</v>
      </c>
      <c r="O695" s="4" t="str">
        <f t="shared" si="10"/>
        <v>Poor</v>
      </c>
      <c r="P695" s="6">
        <v>114</v>
      </c>
    </row>
    <row r="696" spans="1:16" x14ac:dyDescent="0.3">
      <c r="A696" s="6" t="s">
        <v>1445</v>
      </c>
      <c r="B696" s="6">
        <v>57</v>
      </c>
      <c r="C696" s="6" t="s">
        <v>25</v>
      </c>
      <c r="D696" s="6" t="s">
        <v>26</v>
      </c>
      <c r="E696" s="6" t="s">
        <v>34</v>
      </c>
      <c r="F696" s="6">
        <v>1695</v>
      </c>
      <c r="G696" s="6">
        <v>170663.21</v>
      </c>
      <c r="H696" s="7">
        <v>37486</v>
      </c>
      <c r="I696" s="6" t="s">
        <v>49</v>
      </c>
      <c r="J696" s="6" t="s">
        <v>1446</v>
      </c>
      <c r="K696" s="6" t="s">
        <v>51</v>
      </c>
      <c r="L696" s="6" t="s">
        <v>52</v>
      </c>
      <c r="M696" s="6" t="s">
        <v>53</v>
      </c>
      <c r="N696" s="6">
        <v>4.33</v>
      </c>
      <c r="O696" s="4" t="str">
        <f t="shared" si="10"/>
        <v>Excellent</v>
      </c>
      <c r="P696" s="6">
        <v>13</v>
      </c>
    </row>
    <row r="697" spans="1:16" x14ac:dyDescent="0.3">
      <c r="A697" s="6" t="s">
        <v>1447</v>
      </c>
      <c r="B697" s="6">
        <v>28</v>
      </c>
      <c r="C697" s="6" t="s">
        <v>25</v>
      </c>
      <c r="D697" s="6" t="s">
        <v>55</v>
      </c>
      <c r="E697" s="6" t="s">
        <v>18</v>
      </c>
      <c r="F697" s="6">
        <v>1696</v>
      </c>
      <c r="G697" s="6">
        <v>101549.09</v>
      </c>
      <c r="H697" s="7">
        <v>42825</v>
      </c>
      <c r="I697" s="6" t="s">
        <v>56</v>
      </c>
      <c r="J697" s="6" t="s">
        <v>1448</v>
      </c>
      <c r="K697" s="6" t="s">
        <v>21</v>
      </c>
      <c r="L697" s="6" t="s">
        <v>22</v>
      </c>
      <c r="M697" s="6" t="s">
        <v>23</v>
      </c>
      <c r="N697" s="6">
        <v>2.84</v>
      </c>
      <c r="O697" s="4" t="str">
        <f t="shared" si="10"/>
        <v>Average</v>
      </c>
      <c r="P697" s="6">
        <v>93</v>
      </c>
    </row>
    <row r="698" spans="1:16" x14ac:dyDescent="0.3">
      <c r="A698" s="6" t="s">
        <v>1449</v>
      </c>
      <c r="B698" s="6">
        <v>41</v>
      </c>
      <c r="C698" s="6" t="s">
        <v>16</v>
      </c>
      <c r="D698" s="6" t="s">
        <v>47</v>
      </c>
      <c r="E698" s="6" t="s">
        <v>34</v>
      </c>
      <c r="F698" s="6">
        <v>1697</v>
      </c>
      <c r="G698" s="6">
        <v>114340.01</v>
      </c>
      <c r="H698" s="7">
        <v>41521</v>
      </c>
      <c r="I698" s="6" t="s">
        <v>63</v>
      </c>
      <c r="J698" s="6" t="s">
        <v>1450</v>
      </c>
      <c r="K698" s="6" t="s">
        <v>30</v>
      </c>
      <c r="L698" s="6" t="s">
        <v>31</v>
      </c>
      <c r="M698" s="6" t="s">
        <v>32</v>
      </c>
      <c r="N698" s="6">
        <v>4.5999999999999996</v>
      </c>
      <c r="O698" s="4" t="str">
        <f t="shared" si="10"/>
        <v>Excellent</v>
      </c>
      <c r="P698" s="6">
        <v>132</v>
      </c>
    </row>
    <row r="699" spans="1:16" x14ac:dyDescent="0.3">
      <c r="A699" s="6" t="s">
        <v>1451</v>
      </c>
      <c r="B699" s="6">
        <v>56</v>
      </c>
      <c r="C699" s="6" t="s">
        <v>62</v>
      </c>
      <c r="D699" s="6" t="s">
        <v>69</v>
      </c>
      <c r="E699" s="6" t="s">
        <v>34</v>
      </c>
      <c r="F699" s="6">
        <v>1698</v>
      </c>
      <c r="G699" s="6">
        <v>50338.54</v>
      </c>
      <c r="H699" s="7">
        <v>44525</v>
      </c>
      <c r="I699" s="6" t="s">
        <v>66</v>
      </c>
      <c r="J699" s="6" t="s">
        <v>1452</v>
      </c>
      <c r="K699" s="6" t="s">
        <v>37</v>
      </c>
      <c r="L699" s="6" t="s">
        <v>38</v>
      </c>
      <c r="M699" s="6" t="s">
        <v>39</v>
      </c>
      <c r="N699" s="6">
        <v>4.49</v>
      </c>
      <c r="O699" s="4" t="str">
        <f t="shared" si="10"/>
        <v>Excellent</v>
      </c>
      <c r="P699" s="6">
        <v>41</v>
      </c>
    </row>
    <row r="700" spans="1:16" x14ac:dyDescent="0.3">
      <c r="A700" s="6" t="s">
        <v>1453</v>
      </c>
      <c r="B700" s="6">
        <v>60</v>
      </c>
      <c r="C700" s="6" t="s">
        <v>62</v>
      </c>
      <c r="D700" s="6" t="s">
        <v>55</v>
      </c>
      <c r="E700" s="6" t="s">
        <v>80</v>
      </c>
      <c r="F700" s="6">
        <v>1699</v>
      </c>
      <c r="G700" s="6">
        <v>180432.47</v>
      </c>
      <c r="H700" s="7">
        <v>39114</v>
      </c>
      <c r="I700" s="6" t="s">
        <v>70</v>
      </c>
      <c r="J700" s="6" t="s">
        <v>1454</v>
      </c>
      <c r="K700" s="6" t="s">
        <v>43</v>
      </c>
      <c r="L700" s="6" t="s">
        <v>44</v>
      </c>
      <c r="M700" s="6" t="s">
        <v>45</v>
      </c>
      <c r="N700" s="6">
        <v>1.6</v>
      </c>
      <c r="O700" s="4" t="str">
        <f t="shared" si="10"/>
        <v>Poor</v>
      </c>
      <c r="P700" s="6">
        <v>125</v>
      </c>
    </row>
    <row r="701" spans="1:16" x14ac:dyDescent="0.3">
      <c r="A701" s="6" t="s">
        <v>1455</v>
      </c>
      <c r="B701" s="6">
        <v>42</v>
      </c>
      <c r="C701" s="6" t="s">
        <v>62</v>
      </c>
      <c r="D701" s="6" t="s">
        <v>55</v>
      </c>
      <c r="E701" s="6" t="s">
        <v>48</v>
      </c>
      <c r="F701" s="6">
        <v>1700</v>
      </c>
      <c r="G701" s="6">
        <v>120527.47</v>
      </c>
      <c r="H701" s="7">
        <v>37962</v>
      </c>
      <c r="I701" s="6" t="s">
        <v>73</v>
      </c>
      <c r="J701" s="6" t="s">
        <v>1456</v>
      </c>
      <c r="K701" s="6" t="s">
        <v>51</v>
      </c>
      <c r="L701" s="6" t="s">
        <v>52</v>
      </c>
      <c r="M701" s="6" t="s">
        <v>53</v>
      </c>
      <c r="N701" s="6">
        <v>2.42</v>
      </c>
      <c r="O701" s="4" t="str">
        <f t="shared" si="10"/>
        <v>Average</v>
      </c>
      <c r="P701" s="6">
        <v>132</v>
      </c>
    </row>
    <row r="702" spans="1:16" x14ac:dyDescent="0.3">
      <c r="A702" s="6" t="s">
        <v>1457</v>
      </c>
      <c r="B702" s="6">
        <v>22</v>
      </c>
      <c r="C702" s="6" t="s">
        <v>25</v>
      </c>
      <c r="D702" s="6" t="s">
        <v>69</v>
      </c>
      <c r="E702" s="6" t="s">
        <v>18</v>
      </c>
      <c r="F702" s="6">
        <v>1701</v>
      </c>
      <c r="G702" s="6">
        <v>88031.99</v>
      </c>
      <c r="H702" s="7">
        <v>44321</v>
      </c>
      <c r="I702" s="6" t="s">
        <v>19</v>
      </c>
      <c r="J702" s="6" t="s">
        <v>1458</v>
      </c>
      <c r="K702" s="6" t="s">
        <v>21</v>
      </c>
      <c r="L702" s="6" t="s">
        <v>22</v>
      </c>
      <c r="M702" s="6" t="s">
        <v>23</v>
      </c>
      <c r="N702" s="6">
        <v>2.23</v>
      </c>
      <c r="O702" s="4" t="str">
        <f t="shared" si="10"/>
        <v>Average</v>
      </c>
      <c r="P702" s="6">
        <v>87</v>
      </c>
    </row>
    <row r="703" spans="1:16" x14ac:dyDescent="0.3">
      <c r="A703" s="6" t="s">
        <v>1459</v>
      </c>
      <c r="B703" s="6">
        <v>58</v>
      </c>
      <c r="C703" s="6" t="s">
        <v>62</v>
      </c>
      <c r="D703" s="6" t="s">
        <v>17</v>
      </c>
      <c r="E703" s="6" t="s">
        <v>27</v>
      </c>
      <c r="F703" s="6">
        <v>1702</v>
      </c>
      <c r="G703" s="6">
        <v>79641.08</v>
      </c>
      <c r="H703" s="7">
        <v>42307</v>
      </c>
      <c r="I703" s="6" t="s">
        <v>28</v>
      </c>
      <c r="J703" s="6" t="s">
        <v>1460</v>
      </c>
      <c r="K703" s="6" t="s">
        <v>30</v>
      </c>
      <c r="L703" s="6" t="s">
        <v>31</v>
      </c>
      <c r="M703" s="6" t="s">
        <v>32</v>
      </c>
      <c r="N703" s="6">
        <v>4.8099999999999996</v>
      </c>
      <c r="O703" s="4" t="str">
        <f t="shared" si="10"/>
        <v>Excellent</v>
      </c>
      <c r="P703" s="6">
        <v>161</v>
      </c>
    </row>
    <row r="704" spans="1:16" x14ac:dyDescent="0.3">
      <c r="A704" s="6" t="s">
        <v>1461</v>
      </c>
      <c r="B704" s="6">
        <v>63</v>
      </c>
      <c r="C704" s="6" t="s">
        <v>25</v>
      </c>
      <c r="D704" s="6" t="s">
        <v>26</v>
      </c>
      <c r="E704" s="6" t="s">
        <v>80</v>
      </c>
      <c r="F704" s="6">
        <v>1703</v>
      </c>
      <c r="G704" s="6">
        <v>114077.64</v>
      </c>
      <c r="H704" s="7">
        <v>39703</v>
      </c>
      <c r="I704" s="6" t="s">
        <v>35</v>
      </c>
      <c r="J704" s="6" t="s">
        <v>1462</v>
      </c>
      <c r="K704" s="6" t="s">
        <v>37</v>
      </c>
      <c r="L704" s="6" t="s">
        <v>38</v>
      </c>
      <c r="M704" s="6" t="s">
        <v>39</v>
      </c>
      <c r="N704" s="6">
        <v>3.26</v>
      </c>
      <c r="O704" s="4" t="str">
        <f t="shared" si="10"/>
        <v>Good</v>
      </c>
      <c r="P704" s="6">
        <v>152</v>
      </c>
    </row>
    <row r="705" spans="1:16" x14ac:dyDescent="0.3">
      <c r="A705" s="6" t="s">
        <v>1463</v>
      </c>
      <c r="B705" s="6">
        <v>24</v>
      </c>
      <c r="C705" s="6" t="s">
        <v>16</v>
      </c>
      <c r="D705" s="6" t="s">
        <v>47</v>
      </c>
      <c r="E705" s="6" t="s">
        <v>18</v>
      </c>
      <c r="F705" s="6">
        <v>1704</v>
      </c>
      <c r="G705" s="6">
        <v>83517.2</v>
      </c>
      <c r="H705" s="7">
        <v>44146</v>
      </c>
      <c r="I705" s="6" t="s">
        <v>41</v>
      </c>
      <c r="J705" s="6" t="s">
        <v>1464</v>
      </c>
      <c r="K705" s="6" t="s">
        <v>43</v>
      </c>
      <c r="L705" s="6" t="s">
        <v>44</v>
      </c>
      <c r="M705" s="6" t="s">
        <v>45</v>
      </c>
      <c r="N705" s="6">
        <v>4.93</v>
      </c>
      <c r="O705" s="4" t="str">
        <f t="shared" si="10"/>
        <v>Excellent</v>
      </c>
      <c r="P705" s="6">
        <v>35</v>
      </c>
    </row>
    <row r="706" spans="1:16" x14ac:dyDescent="0.3">
      <c r="A706" s="6" t="s">
        <v>1465</v>
      </c>
      <c r="B706" s="6">
        <v>55</v>
      </c>
      <c r="C706" s="6" t="s">
        <v>62</v>
      </c>
      <c r="D706" s="6" t="s">
        <v>69</v>
      </c>
      <c r="E706" s="6" t="s">
        <v>80</v>
      </c>
      <c r="F706" s="6">
        <v>1705</v>
      </c>
      <c r="G706" s="6">
        <v>184516.81</v>
      </c>
      <c r="H706" s="7">
        <v>43865</v>
      </c>
      <c r="I706" s="6" t="s">
        <v>49</v>
      </c>
      <c r="J706" s="6" t="s">
        <v>1466</v>
      </c>
      <c r="K706" s="6" t="s">
        <v>51</v>
      </c>
      <c r="L706" s="6" t="s">
        <v>52</v>
      </c>
      <c r="M706" s="6" t="s">
        <v>53</v>
      </c>
      <c r="N706" s="6">
        <v>2.46</v>
      </c>
      <c r="O706" s="4" t="str">
        <f t="shared" si="10"/>
        <v>Average</v>
      </c>
      <c r="P706" s="6">
        <v>122</v>
      </c>
    </row>
    <row r="707" spans="1:16" x14ac:dyDescent="0.3">
      <c r="A707" s="6" t="s">
        <v>1467</v>
      </c>
      <c r="B707" s="6">
        <v>34</v>
      </c>
      <c r="C707" s="6" t="s">
        <v>25</v>
      </c>
      <c r="D707" s="6" t="s">
        <v>17</v>
      </c>
      <c r="E707" s="6" t="s">
        <v>34</v>
      </c>
      <c r="F707" s="6">
        <v>1706</v>
      </c>
      <c r="G707" s="6">
        <v>84011.05</v>
      </c>
      <c r="H707" s="7">
        <v>37509</v>
      </c>
      <c r="I707" s="6" t="s">
        <v>56</v>
      </c>
      <c r="J707" s="6" t="s">
        <v>1468</v>
      </c>
      <c r="K707" s="6" t="s">
        <v>21</v>
      </c>
      <c r="L707" s="6" t="s">
        <v>22</v>
      </c>
      <c r="M707" s="6" t="s">
        <v>23</v>
      </c>
      <c r="N707" s="6">
        <v>4.54</v>
      </c>
      <c r="O707" s="4" t="str">
        <f t="shared" ref="O707:O770" si="11">IF(N707&gt;=4,"Excellent",IF(N707&gt;=3,"Good",IF(N707&gt;=2,"Average","Poor")))</f>
        <v>Excellent</v>
      </c>
      <c r="P707" s="6">
        <v>149</v>
      </c>
    </row>
    <row r="708" spans="1:16" x14ac:dyDescent="0.3">
      <c r="A708" s="6" t="s">
        <v>1469</v>
      </c>
      <c r="B708" s="6">
        <v>37</v>
      </c>
      <c r="C708" s="6" t="s">
        <v>62</v>
      </c>
      <c r="D708" s="6" t="s">
        <v>26</v>
      </c>
      <c r="E708" s="6" t="s">
        <v>27</v>
      </c>
      <c r="F708" s="6">
        <v>1707</v>
      </c>
      <c r="G708" s="6">
        <v>110365.18</v>
      </c>
      <c r="H708" s="7">
        <v>36611</v>
      </c>
      <c r="I708" s="6" t="s">
        <v>63</v>
      </c>
      <c r="J708" s="6" t="s">
        <v>1470</v>
      </c>
      <c r="K708" s="6" t="s">
        <v>30</v>
      </c>
      <c r="L708" s="6" t="s">
        <v>31</v>
      </c>
      <c r="M708" s="6" t="s">
        <v>32</v>
      </c>
      <c r="N708" s="6">
        <v>4.6500000000000004</v>
      </c>
      <c r="O708" s="4" t="str">
        <f t="shared" si="11"/>
        <v>Excellent</v>
      </c>
      <c r="P708" s="6">
        <v>193</v>
      </c>
    </row>
    <row r="709" spans="1:16" x14ac:dyDescent="0.3">
      <c r="A709" s="6" t="s">
        <v>1471</v>
      </c>
      <c r="B709" s="6">
        <v>55</v>
      </c>
      <c r="C709" s="6" t="s">
        <v>16</v>
      </c>
      <c r="D709" s="6" t="s">
        <v>17</v>
      </c>
      <c r="E709" s="6" t="s">
        <v>27</v>
      </c>
      <c r="F709" s="6">
        <v>1708</v>
      </c>
      <c r="G709" s="6">
        <v>71117.55</v>
      </c>
      <c r="H709" s="7">
        <v>40784</v>
      </c>
      <c r="I709" s="6" t="s">
        <v>66</v>
      </c>
      <c r="J709" s="6" t="s">
        <v>1472</v>
      </c>
      <c r="K709" s="6" t="s">
        <v>37</v>
      </c>
      <c r="L709" s="6" t="s">
        <v>38</v>
      </c>
      <c r="M709" s="6" t="s">
        <v>39</v>
      </c>
      <c r="N709" s="6">
        <v>4.7300000000000004</v>
      </c>
      <c r="O709" s="4" t="str">
        <f t="shared" si="11"/>
        <v>Excellent</v>
      </c>
      <c r="P709" s="6">
        <v>116</v>
      </c>
    </row>
    <row r="710" spans="1:16" x14ac:dyDescent="0.3">
      <c r="A710" s="6" t="s">
        <v>1473</v>
      </c>
      <c r="B710" s="6">
        <v>45</v>
      </c>
      <c r="C710" s="6" t="s">
        <v>62</v>
      </c>
      <c r="D710" s="6" t="s">
        <v>26</v>
      </c>
      <c r="E710" s="6" t="s">
        <v>48</v>
      </c>
      <c r="F710" s="6">
        <v>1709</v>
      </c>
      <c r="G710" s="6">
        <v>67829.279999999999</v>
      </c>
      <c r="H710" s="7">
        <v>39220</v>
      </c>
      <c r="I710" s="6" t="s">
        <v>70</v>
      </c>
      <c r="J710" s="6" t="s">
        <v>1474</v>
      </c>
      <c r="K710" s="6" t="s">
        <v>43</v>
      </c>
      <c r="L710" s="6" t="s">
        <v>44</v>
      </c>
      <c r="M710" s="6" t="s">
        <v>45</v>
      </c>
      <c r="N710" s="6">
        <v>2.4500000000000002</v>
      </c>
      <c r="O710" s="4" t="str">
        <f t="shared" si="11"/>
        <v>Average</v>
      </c>
      <c r="P710" s="6">
        <v>32</v>
      </c>
    </row>
    <row r="711" spans="1:16" x14ac:dyDescent="0.3">
      <c r="A711" s="6" t="s">
        <v>1475</v>
      </c>
      <c r="B711" s="6">
        <v>34</v>
      </c>
      <c r="C711" s="6" t="s">
        <v>62</v>
      </c>
      <c r="D711" s="6" t="s">
        <v>55</v>
      </c>
      <c r="E711" s="6" t="s">
        <v>18</v>
      </c>
      <c r="F711" s="6">
        <v>1710</v>
      </c>
      <c r="G711" s="6">
        <v>85659.69</v>
      </c>
      <c r="H711" s="7">
        <v>39531</v>
      </c>
      <c r="I711" s="6" t="s">
        <v>73</v>
      </c>
      <c r="J711" s="6" t="s">
        <v>1476</v>
      </c>
      <c r="K711" s="6" t="s">
        <v>51</v>
      </c>
      <c r="L711" s="6" t="s">
        <v>52</v>
      </c>
      <c r="M711" s="6" t="s">
        <v>53</v>
      </c>
      <c r="N711" s="6">
        <v>2.23</v>
      </c>
      <c r="O711" s="4" t="str">
        <f t="shared" si="11"/>
        <v>Average</v>
      </c>
      <c r="P711" s="6">
        <v>104</v>
      </c>
    </row>
    <row r="712" spans="1:16" x14ac:dyDescent="0.3">
      <c r="A712" s="6" t="s">
        <v>1477</v>
      </c>
      <c r="B712" s="6">
        <v>27</v>
      </c>
      <c r="C712" s="6" t="s">
        <v>16</v>
      </c>
      <c r="D712" s="6" t="s">
        <v>69</v>
      </c>
      <c r="E712" s="6" t="s">
        <v>27</v>
      </c>
      <c r="F712" s="6">
        <v>1711</v>
      </c>
      <c r="G712" s="6">
        <v>50445.84</v>
      </c>
      <c r="H712" s="7">
        <v>38855</v>
      </c>
      <c r="I712" s="6" t="s">
        <v>19</v>
      </c>
      <c r="J712" s="6" t="s">
        <v>1478</v>
      </c>
      <c r="K712" s="6" t="s">
        <v>21</v>
      </c>
      <c r="L712" s="6" t="s">
        <v>22</v>
      </c>
      <c r="M712" s="6" t="s">
        <v>23</v>
      </c>
      <c r="N712" s="6">
        <v>1.29</v>
      </c>
      <c r="O712" s="4" t="str">
        <f t="shared" si="11"/>
        <v>Poor</v>
      </c>
      <c r="P712" s="6">
        <v>17</v>
      </c>
    </row>
    <row r="713" spans="1:16" x14ac:dyDescent="0.3">
      <c r="A713" s="6" t="s">
        <v>1479</v>
      </c>
      <c r="B713" s="6">
        <v>60</v>
      </c>
      <c r="C713" s="6" t="s">
        <v>25</v>
      </c>
      <c r="D713" s="6" t="s">
        <v>26</v>
      </c>
      <c r="E713" s="6" t="s">
        <v>80</v>
      </c>
      <c r="F713" s="6">
        <v>1712</v>
      </c>
      <c r="G713" s="6">
        <v>139795.07999999999</v>
      </c>
      <c r="H713" s="7">
        <v>41530</v>
      </c>
      <c r="I713" s="6" t="s">
        <v>28</v>
      </c>
      <c r="J713" s="6" t="s">
        <v>1480</v>
      </c>
      <c r="K713" s="6" t="s">
        <v>30</v>
      </c>
      <c r="L713" s="6" t="s">
        <v>31</v>
      </c>
      <c r="M713" s="6" t="s">
        <v>32</v>
      </c>
      <c r="N713" s="6">
        <v>3.49</v>
      </c>
      <c r="O713" s="4" t="str">
        <f t="shared" si="11"/>
        <v>Good</v>
      </c>
      <c r="P713" s="6">
        <v>61</v>
      </c>
    </row>
    <row r="714" spans="1:16" x14ac:dyDescent="0.3">
      <c r="A714" s="6" t="s">
        <v>1481</v>
      </c>
      <c r="B714" s="6">
        <v>23</v>
      </c>
      <c r="C714" s="6" t="s">
        <v>25</v>
      </c>
      <c r="D714" s="6" t="s">
        <v>69</v>
      </c>
      <c r="E714" s="6" t="s">
        <v>18</v>
      </c>
      <c r="F714" s="6">
        <v>1713</v>
      </c>
      <c r="G714" s="6">
        <v>83342.28</v>
      </c>
      <c r="H714" s="7">
        <v>42088</v>
      </c>
      <c r="I714" s="6" t="s">
        <v>35</v>
      </c>
      <c r="J714" s="6" t="s">
        <v>1482</v>
      </c>
      <c r="K714" s="6" t="s">
        <v>37</v>
      </c>
      <c r="L714" s="6" t="s">
        <v>38</v>
      </c>
      <c r="M714" s="6" t="s">
        <v>39</v>
      </c>
      <c r="N714" s="6">
        <v>1.28</v>
      </c>
      <c r="O714" s="4" t="str">
        <f t="shared" si="11"/>
        <v>Poor</v>
      </c>
      <c r="P714" s="6">
        <v>108</v>
      </c>
    </row>
    <row r="715" spans="1:16" x14ac:dyDescent="0.3">
      <c r="A715" s="6" t="s">
        <v>1483</v>
      </c>
      <c r="B715" s="6">
        <v>32</v>
      </c>
      <c r="C715" s="6" t="s">
        <v>25</v>
      </c>
      <c r="D715" s="6" t="s">
        <v>69</v>
      </c>
      <c r="E715" s="6" t="s">
        <v>34</v>
      </c>
      <c r="F715" s="6">
        <v>1714</v>
      </c>
      <c r="G715" s="6">
        <v>114722.11</v>
      </c>
      <c r="H715" s="7">
        <v>43323</v>
      </c>
      <c r="I715" s="6" t="s">
        <v>41</v>
      </c>
      <c r="J715" s="6" t="s">
        <v>1484</v>
      </c>
      <c r="K715" s="6" t="s">
        <v>43</v>
      </c>
      <c r="L715" s="6" t="s">
        <v>44</v>
      </c>
      <c r="M715" s="6" t="s">
        <v>45</v>
      </c>
      <c r="N715" s="6">
        <v>3.25</v>
      </c>
      <c r="O715" s="4" t="str">
        <f t="shared" si="11"/>
        <v>Good</v>
      </c>
      <c r="P715" s="6">
        <v>47</v>
      </c>
    </row>
    <row r="716" spans="1:16" x14ac:dyDescent="0.3">
      <c r="A716" s="6" t="s">
        <v>1485</v>
      </c>
      <c r="B716" s="6">
        <v>28</v>
      </c>
      <c r="C716" s="6" t="s">
        <v>62</v>
      </c>
      <c r="D716" s="6" t="s">
        <v>17</v>
      </c>
      <c r="E716" s="6" t="s">
        <v>48</v>
      </c>
      <c r="F716" s="6">
        <v>1715</v>
      </c>
      <c r="G716" s="6">
        <v>171294.34</v>
      </c>
      <c r="H716" s="7">
        <v>36608</v>
      </c>
      <c r="I716" s="6" t="s">
        <v>49</v>
      </c>
      <c r="J716" s="6" t="s">
        <v>1486</v>
      </c>
      <c r="K716" s="6" t="s">
        <v>51</v>
      </c>
      <c r="L716" s="6" t="s">
        <v>52</v>
      </c>
      <c r="M716" s="6" t="s">
        <v>53</v>
      </c>
      <c r="N716" s="6">
        <v>2.2999999999999998</v>
      </c>
      <c r="O716" s="4" t="str">
        <f t="shared" si="11"/>
        <v>Average</v>
      </c>
      <c r="P716" s="6">
        <v>127</v>
      </c>
    </row>
    <row r="717" spans="1:16" x14ac:dyDescent="0.3">
      <c r="A717" s="6" t="s">
        <v>1487</v>
      </c>
      <c r="B717" s="6">
        <v>28</v>
      </c>
      <c r="C717" s="6" t="s">
        <v>62</v>
      </c>
      <c r="D717" s="6" t="s">
        <v>47</v>
      </c>
      <c r="E717" s="6" t="s">
        <v>34</v>
      </c>
      <c r="F717" s="6">
        <v>1716</v>
      </c>
      <c r="G717" s="6">
        <v>112367.3</v>
      </c>
      <c r="H717" s="7">
        <v>37419</v>
      </c>
      <c r="I717" s="6" t="s">
        <v>56</v>
      </c>
      <c r="J717" s="6" t="s">
        <v>1488</v>
      </c>
      <c r="K717" s="6" t="s">
        <v>21</v>
      </c>
      <c r="L717" s="6" t="s">
        <v>22</v>
      </c>
      <c r="M717" s="6" t="s">
        <v>23</v>
      </c>
      <c r="N717" s="6">
        <v>1.22</v>
      </c>
      <c r="O717" s="4" t="str">
        <f t="shared" si="11"/>
        <v>Poor</v>
      </c>
      <c r="P717" s="6">
        <v>74</v>
      </c>
    </row>
    <row r="718" spans="1:16" x14ac:dyDescent="0.3">
      <c r="A718" s="6" t="s">
        <v>1489</v>
      </c>
      <c r="B718" s="6">
        <v>60</v>
      </c>
      <c r="C718" s="6" t="s">
        <v>25</v>
      </c>
      <c r="D718" s="6" t="s">
        <v>17</v>
      </c>
      <c r="E718" s="6" t="s">
        <v>27</v>
      </c>
      <c r="F718" s="6">
        <v>1717</v>
      </c>
      <c r="G718" s="6">
        <v>164765.1</v>
      </c>
      <c r="H718" s="7">
        <v>39058</v>
      </c>
      <c r="I718" s="6" t="s">
        <v>63</v>
      </c>
      <c r="J718" s="6" t="s">
        <v>1490</v>
      </c>
      <c r="K718" s="6" t="s">
        <v>30</v>
      </c>
      <c r="L718" s="6" t="s">
        <v>31</v>
      </c>
      <c r="M718" s="6" t="s">
        <v>32</v>
      </c>
      <c r="N718" s="6">
        <v>4.78</v>
      </c>
      <c r="O718" s="4" t="str">
        <f t="shared" si="11"/>
        <v>Excellent</v>
      </c>
      <c r="P718" s="6">
        <v>173</v>
      </c>
    </row>
    <row r="719" spans="1:16" x14ac:dyDescent="0.3">
      <c r="A719" s="6" t="s">
        <v>1491</v>
      </c>
      <c r="B719" s="6">
        <v>60</v>
      </c>
      <c r="C719" s="6" t="s">
        <v>25</v>
      </c>
      <c r="D719" s="6" t="s">
        <v>17</v>
      </c>
      <c r="E719" s="6" t="s">
        <v>34</v>
      </c>
      <c r="F719" s="6">
        <v>1718</v>
      </c>
      <c r="G719" s="6">
        <v>156816.26</v>
      </c>
      <c r="H719" s="7">
        <v>43656</v>
      </c>
      <c r="I719" s="6" t="s">
        <v>66</v>
      </c>
      <c r="J719" s="6" t="s">
        <v>1492</v>
      </c>
      <c r="K719" s="6" t="s">
        <v>37</v>
      </c>
      <c r="L719" s="6" t="s">
        <v>38</v>
      </c>
      <c r="M719" s="6" t="s">
        <v>39</v>
      </c>
      <c r="N719" s="6">
        <v>4.37</v>
      </c>
      <c r="O719" s="4" t="str">
        <f t="shared" si="11"/>
        <v>Excellent</v>
      </c>
      <c r="P719" s="6">
        <v>54</v>
      </c>
    </row>
    <row r="720" spans="1:16" x14ac:dyDescent="0.3">
      <c r="A720" s="6" t="s">
        <v>1493</v>
      </c>
      <c r="B720" s="6">
        <v>33</v>
      </c>
      <c r="C720" s="6" t="s">
        <v>62</v>
      </c>
      <c r="D720" s="6" t="s">
        <v>47</v>
      </c>
      <c r="E720" s="6" t="s">
        <v>80</v>
      </c>
      <c r="F720" s="6">
        <v>1719</v>
      </c>
      <c r="G720" s="6">
        <v>179244.66</v>
      </c>
      <c r="H720" s="7">
        <v>37481</v>
      </c>
      <c r="I720" s="6" t="s">
        <v>70</v>
      </c>
      <c r="J720" s="6" t="s">
        <v>1494</v>
      </c>
      <c r="K720" s="6" t="s">
        <v>43</v>
      </c>
      <c r="L720" s="6" t="s">
        <v>44</v>
      </c>
      <c r="M720" s="6" t="s">
        <v>45</v>
      </c>
      <c r="N720" s="6">
        <v>4.07</v>
      </c>
      <c r="O720" s="4" t="str">
        <f t="shared" si="11"/>
        <v>Excellent</v>
      </c>
      <c r="P720" s="6">
        <v>16</v>
      </c>
    </row>
    <row r="721" spans="1:16" x14ac:dyDescent="0.3">
      <c r="A721" s="6" t="s">
        <v>1495</v>
      </c>
      <c r="B721" s="6">
        <v>43</v>
      </c>
      <c r="C721" s="6" t="s">
        <v>25</v>
      </c>
      <c r="D721" s="6" t="s">
        <v>47</v>
      </c>
      <c r="E721" s="6" t="s">
        <v>80</v>
      </c>
      <c r="F721" s="6">
        <v>1720</v>
      </c>
      <c r="G721" s="6">
        <v>109485.27</v>
      </c>
      <c r="H721" s="7">
        <v>44898</v>
      </c>
      <c r="I721" s="6" t="s">
        <v>73</v>
      </c>
      <c r="J721" s="6" t="s">
        <v>1496</v>
      </c>
      <c r="K721" s="6" t="s">
        <v>51</v>
      </c>
      <c r="L721" s="6" t="s">
        <v>52</v>
      </c>
      <c r="M721" s="6" t="s">
        <v>53</v>
      </c>
      <c r="N721" s="6">
        <v>4.33</v>
      </c>
      <c r="O721" s="4" t="str">
        <f t="shared" si="11"/>
        <v>Excellent</v>
      </c>
      <c r="P721" s="6">
        <v>38</v>
      </c>
    </row>
    <row r="722" spans="1:16" x14ac:dyDescent="0.3">
      <c r="A722" s="6" t="s">
        <v>1497</v>
      </c>
      <c r="B722" s="6">
        <v>24</v>
      </c>
      <c r="C722" s="6" t="s">
        <v>25</v>
      </c>
      <c r="D722" s="6" t="s">
        <v>17</v>
      </c>
      <c r="E722" s="6" t="s">
        <v>18</v>
      </c>
      <c r="F722" s="6">
        <v>1721</v>
      </c>
      <c r="G722" s="6">
        <v>161410.70000000001</v>
      </c>
      <c r="H722" s="7">
        <v>44414</v>
      </c>
      <c r="I722" s="6" t="s">
        <v>19</v>
      </c>
      <c r="J722" s="6" t="s">
        <v>1498</v>
      </c>
      <c r="K722" s="6" t="s">
        <v>21</v>
      </c>
      <c r="L722" s="6" t="s">
        <v>22</v>
      </c>
      <c r="M722" s="6" t="s">
        <v>23</v>
      </c>
      <c r="N722" s="6">
        <v>2.65</v>
      </c>
      <c r="O722" s="4" t="str">
        <f t="shared" si="11"/>
        <v>Average</v>
      </c>
      <c r="P722" s="6">
        <v>66</v>
      </c>
    </row>
    <row r="723" spans="1:16" x14ac:dyDescent="0.3">
      <c r="A723" s="6" t="s">
        <v>1499</v>
      </c>
      <c r="B723" s="6">
        <v>34</v>
      </c>
      <c r="C723" s="6" t="s">
        <v>62</v>
      </c>
      <c r="D723" s="6" t="s">
        <v>69</v>
      </c>
      <c r="E723" s="6" t="s">
        <v>48</v>
      </c>
      <c r="F723" s="6">
        <v>1722</v>
      </c>
      <c r="G723" s="6">
        <v>134470.70000000001</v>
      </c>
      <c r="H723" s="7">
        <v>42766</v>
      </c>
      <c r="I723" s="6" t="s">
        <v>28</v>
      </c>
      <c r="J723" s="6" t="s">
        <v>1500</v>
      </c>
      <c r="K723" s="6" t="s">
        <v>30</v>
      </c>
      <c r="L723" s="6" t="s">
        <v>31</v>
      </c>
      <c r="M723" s="6" t="s">
        <v>32</v>
      </c>
      <c r="N723" s="6">
        <v>1.96</v>
      </c>
      <c r="O723" s="4" t="str">
        <f t="shared" si="11"/>
        <v>Poor</v>
      </c>
      <c r="P723" s="6">
        <v>144</v>
      </c>
    </row>
    <row r="724" spans="1:16" x14ac:dyDescent="0.3">
      <c r="A724" s="6" t="s">
        <v>1501</v>
      </c>
      <c r="B724" s="6">
        <v>51</v>
      </c>
      <c r="C724" s="6" t="s">
        <v>16</v>
      </c>
      <c r="D724" s="6" t="s">
        <v>55</v>
      </c>
      <c r="E724" s="6" t="s">
        <v>48</v>
      </c>
      <c r="F724" s="6">
        <v>1723</v>
      </c>
      <c r="G724" s="6">
        <v>128127.83</v>
      </c>
      <c r="H724" s="7">
        <v>40303</v>
      </c>
      <c r="I724" s="6" t="s">
        <v>35</v>
      </c>
      <c r="J724" s="6" t="s">
        <v>1502</v>
      </c>
      <c r="K724" s="6" t="s">
        <v>37</v>
      </c>
      <c r="L724" s="6" t="s">
        <v>38</v>
      </c>
      <c r="M724" s="6" t="s">
        <v>39</v>
      </c>
      <c r="N724" s="6">
        <v>1.68</v>
      </c>
      <c r="O724" s="4" t="str">
        <f t="shared" si="11"/>
        <v>Poor</v>
      </c>
      <c r="P724" s="6">
        <v>117</v>
      </c>
    </row>
    <row r="725" spans="1:16" x14ac:dyDescent="0.3">
      <c r="A725" s="6" t="s">
        <v>1503</v>
      </c>
      <c r="B725" s="6">
        <v>31</v>
      </c>
      <c r="C725" s="6" t="s">
        <v>62</v>
      </c>
      <c r="D725" s="6" t="s">
        <v>47</v>
      </c>
      <c r="E725" s="6" t="s">
        <v>80</v>
      </c>
      <c r="F725" s="6">
        <v>1724</v>
      </c>
      <c r="G725" s="6">
        <v>90363.78</v>
      </c>
      <c r="H725" s="7">
        <v>38846</v>
      </c>
      <c r="I725" s="6" t="s">
        <v>41</v>
      </c>
      <c r="J725" s="6" t="s">
        <v>1504</v>
      </c>
      <c r="K725" s="6" t="s">
        <v>43</v>
      </c>
      <c r="L725" s="6" t="s">
        <v>44</v>
      </c>
      <c r="M725" s="6" t="s">
        <v>45</v>
      </c>
      <c r="N725" s="6">
        <v>3.8</v>
      </c>
      <c r="O725" s="4" t="str">
        <f t="shared" si="11"/>
        <v>Good</v>
      </c>
      <c r="P725" s="6">
        <v>152</v>
      </c>
    </row>
    <row r="726" spans="1:16" x14ac:dyDescent="0.3">
      <c r="A726" s="6" t="s">
        <v>1505</v>
      </c>
      <c r="B726" s="6">
        <v>30</v>
      </c>
      <c r="C726" s="6" t="s">
        <v>25</v>
      </c>
      <c r="D726" s="6" t="s">
        <v>55</v>
      </c>
      <c r="E726" s="6" t="s">
        <v>34</v>
      </c>
      <c r="F726" s="6">
        <v>1725</v>
      </c>
      <c r="G726" s="6">
        <v>126276.9</v>
      </c>
      <c r="H726" s="7">
        <v>40459</v>
      </c>
      <c r="I726" s="6" t="s">
        <v>49</v>
      </c>
      <c r="J726" s="6" t="s">
        <v>1506</v>
      </c>
      <c r="K726" s="6" t="s">
        <v>51</v>
      </c>
      <c r="L726" s="6" t="s">
        <v>52</v>
      </c>
      <c r="M726" s="6" t="s">
        <v>53</v>
      </c>
      <c r="N726" s="6">
        <v>4.1399999999999997</v>
      </c>
      <c r="O726" s="4" t="str">
        <f t="shared" si="11"/>
        <v>Excellent</v>
      </c>
      <c r="P726" s="6">
        <v>198</v>
      </c>
    </row>
    <row r="727" spans="1:16" x14ac:dyDescent="0.3">
      <c r="A727" s="6" t="s">
        <v>1507</v>
      </c>
      <c r="B727" s="6">
        <v>27</v>
      </c>
      <c r="C727" s="6" t="s">
        <v>25</v>
      </c>
      <c r="D727" s="6" t="s">
        <v>69</v>
      </c>
      <c r="E727" s="6" t="s">
        <v>34</v>
      </c>
      <c r="F727" s="6">
        <v>1726</v>
      </c>
      <c r="G727" s="6">
        <v>58197.04</v>
      </c>
      <c r="H727" s="7">
        <v>39179</v>
      </c>
      <c r="I727" s="6" t="s">
        <v>56</v>
      </c>
      <c r="J727" s="6" t="s">
        <v>1508</v>
      </c>
      <c r="K727" s="6" t="s">
        <v>21</v>
      </c>
      <c r="L727" s="6" t="s">
        <v>22</v>
      </c>
      <c r="M727" s="6" t="s">
        <v>23</v>
      </c>
      <c r="N727" s="6">
        <v>1.5</v>
      </c>
      <c r="O727" s="4" t="str">
        <f t="shared" si="11"/>
        <v>Poor</v>
      </c>
      <c r="P727" s="6">
        <v>20</v>
      </c>
    </row>
    <row r="728" spans="1:16" x14ac:dyDescent="0.3">
      <c r="A728" s="6" t="s">
        <v>1509</v>
      </c>
      <c r="B728" s="6">
        <v>23</v>
      </c>
      <c r="C728" s="6" t="s">
        <v>16</v>
      </c>
      <c r="D728" s="6" t="s">
        <v>47</v>
      </c>
      <c r="E728" s="6" t="s">
        <v>18</v>
      </c>
      <c r="F728" s="6">
        <v>1727</v>
      </c>
      <c r="G728" s="6">
        <v>67318.33</v>
      </c>
      <c r="H728" s="7">
        <v>43859</v>
      </c>
      <c r="I728" s="6" t="s">
        <v>63</v>
      </c>
      <c r="J728" s="6" t="s">
        <v>1510</v>
      </c>
      <c r="K728" s="6" t="s">
        <v>30</v>
      </c>
      <c r="L728" s="6" t="s">
        <v>31</v>
      </c>
      <c r="M728" s="6" t="s">
        <v>32</v>
      </c>
      <c r="N728" s="6">
        <v>4.83</v>
      </c>
      <c r="O728" s="4" t="str">
        <f t="shared" si="11"/>
        <v>Excellent</v>
      </c>
      <c r="P728" s="6">
        <v>130</v>
      </c>
    </row>
    <row r="729" spans="1:16" x14ac:dyDescent="0.3">
      <c r="A729" s="6" t="s">
        <v>1511</v>
      </c>
      <c r="B729" s="6">
        <v>37</v>
      </c>
      <c r="C729" s="6" t="s">
        <v>16</v>
      </c>
      <c r="D729" s="6" t="s">
        <v>26</v>
      </c>
      <c r="E729" s="6" t="s">
        <v>27</v>
      </c>
      <c r="F729" s="6">
        <v>1728</v>
      </c>
      <c r="G729" s="6">
        <v>121627.77</v>
      </c>
      <c r="H729" s="7">
        <v>42287</v>
      </c>
      <c r="I729" s="6" t="s">
        <v>66</v>
      </c>
      <c r="J729" s="6" t="s">
        <v>1512</v>
      </c>
      <c r="K729" s="6" t="s">
        <v>37</v>
      </c>
      <c r="L729" s="6" t="s">
        <v>38</v>
      </c>
      <c r="M729" s="6" t="s">
        <v>39</v>
      </c>
      <c r="N729" s="6">
        <v>3.4</v>
      </c>
      <c r="O729" s="4" t="str">
        <f t="shared" si="11"/>
        <v>Good</v>
      </c>
      <c r="P729" s="6">
        <v>188</v>
      </c>
    </row>
    <row r="730" spans="1:16" x14ac:dyDescent="0.3">
      <c r="A730" s="6" t="s">
        <v>1513</v>
      </c>
      <c r="B730" s="6">
        <v>34</v>
      </c>
      <c r="C730" s="6" t="s">
        <v>62</v>
      </c>
      <c r="D730" s="6" t="s">
        <v>26</v>
      </c>
      <c r="E730" s="6" t="s">
        <v>27</v>
      </c>
      <c r="F730" s="6">
        <v>1729</v>
      </c>
      <c r="G730" s="6">
        <v>94799.09</v>
      </c>
      <c r="H730" s="7">
        <v>37214</v>
      </c>
      <c r="I730" s="6" t="s">
        <v>70</v>
      </c>
      <c r="J730" s="6" t="s">
        <v>1514</v>
      </c>
      <c r="K730" s="6" t="s">
        <v>43</v>
      </c>
      <c r="L730" s="6" t="s">
        <v>44</v>
      </c>
      <c r="M730" s="6" t="s">
        <v>45</v>
      </c>
      <c r="N730" s="6">
        <v>3.97</v>
      </c>
      <c r="O730" s="4" t="str">
        <f t="shared" si="11"/>
        <v>Good</v>
      </c>
      <c r="P730" s="6">
        <v>21</v>
      </c>
    </row>
    <row r="731" spans="1:16" x14ac:dyDescent="0.3">
      <c r="A731" s="6" t="s">
        <v>1515</v>
      </c>
      <c r="B731" s="6">
        <v>34</v>
      </c>
      <c r="C731" s="6" t="s">
        <v>16</v>
      </c>
      <c r="D731" s="6" t="s">
        <v>17</v>
      </c>
      <c r="E731" s="6" t="s">
        <v>18</v>
      </c>
      <c r="F731" s="6">
        <v>1730</v>
      </c>
      <c r="G731" s="6">
        <v>185500.2</v>
      </c>
      <c r="H731" s="7">
        <v>39910</v>
      </c>
      <c r="I731" s="6" t="s">
        <v>73</v>
      </c>
      <c r="J731" s="6" t="s">
        <v>1516</v>
      </c>
      <c r="K731" s="6" t="s">
        <v>51</v>
      </c>
      <c r="L731" s="6" t="s">
        <v>52</v>
      </c>
      <c r="M731" s="6" t="s">
        <v>53</v>
      </c>
      <c r="N731" s="6">
        <v>1.81</v>
      </c>
      <c r="O731" s="4" t="str">
        <f t="shared" si="11"/>
        <v>Poor</v>
      </c>
      <c r="P731" s="6">
        <v>135</v>
      </c>
    </row>
    <row r="732" spans="1:16" x14ac:dyDescent="0.3">
      <c r="A732" s="6" t="s">
        <v>1517</v>
      </c>
      <c r="B732" s="6">
        <v>43</v>
      </c>
      <c r="C732" s="6" t="s">
        <v>25</v>
      </c>
      <c r="D732" s="6" t="s">
        <v>55</v>
      </c>
      <c r="E732" s="6" t="s">
        <v>27</v>
      </c>
      <c r="F732" s="6">
        <v>1731</v>
      </c>
      <c r="G732" s="6">
        <v>193072.67</v>
      </c>
      <c r="H732" s="7">
        <v>40220</v>
      </c>
      <c r="I732" s="6" t="s">
        <v>19</v>
      </c>
      <c r="J732" s="6" t="s">
        <v>1518</v>
      </c>
      <c r="K732" s="6" t="s">
        <v>21</v>
      </c>
      <c r="L732" s="6" t="s">
        <v>22</v>
      </c>
      <c r="M732" s="6" t="s">
        <v>23</v>
      </c>
      <c r="N732" s="6">
        <v>3.89</v>
      </c>
      <c r="O732" s="4" t="str">
        <f t="shared" si="11"/>
        <v>Good</v>
      </c>
      <c r="P732" s="6">
        <v>56</v>
      </c>
    </row>
    <row r="733" spans="1:16" x14ac:dyDescent="0.3">
      <c r="A733" s="6" t="s">
        <v>1519</v>
      </c>
      <c r="B733" s="6">
        <v>40</v>
      </c>
      <c r="C733" s="6" t="s">
        <v>25</v>
      </c>
      <c r="D733" s="6" t="s">
        <v>26</v>
      </c>
      <c r="E733" s="6" t="s">
        <v>80</v>
      </c>
      <c r="F733" s="6">
        <v>1732</v>
      </c>
      <c r="G733" s="6">
        <v>181811.28</v>
      </c>
      <c r="H733" s="7">
        <v>39614</v>
      </c>
      <c r="I733" s="6" t="s">
        <v>28</v>
      </c>
      <c r="J733" s="6" t="s">
        <v>1520</v>
      </c>
      <c r="K733" s="6" t="s">
        <v>30</v>
      </c>
      <c r="L733" s="6" t="s">
        <v>31</v>
      </c>
      <c r="M733" s="6" t="s">
        <v>32</v>
      </c>
      <c r="N733" s="6">
        <v>1.03</v>
      </c>
      <c r="O733" s="4" t="str">
        <f t="shared" si="11"/>
        <v>Poor</v>
      </c>
      <c r="P733" s="6">
        <v>137</v>
      </c>
    </row>
    <row r="734" spans="1:16" x14ac:dyDescent="0.3">
      <c r="A734" s="6" t="s">
        <v>1521</v>
      </c>
      <c r="B734" s="6">
        <v>47</v>
      </c>
      <c r="C734" s="6" t="s">
        <v>25</v>
      </c>
      <c r="D734" s="6" t="s">
        <v>17</v>
      </c>
      <c r="E734" s="6" t="s">
        <v>48</v>
      </c>
      <c r="F734" s="6">
        <v>1733</v>
      </c>
      <c r="G734" s="6">
        <v>56193.36</v>
      </c>
      <c r="H734" s="7">
        <v>41259</v>
      </c>
      <c r="I734" s="6" t="s">
        <v>35</v>
      </c>
      <c r="J734" s="6" t="s">
        <v>1522</v>
      </c>
      <c r="K734" s="6" t="s">
        <v>37</v>
      </c>
      <c r="L734" s="6" t="s">
        <v>38</v>
      </c>
      <c r="M734" s="6" t="s">
        <v>39</v>
      </c>
      <c r="N734" s="6">
        <v>3.38</v>
      </c>
      <c r="O734" s="4" t="str">
        <f t="shared" si="11"/>
        <v>Good</v>
      </c>
      <c r="P734" s="6">
        <v>3</v>
      </c>
    </row>
    <row r="735" spans="1:16" x14ac:dyDescent="0.3">
      <c r="A735" s="6" t="s">
        <v>1523</v>
      </c>
      <c r="B735" s="6">
        <v>35</v>
      </c>
      <c r="C735" s="6" t="s">
        <v>25</v>
      </c>
      <c r="D735" s="6" t="s">
        <v>17</v>
      </c>
      <c r="E735" s="6" t="s">
        <v>48</v>
      </c>
      <c r="F735" s="6">
        <v>1734</v>
      </c>
      <c r="G735" s="6">
        <v>172901.1</v>
      </c>
      <c r="H735" s="7">
        <v>44370</v>
      </c>
      <c r="I735" s="6" t="s">
        <v>41</v>
      </c>
      <c r="J735" s="6" t="s">
        <v>1524</v>
      </c>
      <c r="K735" s="6" t="s">
        <v>43</v>
      </c>
      <c r="L735" s="6" t="s">
        <v>44</v>
      </c>
      <c r="M735" s="6" t="s">
        <v>45</v>
      </c>
      <c r="N735" s="6">
        <v>4.2300000000000004</v>
      </c>
      <c r="O735" s="4" t="str">
        <f t="shared" si="11"/>
        <v>Excellent</v>
      </c>
      <c r="P735" s="6">
        <v>187</v>
      </c>
    </row>
    <row r="736" spans="1:16" x14ac:dyDescent="0.3">
      <c r="A736" s="6" t="s">
        <v>1525</v>
      </c>
      <c r="B736" s="6">
        <v>52</v>
      </c>
      <c r="C736" s="6" t="s">
        <v>16</v>
      </c>
      <c r="D736" s="6" t="s">
        <v>17</v>
      </c>
      <c r="E736" s="6" t="s">
        <v>27</v>
      </c>
      <c r="F736" s="6">
        <v>1735</v>
      </c>
      <c r="G736" s="6">
        <v>119029.05</v>
      </c>
      <c r="H736" s="7">
        <v>36814</v>
      </c>
      <c r="I736" s="6" t="s">
        <v>49</v>
      </c>
      <c r="J736" s="6" t="s">
        <v>1526</v>
      </c>
      <c r="K736" s="6" t="s">
        <v>51</v>
      </c>
      <c r="L736" s="6" t="s">
        <v>52</v>
      </c>
      <c r="M736" s="6" t="s">
        <v>53</v>
      </c>
      <c r="N736" s="6">
        <v>1.2</v>
      </c>
      <c r="O736" s="4" t="str">
        <f t="shared" si="11"/>
        <v>Poor</v>
      </c>
      <c r="P736" s="6">
        <v>163</v>
      </c>
    </row>
    <row r="737" spans="1:16" x14ac:dyDescent="0.3">
      <c r="A737" s="6" t="s">
        <v>1527</v>
      </c>
      <c r="B737" s="6">
        <v>50</v>
      </c>
      <c r="C737" s="6" t="s">
        <v>25</v>
      </c>
      <c r="D737" s="6" t="s">
        <v>69</v>
      </c>
      <c r="E737" s="6" t="s">
        <v>27</v>
      </c>
      <c r="F737" s="6">
        <v>1736</v>
      </c>
      <c r="G737" s="6">
        <v>57038.63</v>
      </c>
      <c r="H737" s="7">
        <v>44376</v>
      </c>
      <c r="I737" s="6" t="s">
        <v>56</v>
      </c>
      <c r="J737" s="6" t="s">
        <v>1528</v>
      </c>
      <c r="K737" s="6" t="s">
        <v>21</v>
      </c>
      <c r="L737" s="6" t="s">
        <v>22</v>
      </c>
      <c r="M737" s="6" t="s">
        <v>23</v>
      </c>
      <c r="N737" s="6">
        <v>2.48</v>
      </c>
      <c r="O737" s="4" t="str">
        <f t="shared" si="11"/>
        <v>Average</v>
      </c>
      <c r="P737" s="6">
        <v>111</v>
      </c>
    </row>
    <row r="738" spans="1:16" x14ac:dyDescent="0.3">
      <c r="A738" s="6" t="s">
        <v>1529</v>
      </c>
      <c r="B738" s="6">
        <v>63</v>
      </c>
      <c r="C738" s="6" t="s">
        <v>25</v>
      </c>
      <c r="D738" s="6" t="s">
        <v>55</v>
      </c>
      <c r="E738" s="6" t="s">
        <v>27</v>
      </c>
      <c r="F738" s="6">
        <v>1737</v>
      </c>
      <c r="G738" s="6">
        <v>67698.48</v>
      </c>
      <c r="H738" s="7">
        <v>41323</v>
      </c>
      <c r="I738" s="6" t="s">
        <v>63</v>
      </c>
      <c r="J738" s="6" t="s">
        <v>1530</v>
      </c>
      <c r="K738" s="6" t="s">
        <v>30</v>
      </c>
      <c r="L738" s="6" t="s">
        <v>31</v>
      </c>
      <c r="M738" s="6" t="s">
        <v>32</v>
      </c>
      <c r="N738" s="6">
        <v>1.59</v>
      </c>
      <c r="O738" s="4" t="str">
        <f t="shared" si="11"/>
        <v>Poor</v>
      </c>
      <c r="P738" s="6">
        <v>112</v>
      </c>
    </row>
    <row r="739" spans="1:16" x14ac:dyDescent="0.3">
      <c r="A739" s="6" t="s">
        <v>1531</v>
      </c>
      <c r="B739" s="6">
        <v>43</v>
      </c>
      <c r="C739" s="6" t="s">
        <v>25</v>
      </c>
      <c r="D739" s="6" t="s">
        <v>47</v>
      </c>
      <c r="E739" s="6" t="s">
        <v>48</v>
      </c>
      <c r="F739" s="6">
        <v>1738</v>
      </c>
      <c r="G739" s="6">
        <v>169170.6</v>
      </c>
      <c r="H739" s="7">
        <v>42807</v>
      </c>
      <c r="I739" s="6" t="s">
        <v>66</v>
      </c>
      <c r="J739" s="6" t="s">
        <v>1532</v>
      </c>
      <c r="K739" s="6" t="s">
        <v>37</v>
      </c>
      <c r="L739" s="6" t="s">
        <v>38</v>
      </c>
      <c r="M739" s="6" t="s">
        <v>39</v>
      </c>
      <c r="N739" s="6">
        <v>3.77</v>
      </c>
      <c r="O739" s="4" t="str">
        <f t="shared" si="11"/>
        <v>Good</v>
      </c>
      <c r="P739" s="6">
        <v>144</v>
      </c>
    </row>
    <row r="740" spans="1:16" x14ac:dyDescent="0.3">
      <c r="A740" s="6" t="s">
        <v>1533</v>
      </c>
      <c r="B740" s="6">
        <v>28</v>
      </c>
      <c r="C740" s="6" t="s">
        <v>62</v>
      </c>
      <c r="D740" s="6" t="s">
        <v>17</v>
      </c>
      <c r="E740" s="6" t="s">
        <v>27</v>
      </c>
      <c r="F740" s="6">
        <v>1739</v>
      </c>
      <c r="G740" s="6">
        <v>122593.74</v>
      </c>
      <c r="H740" s="7">
        <v>42432</v>
      </c>
      <c r="I740" s="6" t="s">
        <v>70</v>
      </c>
      <c r="J740" s="6" t="s">
        <v>1534</v>
      </c>
      <c r="K740" s="6" t="s">
        <v>43</v>
      </c>
      <c r="L740" s="6" t="s">
        <v>44</v>
      </c>
      <c r="M740" s="6" t="s">
        <v>45</v>
      </c>
      <c r="N740" s="6">
        <v>3.71</v>
      </c>
      <c r="O740" s="4" t="str">
        <f t="shared" si="11"/>
        <v>Good</v>
      </c>
      <c r="P740" s="6">
        <v>75</v>
      </c>
    </row>
    <row r="741" spans="1:16" x14ac:dyDescent="0.3">
      <c r="A741" s="6" t="s">
        <v>1535</v>
      </c>
      <c r="B741" s="6">
        <v>58</v>
      </c>
      <c r="C741" s="6" t="s">
        <v>62</v>
      </c>
      <c r="D741" s="6" t="s">
        <v>47</v>
      </c>
      <c r="E741" s="6" t="s">
        <v>34</v>
      </c>
      <c r="F741" s="6">
        <v>1740</v>
      </c>
      <c r="G741" s="6">
        <v>138495.35999999999</v>
      </c>
      <c r="H741" s="7">
        <v>40530</v>
      </c>
      <c r="I741" s="6" t="s">
        <v>73</v>
      </c>
      <c r="J741" s="6" t="s">
        <v>1536</v>
      </c>
      <c r="K741" s="6" t="s">
        <v>51</v>
      </c>
      <c r="L741" s="6" t="s">
        <v>52</v>
      </c>
      <c r="M741" s="6" t="s">
        <v>53</v>
      </c>
      <c r="N741" s="6">
        <v>2.5499999999999998</v>
      </c>
      <c r="O741" s="4" t="str">
        <f t="shared" si="11"/>
        <v>Average</v>
      </c>
      <c r="P741" s="6">
        <v>177</v>
      </c>
    </row>
    <row r="742" spans="1:16" x14ac:dyDescent="0.3">
      <c r="A742" s="6" t="s">
        <v>1537</v>
      </c>
      <c r="B742" s="6">
        <v>62</v>
      </c>
      <c r="C742" s="6" t="s">
        <v>25</v>
      </c>
      <c r="D742" s="6" t="s">
        <v>26</v>
      </c>
      <c r="E742" s="6" t="s">
        <v>34</v>
      </c>
      <c r="F742" s="6">
        <v>1741</v>
      </c>
      <c r="G742" s="6">
        <v>53051.51</v>
      </c>
      <c r="H742" s="7">
        <v>43519</v>
      </c>
      <c r="I742" s="6" t="s">
        <v>19</v>
      </c>
      <c r="J742" s="6" t="s">
        <v>1538</v>
      </c>
      <c r="K742" s="6" t="s">
        <v>21</v>
      </c>
      <c r="L742" s="6" t="s">
        <v>22</v>
      </c>
      <c r="M742" s="6" t="s">
        <v>23</v>
      </c>
      <c r="N742" s="6">
        <v>2.58</v>
      </c>
      <c r="O742" s="4" t="str">
        <f t="shared" si="11"/>
        <v>Average</v>
      </c>
      <c r="P742" s="6">
        <v>111</v>
      </c>
    </row>
    <row r="743" spans="1:16" x14ac:dyDescent="0.3">
      <c r="A743" s="6" t="s">
        <v>1539</v>
      </c>
      <c r="B743" s="6">
        <v>48</v>
      </c>
      <c r="C743" s="6" t="s">
        <v>16</v>
      </c>
      <c r="D743" s="6" t="s">
        <v>69</v>
      </c>
      <c r="E743" s="6" t="s">
        <v>80</v>
      </c>
      <c r="F743" s="6">
        <v>1742</v>
      </c>
      <c r="G743" s="6">
        <v>55561.86</v>
      </c>
      <c r="H743" s="7">
        <v>39716</v>
      </c>
      <c r="I743" s="6" t="s">
        <v>28</v>
      </c>
      <c r="J743" s="6" t="s">
        <v>1540</v>
      </c>
      <c r="K743" s="6" t="s">
        <v>30</v>
      </c>
      <c r="L743" s="6" t="s">
        <v>31</v>
      </c>
      <c r="M743" s="6" t="s">
        <v>32</v>
      </c>
      <c r="N743" s="6">
        <v>2.73</v>
      </c>
      <c r="O743" s="4" t="str">
        <f t="shared" si="11"/>
        <v>Average</v>
      </c>
      <c r="P743" s="6">
        <v>107</v>
      </c>
    </row>
    <row r="744" spans="1:16" x14ac:dyDescent="0.3">
      <c r="A744" s="6" t="s">
        <v>1541</v>
      </c>
      <c r="B744" s="6">
        <v>52</v>
      </c>
      <c r="C744" s="6" t="s">
        <v>16</v>
      </c>
      <c r="D744" s="6" t="s">
        <v>47</v>
      </c>
      <c r="E744" s="6" t="s">
        <v>18</v>
      </c>
      <c r="F744" s="6">
        <v>1743</v>
      </c>
      <c r="G744" s="6">
        <v>114242.76</v>
      </c>
      <c r="H744" s="7">
        <v>36807</v>
      </c>
      <c r="I744" s="6" t="s">
        <v>35</v>
      </c>
      <c r="J744" s="6" t="s">
        <v>1542</v>
      </c>
      <c r="K744" s="6" t="s">
        <v>37</v>
      </c>
      <c r="L744" s="6" t="s">
        <v>38</v>
      </c>
      <c r="M744" s="6" t="s">
        <v>39</v>
      </c>
      <c r="N744" s="6">
        <v>4.83</v>
      </c>
      <c r="O744" s="4" t="str">
        <f t="shared" si="11"/>
        <v>Excellent</v>
      </c>
      <c r="P744" s="6">
        <v>121</v>
      </c>
    </row>
    <row r="745" spans="1:16" x14ac:dyDescent="0.3">
      <c r="A745" s="6" t="s">
        <v>1543</v>
      </c>
      <c r="B745" s="6">
        <v>27</v>
      </c>
      <c r="C745" s="6" t="s">
        <v>62</v>
      </c>
      <c r="D745" s="6" t="s">
        <v>17</v>
      </c>
      <c r="E745" s="6" t="s">
        <v>80</v>
      </c>
      <c r="F745" s="6">
        <v>1744</v>
      </c>
      <c r="G745" s="6">
        <v>125727.01</v>
      </c>
      <c r="H745" s="7">
        <v>43079</v>
      </c>
      <c r="I745" s="6" t="s">
        <v>41</v>
      </c>
      <c r="J745" s="6" t="s">
        <v>1544</v>
      </c>
      <c r="K745" s="6" t="s">
        <v>43</v>
      </c>
      <c r="L745" s="6" t="s">
        <v>44</v>
      </c>
      <c r="M745" s="6" t="s">
        <v>45</v>
      </c>
      <c r="N745" s="6">
        <v>2.15</v>
      </c>
      <c r="O745" s="4" t="str">
        <f t="shared" si="11"/>
        <v>Average</v>
      </c>
      <c r="P745" s="6">
        <v>80</v>
      </c>
    </row>
    <row r="746" spans="1:16" x14ac:dyDescent="0.3">
      <c r="A746" s="6" t="s">
        <v>1545</v>
      </c>
      <c r="B746" s="6">
        <v>37</v>
      </c>
      <c r="C746" s="6" t="s">
        <v>62</v>
      </c>
      <c r="D746" s="6" t="s">
        <v>69</v>
      </c>
      <c r="E746" s="6" t="s">
        <v>48</v>
      </c>
      <c r="F746" s="6">
        <v>1745</v>
      </c>
      <c r="G746" s="6">
        <v>73836.81</v>
      </c>
      <c r="H746" s="7">
        <v>42297</v>
      </c>
      <c r="I746" s="6" t="s">
        <v>49</v>
      </c>
      <c r="J746" s="6" t="s">
        <v>1546</v>
      </c>
      <c r="K746" s="6" t="s">
        <v>51</v>
      </c>
      <c r="L746" s="6" t="s">
        <v>52</v>
      </c>
      <c r="M746" s="6" t="s">
        <v>53</v>
      </c>
      <c r="N746" s="6">
        <v>4.04</v>
      </c>
      <c r="O746" s="4" t="str">
        <f t="shared" si="11"/>
        <v>Excellent</v>
      </c>
      <c r="P746" s="6">
        <v>170</v>
      </c>
    </row>
    <row r="747" spans="1:16" x14ac:dyDescent="0.3">
      <c r="A747" s="6" t="s">
        <v>1547</v>
      </c>
      <c r="B747" s="6">
        <v>59</v>
      </c>
      <c r="C747" s="6" t="s">
        <v>16</v>
      </c>
      <c r="D747" s="6" t="s">
        <v>17</v>
      </c>
      <c r="E747" s="6" t="s">
        <v>34</v>
      </c>
      <c r="F747" s="6">
        <v>1746</v>
      </c>
      <c r="G747" s="6">
        <v>105737.07</v>
      </c>
      <c r="H747" s="7">
        <v>41567</v>
      </c>
      <c r="I747" s="6" t="s">
        <v>56</v>
      </c>
      <c r="J747" s="6" t="s">
        <v>1548</v>
      </c>
      <c r="K747" s="6" t="s">
        <v>21</v>
      </c>
      <c r="L747" s="6" t="s">
        <v>22</v>
      </c>
      <c r="M747" s="6" t="s">
        <v>23</v>
      </c>
      <c r="N747" s="6">
        <v>4.2300000000000004</v>
      </c>
      <c r="O747" s="4" t="str">
        <f t="shared" si="11"/>
        <v>Excellent</v>
      </c>
      <c r="P747" s="6">
        <v>117</v>
      </c>
    </row>
    <row r="748" spans="1:16" x14ac:dyDescent="0.3">
      <c r="A748" s="6" t="s">
        <v>1549</v>
      </c>
      <c r="B748" s="6">
        <v>59</v>
      </c>
      <c r="C748" s="6" t="s">
        <v>62</v>
      </c>
      <c r="D748" s="6" t="s">
        <v>69</v>
      </c>
      <c r="E748" s="6" t="s">
        <v>18</v>
      </c>
      <c r="F748" s="6">
        <v>1747</v>
      </c>
      <c r="G748" s="6">
        <v>50541.82</v>
      </c>
      <c r="H748" s="7">
        <v>37949</v>
      </c>
      <c r="I748" s="6" t="s">
        <v>63</v>
      </c>
      <c r="J748" s="6" t="s">
        <v>1550</v>
      </c>
      <c r="K748" s="6" t="s">
        <v>30</v>
      </c>
      <c r="L748" s="6" t="s">
        <v>31</v>
      </c>
      <c r="M748" s="6" t="s">
        <v>32</v>
      </c>
      <c r="N748" s="6">
        <v>2.84</v>
      </c>
      <c r="O748" s="4" t="str">
        <f t="shared" si="11"/>
        <v>Average</v>
      </c>
      <c r="P748" s="6">
        <v>59</v>
      </c>
    </row>
    <row r="749" spans="1:16" x14ac:dyDescent="0.3">
      <c r="A749" s="6" t="s">
        <v>1551</v>
      </c>
      <c r="B749" s="6">
        <v>53</v>
      </c>
      <c r="C749" s="6" t="s">
        <v>62</v>
      </c>
      <c r="D749" s="6" t="s">
        <v>47</v>
      </c>
      <c r="E749" s="6" t="s">
        <v>34</v>
      </c>
      <c r="F749" s="6">
        <v>1748</v>
      </c>
      <c r="G749" s="6">
        <v>70002.009999999995</v>
      </c>
      <c r="H749" s="7">
        <v>38536</v>
      </c>
      <c r="I749" s="6" t="s">
        <v>66</v>
      </c>
      <c r="J749" s="6" t="s">
        <v>1552</v>
      </c>
      <c r="K749" s="6" t="s">
        <v>37</v>
      </c>
      <c r="L749" s="6" t="s">
        <v>38</v>
      </c>
      <c r="M749" s="6" t="s">
        <v>39</v>
      </c>
      <c r="N749" s="6">
        <v>3.67</v>
      </c>
      <c r="O749" s="4" t="str">
        <f t="shared" si="11"/>
        <v>Good</v>
      </c>
      <c r="P749" s="6">
        <v>167</v>
      </c>
    </row>
    <row r="750" spans="1:16" x14ac:dyDescent="0.3">
      <c r="A750" s="6" t="s">
        <v>1553</v>
      </c>
      <c r="B750" s="6">
        <v>54</v>
      </c>
      <c r="C750" s="6" t="s">
        <v>25</v>
      </c>
      <c r="D750" s="6" t="s">
        <v>47</v>
      </c>
      <c r="E750" s="6" t="s">
        <v>27</v>
      </c>
      <c r="F750" s="6">
        <v>1749</v>
      </c>
      <c r="G750" s="6">
        <v>53749.14</v>
      </c>
      <c r="H750" s="7">
        <v>40906</v>
      </c>
      <c r="I750" s="6" t="s">
        <v>70</v>
      </c>
      <c r="J750" s="6" t="s">
        <v>1554</v>
      </c>
      <c r="K750" s="6" t="s">
        <v>43</v>
      </c>
      <c r="L750" s="6" t="s">
        <v>44</v>
      </c>
      <c r="M750" s="6" t="s">
        <v>45</v>
      </c>
      <c r="N750" s="6">
        <v>3.85</v>
      </c>
      <c r="O750" s="4" t="str">
        <f t="shared" si="11"/>
        <v>Good</v>
      </c>
      <c r="P750" s="6">
        <v>83</v>
      </c>
    </row>
    <row r="751" spans="1:16" x14ac:dyDescent="0.3">
      <c r="A751" s="6" t="s">
        <v>1555</v>
      </c>
      <c r="B751" s="6">
        <v>38</v>
      </c>
      <c r="C751" s="6" t="s">
        <v>16</v>
      </c>
      <c r="D751" s="6" t="s">
        <v>26</v>
      </c>
      <c r="E751" s="6" t="s">
        <v>48</v>
      </c>
      <c r="F751" s="6">
        <v>1750</v>
      </c>
      <c r="G751" s="6">
        <v>182042.48</v>
      </c>
      <c r="H751" s="7">
        <v>37642</v>
      </c>
      <c r="I751" s="6" t="s">
        <v>73</v>
      </c>
      <c r="J751" s="6" t="s">
        <v>1556</v>
      </c>
      <c r="K751" s="6" t="s">
        <v>51</v>
      </c>
      <c r="L751" s="6" t="s">
        <v>52</v>
      </c>
      <c r="M751" s="6" t="s">
        <v>53</v>
      </c>
      <c r="N751" s="6">
        <v>3.27</v>
      </c>
      <c r="O751" s="4" t="str">
        <f t="shared" si="11"/>
        <v>Good</v>
      </c>
      <c r="P751" s="6">
        <v>199</v>
      </c>
    </row>
    <row r="752" spans="1:16" x14ac:dyDescent="0.3">
      <c r="A752" s="6" t="s">
        <v>1557</v>
      </c>
      <c r="B752" s="6">
        <v>54</v>
      </c>
      <c r="C752" s="6" t="s">
        <v>25</v>
      </c>
      <c r="D752" s="6" t="s">
        <v>55</v>
      </c>
      <c r="E752" s="6" t="s">
        <v>18</v>
      </c>
      <c r="F752" s="6">
        <v>1751</v>
      </c>
      <c r="G752" s="6">
        <v>59206.9</v>
      </c>
      <c r="H752" s="7">
        <v>43637</v>
      </c>
      <c r="I752" s="6" t="s">
        <v>19</v>
      </c>
      <c r="J752" s="6" t="s">
        <v>1558</v>
      </c>
      <c r="K752" s="6" t="s">
        <v>21</v>
      </c>
      <c r="L752" s="6" t="s">
        <v>22</v>
      </c>
      <c r="M752" s="6" t="s">
        <v>23</v>
      </c>
      <c r="N752" s="6">
        <v>2.2200000000000002</v>
      </c>
      <c r="O752" s="4" t="str">
        <f t="shared" si="11"/>
        <v>Average</v>
      </c>
      <c r="P752" s="6">
        <v>34</v>
      </c>
    </row>
    <row r="753" spans="1:16" x14ac:dyDescent="0.3">
      <c r="A753" s="6" t="s">
        <v>1559</v>
      </c>
      <c r="B753" s="6">
        <v>32</v>
      </c>
      <c r="C753" s="6" t="s">
        <v>62</v>
      </c>
      <c r="D753" s="6" t="s">
        <v>17</v>
      </c>
      <c r="E753" s="6" t="s">
        <v>80</v>
      </c>
      <c r="F753" s="6">
        <v>1752</v>
      </c>
      <c r="G753" s="6">
        <v>134085.07</v>
      </c>
      <c r="H753" s="7">
        <v>36873</v>
      </c>
      <c r="I753" s="6" t="s">
        <v>28</v>
      </c>
      <c r="J753" s="6" t="s">
        <v>1560</v>
      </c>
      <c r="K753" s="6" t="s">
        <v>30</v>
      </c>
      <c r="L753" s="6" t="s">
        <v>31</v>
      </c>
      <c r="M753" s="6" t="s">
        <v>32</v>
      </c>
      <c r="N753" s="6">
        <v>3.13</v>
      </c>
      <c r="O753" s="4" t="str">
        <f t="shared" si="11"/>
        <v>Good</v>
      </c>
      <c r="P753" s="6">
        <v>96</v>
      </c>
    </row>
    <row r="754" spans="1:16" x14ac:dyDescent="0.3">
      <c r="A754" s="6" t="s">
        <v>1561</v>
      </c>
      <c r="B754" s="6">
        <v>34</v>
      </c>
      <c r="C754" s="6" t="s">
        <v>62</v>
      </c>
      <c r="D754" s="6" t="s">
        <v>17</v>
      </c>
      <c r="E754" s="6" t="s">
        <v>48</v>
      </c>
      <c r="F754" s="6">
        <v>1753</v>
      </c>
      <c r="G754" s="6">
        <v>137779.9</v>
      </c>
      <c r="H754" s="7">
        <v>41035</v>
      </c>
      <c r="I754" s="6" t="s">
        <v>35</v>
      </c>
      <c r="J754" s="6" t="s">
        <v>1562</v>
      </c>
      <c r="K754" s="6" t="s">
        <v>37</v>
      </c>
      <c r="L754" s="6" t="s">
        <v>38</v>
      </c>
      <c r="M754" s="6" t="s">
        <v>39</v>
      </c>
      <c r="N754" s="6">
        <v>1.73</v>
      </c>
      <c r="O754" s="4" t="str">
        <f t="shared" si="11"/>
        <v>Poor</v>
      </c>
      <c r="P754" s="6">
        <v>185</v>
      </c>
    </row>
    <row r="755" spans="1:16" x14ac:dyDescent="0.3">
      <c r="A755" s="6" t="s">
        <v>1563</v>
      </c>
      <c r="B755" s="6">
        <v>51</v>
      </c>
      <c r="C755" s="6" t="s">
        <v>62</v>
      </c>
      <c r="D755" s="6" t="s">
        <v>26</v>
      </c>
      <c r="E755" s="6" t="s">
        <v>80</v>
      </c>
      <c r="F755" s="6">
        <v>1754</v>
      </c>
      <c r="G755" s="6">
        <v>50661.46</v>
      </c>
      <c r="H755" s="7">
        <v>43320</v>
      </c>
      <c r="I755" s="6" t="s">
        <v>41</v>
      </c>
      <c r="J755" s="6" t="s">
        <v>1564</v>
      </c>
      <c r="K755" s="6" t="s">
        <v>43</v>
      </c>
      <c r="L755" s="6" t="s">
        <v>44</v>
      </c>
      <c r="M755" s="6" t="s">
        <v>45</v>
      </c>
      <c r="N755" s="6">
        <v>3.3</v>
      </c>
      <c r="O755" s="4" t="str">
        <f t="shared" si="11"/>
        <v>Good</v>
      </c>
      <c r="P755" s="6">
        <v>76</v>
      </c>
    </row>
    <row r="756" spans="1:16" x14ac:dyDescent="0.3">
      <c r="A756" s="6" t="s">
        <v>1565</v>
      </c>
      <c r="B756" s="6">
        <v>22</v>
      </c>
      <c r="C756" s="6" t="s">
        <v>62</v>
      </c>
      <c r="D756" s="6" t="s">
        <v>69</v>
      </c>
      <c r="E756" s="6" t="s">
        <v>80</v>
      </c>
      <c r="F756" s="6">
        <v>1755</v>
      </c>
      <c r="G756" s="6">
        <v>141839.85</v>
      </c>
      <c r="H756" s="7">
        <v>41168</v>
      </c>
      <c r="I756" s="6" t="s">
        <v>49</v>
      </c>
      <c r="J756" s="6" t="s">
        <v>1566</v>
      </c>
      <c r="K756" s="6" t="s">
        <v>51</v>
      </c>
      <c r="L756" s="6" t="s">
        <v>52</v>
      </c>
      <c r="M756" s="6" t="s">
        <v>53</v>
      </c>
      <c r="N756" s="6">
        <v>4.38</v>
      </c>
      <c r="O756" s="4" t="str">
        <f t="shared" si="11"/>
        <v>Excellent</v>
      </c>
      <c r="P756" s="6">
        <v>114</v>
      </c>
    </row>
    <row r="757" spans="1:16" x14ac:dyDescent="0.3">
      <c r="A757" s="6" t="s">
        <v>1567</v>
      </c>
      <c r="B757" s="6">
        <v>51</v>
      </c>
      <c r="C757" s="6" t="s">
        <v>16</v>
      </c>
      <c r="D757" s="6" t="s">
        <v>69</v>
      </c>
      <c r="E757" s="6" t="s">
        <v>80</v>
      </c>
      <c r="F757" s="6">
        <v>1756</v>
      </c>
      <c r="G757" s="6">
        <v>177191.45</v>
      </c>
      <c r="H757" s="7">
        <v>40140</v>
      </c>
      <c r="I757" s="6" t="s">
        <v>56</v>
      </c>
      <c r="J757" s="6" t="s">
        <v>1568</v>
      </c>
      <c r="K757" s="6" t="s">
        <v>21</v>
      </c>
      <c r="L757" s="6" t="s">
        <v>22</v>
      </c>
      <c r="M757" s="6" t="s">
        <v>23</v>
      </c>
      <c r="N757" s="6">
        <v>1.58</v>
      </c>
      <c r="O757" s="4" t="str">
        <f t="shared" si="11"/>
        <v>Poor</v>
      </c>
      <c r="P757" s="6">
        <v>28</v>
      </c>
    </row>
    <row r="758" spans="1:16" x14ac:dyDescent="0.3">
      <c r="A758" s="6" t="s">
        <v>1569</v>
      </c>
      <c r="B758" s="6">
        <v>48</v>
      </c>
      <c r="C758" s="6" t="s">
        <v>16</v>
      </c>
      <c r="D758" s="6" t="s">
        <v>47</v>
      </c>
      <c r="E758" s="6" t="s">
        <v>27</v>
      </c>
      <c r="F758" s="6">
        <v>1757</v>
      </c>
      <c r="G758" s="6">
        <v>136567.35999999999</v>
      </c>
      <c r="H758" s="7">
        <v>38628</v>
      </c>
      <c r="I758" s="6" t="s">
        <v>63</v>
      </c>
      <c r="J758" s="6" t="s">
        <v>1570</v>
      </c>
      <c r="K758" s="6" t="s">
        <v>30</v>
      </c>
      <c r="L758" s="6" t="s">
        <v>31</v>
      </c>
      <c r="M758" s="6" t="s">
        <v>32</v>
      </c>
      <c r="N758" s="6">
        <v>2.66</v>
      </c>
      <c r="O758" s="4" t="str">
        <f t="shared" si="11"/>
        <v>Average</v>
      </c>
      <c r="P758" s="6">
        <v>24</v>
      </c>
    </row>
    <row r="759" spans="1:16" x14ac:dyDescent="0.3">
      <c r="A759" s="6" t="s">
        <v>1571</v>
      </c>
      <c r="B759" s="6">
        <v>61</v>
      </c>
      <c r="C759" s="6" t="s">
        <v>16</v>
      </c>
      <c r="D759" s="6" t="s">
        <v>47</v>
      </c>
      <c r="E759" s="6" t="s">
        <v>80</v>
      </c>
      <c r="F759" s="6">
        <v>1758</v>
      </c>
      <c r="G759" s="6">
        <v>77844.929999999993</v>
      </c>
      <c r="H759" s="7">
        <v>41223</v>
      </c>
      <c r="I759" s="6" t="s">
        <v>66</v>
      </c>
      <c r="J759" s="6" t="s">
        <v>1572</v>
      </c>
      <c r="K759" s="6" t="s">
        <v>37</v>
      </c>
      <c r="L759" s="6" t="s">
        <v>38</v>
      </c>
      <c r="M759" s="6" t="s">
        <v>39</v>
      </c>
      <c r="N759" s="6">
        <v>2.14</v>
      </c>
      <c r="O759" s="4" t="str">
        <f t="shared" si="11"/>
        <v>Average</v>
      </c>
      <c r="P759" s="6">
        <v>44</v>
      </c>
    </row>
    <row r="760" spans="1:16" x14ac:dyDescent="0.3">
      <c r="A760" s="6" t="s">
        <v>1573</v>
      </c>
      <c r="B760" s="6">
        <v>44</v>
      </c>
      <c r="C760" s="6" t="s">
        <v>16</v>
      </c>
      <c r="D760" s="6" t="s">
        <v>17</v>
      </c>
      <c r="E760" s="6" t="s">
        <v>34</v>
      </c>
      <c r="F760" s="6">
        <v>1759</v>
      </c>
      <c r="G760" s="6">
        <v>132596.01999999999</v>
      </c>
      <c r="H760" s="7">
        <v>44430</v>
      </c>
      <c r="I760" s="6" t="s">
        <v>70</v>
      </c>
      <c r="J760" s="6" t="s">
        <v>1574</v>
      </c>
      <c r="K760" s="6" t="s">
        <v>43</v>
      </c>
      <c r="L760" s="6" t="s">
        <v>44</v>
      </c>
      <c r="M760" s="6" t="s">
        <v>45</v>
      </c>
      <c r="N760" s="6">
        <v>2.0699999999999998</v>
      </c>
      <c r="O760" s="4" t="str">
        <f t="shared" si="11"/>
        <v>Average</v>
      </c>
      <c r="P760" s="6">
        <v>117</v>
      </c>
    </row>
    <row r="761" spans="1:16" x14ac:dyDescent="0.3">
      <c r="A761" s="6" t="s">
        <v>1575</v>
      </c>
      <c r="B761" s="6">
        <v>41</v>
      </c>
      <c r="C761" s="6" t="s">
        <v>25</v>
      </c>
      <c r="D761" s="6" t="s">
        <v>55</v>
      </c>
      <c r="E761" s="6" t="s">
        <v>18</v>
      </c>
      <c r="F761" s="6">
        <v>1760</v>
      </c>
      <c r="G761" s="6">
        <v>154667.48000000001</v>
      </c>
      <c r="H761" s="7">
        <v>40897</v>
      </c>
      <c r="I761" s="6" t="s">
        <v>73</v>
      </c>
      <c r="J761" s="6" t="s">
        <v>1576</v>
      </c>
      <c r="K761" s="6" t="s">
        <v>51</v>
      </c>
      <c r="L761" s="6" t="s">
        <v>52</v>
      </c>
      <c r="M761" s="6" t="s">
        <v>53</v>
      </c>
      <c r="N761" s="6">
        <v>2.35</v>
      </c>
      <c r="O761" s="4" t="str">
        <f t="shared" si="11"/>
        <v>Average</v>
      </c>
      <c r="P761" s="6">
        <v>117</v>
      </c>
    </row>
    <row r="762" spans="1:16" x14ac:dyDescent="0.3">
      <c r="A762" s="6" t="s">
        <v>1577</v>
      </c>
      <c r="B762" s="6">
        <v>27</v>
      </c>
      <c r="C762" s="6" t="s">
        <v>25</v>
      </c>
      <c r="D762" s="6" t="s">
        <v>17</v>
      </c>
      <c r="E762" s="6" t="s">
        <v>18</v>
      </c>
      <c r="F762" s="6">
        <v>1761</v>
      </c>
      <c r="G762" s="6">
        <v>152616.01999999999</v>
      </c>
      <c r="H762" s="7">
        <v>39827</v>
      </c>
      <c r="I762" s="6" t="s">
        <v>19</v>
      </c>
      <c r="J762" s="6" t="s">
        <v>1578</v>
      </c>
      <c r="K762" s="6" t="s">
        <v>21</v>
      </c>
      <c r="L762" s="6" t="s">
        <v>22</v>
      </c>
      <c r="M762" s="6" t="s">
        <v>23</v>
      </c>
      <c r="N762" s="6">
        <v>1.82</v>
      </c>
      <c r="O762" s="4" t="str">
        <f t="shared" si="11"/>
        <v>Poor</v>
      </c>
      <c r="P762" s="6">
        <v>55</v>
      </c>
    </row>
    <row r="763" spans="1:16" x14ac:dyDescent="0.3">
      <c r="A763" s="6" t="s">
        <v>1579</v>
      </c>
      <c r="B763" s="6">
        <v>58</v>
      </c>
      <c r="C763" s="6" t="s">
        <v>25</v>
      </c>
      <c r="D763" s="6" t="s">
        <v>69</v>
      </c>
      <c r="E763" s="6" t="s">
        <v>48</v>
      </c>
      <c r="F763" s="6">
        <v>1762</v>
      </c>
      <c r="G763" s="6">
        <v>141817.72</v>
      </c>
      <c r="H763" s="7">
        <v>37804</v>
      </c>
      <c r="I763" s="6" t="s">
        <v>28</v>
      </c>
      <c r="J763" s="6" t="s">
        <v>1580</v>
      </c>
      <c r="K763" s="6" t="s">
        <v>30</v>
      </c>
      <c r="L763" s="6" t="s">
        <v>31</v>
      </c>
      <c r="M763" s="6" t="s">
        <v>32</v>
      </c>
      <c r="N763" s="6">
        <v>2.95</v>
      </c>
      <c r="O763" s="4" t="str">
        <f t="shared" si="11"/>
        <v>Average</v>
      </c>
      <c r="P763" s="6">
        <v>41</v>
      </c>
    </row>
    <row r="764" spans="1:16" x14ac:dyDescent="0.3">
      <c r="A764" s="6" t="s">
        <v>1581</v>
      </c>
      <c r="B764" s="6">
        <v>41</v>
      </c>
      <c r="C764" s="6" t="s">
        <v>62</v>
      </c>
      <c r="D764" s="6" t="s">
        <v>55</v>
      </c>
      <c r="E764" s="6" t="s">
        <v>34</v>
      </c>
      <c r="F764" s="6">
        <v>1763</v>
      </c>
      <c r="G764" s="6">
        <v>107386.44</v>
      </c>
      <c r="H764" s="7">
        <v>40163</v>
      </c>
      <c r="I764" s="6" t="s">
        <v>35</v>
      </c>
      <c r="J764" s="6" t="s">
        <v>1582</v>
      </c>
      <c r="K764" s="6" t="s">
        <v>37</v>
      </c>
      <c r="L764" s="6" t="s">
        <v>38</v>
      </c>
      <c r="M764" s="6" t="s">
        <v>39</v>
      </c>
      <c r="N764" s="6">
        <v>1.35</v>
      </c>
      <c r="O764" s="4" t="str">
        <f t="shared" si="11"/>
        <v>Poor</v>
      </c>
      <c r="P764" s="6">
        <v>182</v>
      </c>
    </row>
    <row r="765" spans="1:16" x14ac:dyDescent="0.3">
      <c r="A765" s="6" t="s">
        <v>1583</v>
      </c>
      <c r="B765" s="6">
        <v>58</v>
      </c>
      <c r="C765" s="6" t="s">
        <v>16</v>
      </c>
      <c r="D765" s="6" t="s">
        <v>55</v>
      </c>
      <c r="E765" s="6" t="s">
        <v>80</v>
      </c>
      <c r="F765" s="6">
        <v>1764</v>
      </c>
      <c r="G765" s="6">
        <v>68212.17</v>
      </c>
      <c r="H765" s="7">
        <v>41846</v>
      </c>
      <c r="I765" s="6" t="s">
        <v>41</v>
      </c>
      <c r="J765" s="6" t="s">
        <v>1584</v>
      </c>
      <c r="K765" s="6" t="s">
        <v>43</v>
      </c>
      <c r="L765" s="6" t="s">
        <v>44</v>
      </c>
      <c r="M765" s="6" t="s">
        <v>45</v>
      </c>
      <c r="N765" s="6">
        <v>4.5199999999999996</v>
      </c>
      <c r="O765" s="4" t="str">
        <f t="shared" si="11"/>
        <v>Excellent</v>
      </c>
      <c r="P765" s="6">
        <v>198</v>
      </c>
    </row>
    <row r="766" spans="1:16" x14ac:dyDescent="0.3">
      <c r="A766" s="6" t="s">
        <v>1585</v>
      </c>
      <c r="B766" s="6">
        <v>27</v>
      </c>
      <c r="C766" s="6" t="s">
        <v>16</v>
      </c>
      <c r="D766" s="6" t="s">
        <v>26</v>
      </c>
      <c r="E766" s="6" t="s">
        <v>34</v>
      </c>
      <c r="F766" s="6">
        <v>1765</v>
      </c>
      <c r="G766" s="6">
        <v>60709.21</v>
      </c>
      <c r="H766" s="7">
        <v>43859</v>
      </c>
      <c r="I766" s="6" t="s">
        <v>49</v>
      </c>
      <c r="J766" s="6" t="s">
        <v>1586</v>
      </c>
      <c r="K766" s="6" t="s">
        <v>51</v>
      </c>
      <c r="L766" s="6" t="s">
        <v>52</v>
      </c>
      <c r="M766" s="6" t="s">
        <v>53</v>
      </c>
      <c r="N766" s="6">
        <v>3.42</v>
      </c>
      <c r="O766" s="4" t="str">
        <f t="shared" si="11"/>
        <v>Good</v>
      </c>
      <c r="P766" s="6">
        <v>47</v>
      </c>
    </row>
    <row r="767" spans="1:16" x14ac:dyDescent="0.3">
      <c r="A767" s="6" t="s">
        <v>1587</v>
      </c>
      <c r="B767" s="6">
        <v>50</v>
      </c>
      <c r="C767" s="6" t="s">
        <v>16</v>
      </c>
      <c r="D767" s="6" t="s">
        <v>47</v>
      </c>
      <c r="E767" s="6" t="s">
        <v>80</v>
      </c>
      <c r="F767" s="6">
        <v>1766</v>
      </c>
      <c r="G767" s="6">
        <v>141725.93</v>
      </c>
      <c r="H767" s="7">
        <v>43105</v>
      </c>
      <c r="I767" s="6" t="s">
        <v>56</v>
      </c>
      <c r="J767" s="6" t="s">
        <v>1588</v>
      </c>
      <c r="K767" s="6" t="s">
        <v>21</v>
      </c>
      <c r="L767" s="6" t="s">
        <v>22</v>
      </c>
      <c r="M767" s="6" t="s">
        <v>23</v>
      </c>
      <c r="N767" s="6">
        <v>4.62</v>
      </c>
      <c r="O767" s="4" t="str">
        <f t="shared" si="11"/>
        <v>Excellent</v>
      </c>
      <c r="P767" s="6">
        <v>125</v>
      </c>
    </row>
    <row r="768" spans="1:16" x14ac:dyDescent="0.3">
      <c r="A768" s="6" t="s">
        <v>1589</v>
      </c>
      <c r="B768" s="6">
        <v>34</v>
      </c>
      <c r="C768" s="6" t="s">
        <v>25</v>
      </c>
      <c r="D768" s="6" t="s">
        <v>55</v>
      </c>
      <c r="E768" s="6" t="s">
        <v>80</v>
      </c>
      <c r="F768" s="6">
        <v>1767</v>
      </c>
      <c r="G768" s="6">
        <v>104378.84</v>
      </c>
      <c r="H768" s="7">
        <v>41095</v>
      </c>
      <c r="I768" s="6" t="s">
        <v>63</v>
      </c>
      <c r="J768" s="6" t="s">
        <v>1590</v>
      </c>
      <c r="K768" s="6" t="s">
        <v>30</v>
      </c>
      <c r="L768" s="6" t="s">
        <v>31</v>
      </c>
      <c r="M768" s="6" t="s">
        <v>32</v>
      </c>
      <c r="N768" s="6">
        <v>1.61</v>
      </c>
      <c r="O768" s="4" t="str">
        <f t="shared" si="11"/>
        <v>Poor</v>
      </c>
      <c r="P768" s="6">
        <v>131</v>
      </c>
    </row>
    <row r="769" spans="1:16" x14ac:dyDescent="0.3">
      <c r="A769" s="6" t="s">
        <v>1591</v>
      </c>
      <c r="B769" s="6">
        <v>48</v>
      </c>
      <c r="C769" s="6" t="s">
        <v>62</v>
      </c>
      <c r="D769" s="6" t="s">
        <v>17</v>
      </c>
      <c r="E769" s="6" t="s">
        <v>18</v>
      </c>
      <c r="F769" s="6">
        <v>1768</v>
      </c>
      <c r="G769" s="6">
        <v>50308.51</v>
      </c>
      <c r="H769" s="7">
        <v>44010</v>
      </c>
      <c r="I769" s="6" t="s">
        <v>66</v>
      </c>
      <c r="J769" s="6" t="s">
        <v>1592</v>
      </c>
      <c r="K769" s="6" t="s">
        <v>37</v>
      </c>
      <c r="L769" s="6" t="s">
        <v>38</v>
      </c>
      <c r="M769" s="6" t="s">
        <v>39</v>
      </c>
      <c r="N769" s="6">
        <v>4.0999999999999996</v>
      </c>
      <c r="O769" s="4" t="str">
        <f t="shared" si="11"/>
        <v>Excellent</v>
      </c>
      <c r="P769" s="6">
        <v>33</v>
      </c>
    </row>
    <row r="770" spans="1:16" x14ac:dyDescent="0.3">
      <c r="A770" s="6" t="s">
        <v>1593</v>
      </c>
      <c r="B770" s="6">
        <v>41</v>
      </c>
      <c r="C770" s="6" t="s">
        <v>62</v>
      </c>
      <c r="D770" s="6" t="s">
        <v>69</v>
      </c>
      <c r="E770" s="6" t="s">
        <v>27</v>
      </c>
      <c r="F770" s="6">
        <v>1769</v>
      </c>
      <c r="G770" s="6">
        <v>72412.759999999995</v>
      </c>
      <c r="H770" s="7">
        <v>39207</v>
      </c>
      <c r="I770" s="6" t="s">
        <v>70</v>
      </c>
      <c r="J770" s="6" t="s">
        <v>1594</v>
      </c>
      <c r="K770" s="6" t="s">
        <v>43</v>
      </c>
      <c r="L770" s="6" t="s">
        <v>44</v>
      </c>
      <c r="M770" s="6" t="s">
        <v>45</v>
      </c>
      <c r="N770" s="6">
        <v>4.55</v>
      </c>
      <c r="O770" s="4" t="str">
        <f t="shared" si="11"/>
        <v>Excellent</v>
      </c>
      <c r="P770" s="6">
        <v>110</v>
      </c>
    </row>
    <row r="771" spans="1:16" x14ac:dyDescent="0.3">
      <c r="A771" s="6" t="s">
        <v>1595</v>
      </c>
      <c r="B771" s="6">
        <v>34</v>
      </c>
      <c r="C771" s="6" t="s">
        <v>62</v>
      </c>
      <c r="D771" s="6" t="s">
        <v>47</v>
      </c>
      <c r="E771" s="6" t="s">
        <v>48</v>
      </c>
      <c r="F771" s="6">
        <v>1770</v>
      </c>
      <c r="G771" s="6">
        <v>154695.92000000001</v>
      </c>
      <c r="H771" s="7">
        <v>38734</v>
      </c>
      <c r="I771" s="6" t="s">
        <v>73</v>
      </c>
      <c r="J771" s="6" t="s">
        <v>1596</v>
      </c>
      <c r="K771" s="6" t="s">
        <v>51</v>
      </c>
      <c r="L771" s="6" t="s">
        <v>52</v>
      </c>
      <c r="M771" s="6" t="s">
        <v>53</v>
      </c>
      <c r="N771" s="6">
        <v>2.2799999999999998</v>
      </c>
      <c r="O771" s="4" t="str">
        <f t="shared" ref="O771:O834" si="12">IF(N771&gt;=4,"Excellent",IF(N771&gt;=3,"Good",IF(N771&gt;=2,"Average","Poor")))</f>
        <v>Average</v>
      </c>
      <c r="P771" s="6">
        <v>81</v>
      </c>
    </row>
    <row r="772" spans="1:16" x14ac:dyDescent="0.3">
      <c r="A772" s="6" t="s">
        <v>1597</v>
      </c>
      <c r="B772" s="6">
        <v>60</v>
      </c>
      <c r="C772" s="6" t="s">
        <v>25</v>
      </c>
      <c r="D772" s="6" t="s">
        <v>17</v>
      </c>
      <c r="E772" s="6" t="s">
        <v>18</v>
      </c>
      <c r="F772" s="6">
        <v>1771</v>
      </c>
      <c r="G772" s="6">
        <v>163717.85999999999</v>
      </c>
      <c r="H772" s="7">
        <v>43425</v>
      </c>
      <c r="I772" s="6" t="s">
        <v>19</v>
      </c>
      <c r="J772" s="6" t="s">
        <v>1598</v>
      </c>
      <c r="K772" s="6" t="s">
        <v>21</v>
      </c>
      <c r="L772" s="6" t="s">
        <v>22</v>
      </c>
      <c r="M772" s="6" t="s">
        <v>23</v>
      </c>
      <c r="N772" s="6">
        <v>4.3099999999999996</v>
      </c>
      <c r="O772" s="4" t="str">
        <f t="shared" si="12"/>
        <v>Excellent</v>
      </c>
      <c r="P772" s="6">
        <v>188</v>
      </c>
    </row>
    <row r="773" spans="1:16" x14ac:dyDescent="0.3">
      <c r="A773" s="6" t="s">
        <v>1599</v>
      </c>
      <c r="B773" s="6">
        <v>29</v>
      </c>
      <c r="C773" s="6" t="s">
        <v>16</v>
      </c>
      <c r="D773" s="6" t="s">
        <v>69</v>
      </c>
      <c r="E773" s="6" t="s">
        <v>80</v>
      </c>
      <c r="F773" s="6">
        <v>1772</v>
      </c>
      <c r="G773" s="6">
        <v>137422.34</v>
      </c>
      <c r="H773" s="7">
        <v>37102</v>
      </c>
      <c r="I773" s="6" t="s">
        <v>28</v>
      </c>
      <c r="J773" s="6" t="s">
        <v>1600</v>
      </c>
      <c r="K773" s="6" t="s">
        <v>30</v>
      </c>
      <c r="L773" s="6" t="s">
        <v>31</v>
      </c>
      <c r="M773" s="6" t="s">
        <v>32</v>
      </c>
      <c r="N773" s="6">
        <v>4.67</v>
      </c>
      <c r="O773" s="4" t="str">
        <f t="shared" si="12"/>
        <v>Excellent</v>
      </c>
      <c r="P773" s="6">
        <v>63</v>
      </c>
    </row>
    <row r="774" spans="1:16" x14ac:dyDescent="0.3">
      <c r="A774" s="6" t="s">
        <v>1601</v>
      </c>
      <c r="B774" s="6">
        <v>38</v>
      </c>
      <c r="C774" s="6" t="s">
        <v>25</v>
      </c>
      <c r="D774" s="6" t="s">
        <v>17</v>
      </c>
      <c r="E774" s="6" t="s">
        <v>48</v>
      </c>
      <c r="F774" s="6">
        <v>1773</v>
      </c>
      <c r="G774" s="6">
        <v>140755.16</v>
      </c>
      <c r="H774" s="7">
        <v>44543</v>
      </c>
      <c r="I774" s="6" t="s">
        <v>35</v>
      </c>
      <c r="J774" s="6" t="s">
        <v>1602</v>
      </c>
      <c r="K774" s="6" t="s">
        <v>37</v>
      </c>
      <c r="L774" s="6" t="s">
        <v>38</v>
      </c>
      <c r="M774" s="6" t="s">
        <v>39</v>
      </c>
      <c r="N774" s="6">
        <v>3.8</v>
      </c>
      <c r="O774" s="4" t="str">
        <f t="shared" si="12"/>
        <v>Good</v>
      </c>
      <c r="P774" s="6">
        <v>141</v>
      </c>
    </row>
    <row r="775" spans="1:16" x14ac:dyDescent="0.3">
      <c r="A775" s="6" t="s">
        <v>1603</v>
      </c>
      <c r="B775" s="6">
        <v>51</v>
      </c>
      <c r="C775" s="6" t="s">
        <v>16</v>
      </c>
      <c r="D775" s="6" t="s">
        <v>17</v>
      </c>
      <c r="E775" s="6" t="s">
        <v>80</v>
      </c>
      <c r="F775" s="6">
        <v>1774</v>
      </c>
      <c r="G775" s="6">
        <v>91063.4</v>
      </c>
      <c r="H775" s="7">
        <v>39084</v>
      </c>
      <c r="I775" s="6" t="s">
        <v>41</v>
      </c>
      <c r="J775" s="6" t="s">
        <v>1604</v>
      </c>
      <c r="K775" s="6" t="s">
        <v>43</v>
      </c>
      <c r="L775" s="6" t="s">
        <v>44</v>
      </c>
      <c r="M775" s="6" t="s">
        <v>45</v>
      </c>
      <c r="N775" s="6">
        <v>2.3199999999999998</v>
      </c>
      <c r="O775" s="4" t="str">
        <f t="shared" si="12"/>
        <v>Average</v>
      </c>
      <c r="P775" s="6">
        <v>83</v>
      </c>
    </row>
    <row r="776" spans="1:16" x14ac:dyDescent="0.3">
      <c r="A776" s="6" t="s">
        <v>1605</v>
      </c>
      <c r="B776" s="6">
        <v>22</v>
      </c>
      <c r="C776" s="6" t="s">
        <v>62</v>
      </c>
      <c r="D776" s="6" t="s">
        <v>47</v>
      </c>
      <c r="E776" s="6" t="s">
        <v>18</v>
      </c>
      <c r="F776" s="6">
        <v>1775</v>
      </c>
      <c r="G776" s="6">
        <v>123283.18</v>
      </c>
      <c r="H776" s="7">
        <v>44419</v>
      </c>
      <c r="I776" s="6" t="s">
        <v>49</v>
      </c>
      <c r="J776" s="6" t="s">
        <v>1606</v>
      </c>
      <c r="K776" s="6" t="s">
        <v>51</v>
      </c>
      <c r="L776" s="6" t="s">
        <v>52</v>
      </c>
      <c r="M776" s="6" t="s">
        <v>53</v>
      </c>
      <c r="N776" s="6">
        <v>3.38</v>
      </c>
      <c r="O776" s="4" t="str">
        <f t="shared" si="12"/>
        <v>Good</v>
      </c>
      <c r="P776" s="6">
        <v>23</v>
      </c>
    </row>
    <row r="777" spans="1:16" x14ac:dyDescent="0.3">
      <c r="A777" s="6" t="s">
        <v>1607</v>
      </c>
      <c r="B777" s="6">
        <v>45</v>
      </c>
      <c r="C777" s="6" t="s">
        <v>16</v>
      </c>
      <c r="D777" s="6" t="s">
        <v>69</v>
      </c>
      <c r="E777" s="6" t="s">
        <v>80</v>
      </c>
      <c r="F777" s="6">
        <v>1776</v>
      </c>
      <c r="G777" s="6">
        <v>190698.06</v>
      </c>
      <c r="H777" s="7">
        <v>37872</v>
      </c>
      <c r="I777" s="6" t="s">
        <v>56</v>
      </c>
      <c r="J777" s="6" t="s">
        <v>1608</v>
      </c>
      <c r="K777" s="6" t="s">
        <v>21</v>
      </c>
      <c r="L777" s="6" t="s">
        <v>22</v>
      </c>
      <c r="M777" s="6" t="s">
        <v>23</v>
      </c>
      <c r="N777" s="6">
        <v>3.27</v>
      </c>
      <c r="O777" s="4" t="str">
        <f t="shared" si="12"/>
        <v>Good</v>
      </c>
      <c r="P777" s="6">
        <v>176</v>
      </c>
    </row>
    <row r="778" spans="1:16" x14ac:dyDescent="0.3">
      <c r="A778" s="6" t="s">
        <v>1609</v>
      </c>
      <c r="B778" s="6">
        <v>37</v>
      </c>
      <c r="C778" s="6" t="s">
        <v>62</v>
      </c>
      <c r="D778" s="6" t="s">
        <v>17</v>
      </c>
      <c r="E778" s="6" t="s">
        <v>48</v>
      </c>
      <c r="F778" s="6">
        <v>1777</v>
      </c>
      <c r="G778" s="6">
        <v>107718.1</v>
      </c>
      <c r="H778" s="7">
        <v>39215</v>
      </c>
      <c r="I778" s="6" t="s">
        <v>63</v>
      </c>
      <c r="J778" s="6" t="s">
        <v>1610</v>
      </c>
      <c r="K778" s="6" t="s">
        <v>30</v>
      </c>
      <c r="L778" s="6" t="s">
        <v>31</v>
      </c>
      <c r="M778" s="6" t="s">
        <v>32</v>
      </c>
      <c r="N778" s="6">
        <v>3.35</v>
      </c>
      <c r="O778" s="4" t="str">
        <f t="shared" si="12"/>
        <v>Good</v>
      </c>
      <c r="P778" s="6">
        <v>139</v>
      </c>
    </row>
    <row r="779" spans="1:16" x14ac:dyDescent="0.3">
      <c r="A779" s="6" t="s">
        <v>1611</v>
      </c>
      <c r="B779" s="6">
        <v>32</v>
      </c>
      <c r="C779" s="6" t="s">
        <v>62</v>
      </c>
      <c r="D779" s="6" t="s">
        <v>55</v>
      </c>
      <c r="E779" s="6" t="s">
        <v>80</v>
      </c>
      <c r="F779" s="6">
        <v>1778</v>
      </c>
      <c r="G779" s="6">
        <v>141496.26</v>
      </c>
      <c r="H779" s="7">
        <v>41348</v>
      </c>
      <c r="I779" s="6" t="s">
        <v>66</v>
      </c>
      <c r="J779" s="6" t="s">
        <v>1612</v>
      </c>
      <c r="K779" s="6" t="s">
        <v>37</v>
      </c>
      <c r="L779" s="6" t="s">
        <v>38</v>
      </c>
      <c r="M779" s="6" t="s">
        <v>39</v>
      </c>
      <c r="N779" s="6">
        <v>3.04</v>
      </c>
      <c r="O779" s="4" t="str">
        <f t="shared" si="12"/>
        <v>Good</v>
      </c>
      <c r="P779" s="6">
        <v>49</v>
      </c>
    </row>
    <row r="780" spans="1:16" x14ac:dyDescent="0.3">
      <c r="A780" s="6" t="s">
        <v>1613</v>
      </c>
      <c r="B780" s="6">
        <v>25</v>
      </c>
      <c r="C780" s="6" t="s">
        <v>62</v>
      </c>
      <c r="D780" s="6" t="s">
        <v>47</v>
      </c>
      <c r="E780" s="6" t="s">
        <v>18</v>
      </c>
      <c r="F780" s="6">
        <v>1779</v>
      </c>
      <c r="G780" s="6">
        <v>104793.29</v>
      </c>
      <c r="H780" s="7">
        <v>43074</v>
      </c>
      <c r="I780" s="6" t="s">
        <v>70</v>
      </c>
      <c r="J780" s="6" t="s">
        <v>1614</v>
      </c>
      <c r="K780" s="6" t="s">
        <v>43</v>
      </c>
      <c r="L780" s="6" t="s">
        <v>44</v>
      </c>
      <c r="M780" s="6" t="s">
        <v>45</v>
      </c>
      <c r="N780" s="6">
        <v>3.08</v>
      </c>
      <c r="O780" s="4" t="str">
        <f t="shared" si="12"/>
        <v>Good</v>
      </c>
      <c r="P780" s="6">
        <v>31</v>
      </c>
    </row>
    <row r="781" spans="1:16" x14ac:dyDescent="0.3">
      <c r="A781" s="6" t="s">
        <v>1615</v>
      </c>
      <c r="B781" s="6">
        <v>25</v>
      </c>
      <c r="C781" s="6" t="s">
        <v>16</v>
      </c>
      <c r="D781" s="6" t="s">
        <v>26</v>
      </c>
      <c r="E781" s="6" t="s">
        <v>80</v>
      </c>
      <c r="F781" s="6">
        <v>1780</v>
      </c>
      <c r="G781" s="6">
        <v>117477.05</v>
      </c>
      <c r="H781" s="7">
        <v>43820</v>
      </c>
      <c r="I781" s="6" t="s">
        <v>73</v>
      </c>
      <c r="J781" s="6" t="s">
        <v>1616</v>
      </c>
      <c r="K781" s="6" t="s">
        <v>51</v>
      </c>
      <c r="L781" s="6" t="s">
        <v>52</v>
      </c>
      <c r="M781" s="6" t="s">
        <v>53</v>
      </c>
      <c r="N781" s="6">
        <v>1.68</v>
      </c>
      <c r="O781" s="4" t="str">
        <f t="shared" si="12"/>
        <v>Poor</v>
      </c>
      <c r="P781" s="6">
        <v>68</v>
      </c>
    </row>
    <row r="782" spans="1:16" x14ac:dyDescent="0.3">
      <c r="A782" s="6" t="s">
        <v>1617</v>
      </c>
      <c r="B782" s="6">
        <v>38</v>
      </c>
      <c r="C782" s="6" t="s">
        <v>25</v>
      </c>
      <c r="D782" s="6" t="s">
        <v>55</v>
      </c>
      <c r="E782" s="6" t="s">
        <v>48</v>
      </c>
      <c r="F782" s="6">
        <v>1781</v>
      </c>
      <c r="G782" s="6">
        <v>167427.6</v>
      </c>
      <c r="H782" s="7">
        <v>42551</v>
      </c>
      <c r="I782" s="6" t="s">
        <v>19</v>
      </c>
      <c r="J782" s="6" t="s">
        <v>1618</v>
      </c>
      <c r="K782" s="6" t="s">
        <v>21</v>
      </c>
      <c r="L782" s="6" t="s">
        <v>22</v>
      </c>
      <c r="M782" s="6" t="s">
        <v>23</v>
      </c>
      <c r="N782" s="6">
        <v>3.71</v>
      </c>
      <c r="O782" s="4" t="str">
        <f t="shared" si="12"/>
        <v>Good</v>
      </c>
      <c r="P782" s="6">
        <v>137</v>
      </c>
    </row>
    <row r="783" spans="1:16" x14ac:dyDescent="0.3">
      <c r="A783" s="6" t="s">
        <v>1619</v>
      </c>
      <c r="B783" s="6">
        <v>31</v>
      </c>
      <c r="C783" s="6" t="s">
        <v>62</v>
      </c>
      <c r="D783" s="6" t="s">
        <v>69</v>
      </c>
      <c r="E783" s="6" t="s">
        <v>34</v>
      </c>
      <c r="F783" s="6">
        <v>1782</v>
      </c>
      <c r="G783" s="6">
        <v>108804.63</v>
      </c>
      <c r="H783" s="7">
        <v>39131</v>
      </c>
      <c r="I783" s="6" t="s">
        <v>28</v>
      </c>
      <c r="J783" s="6" t="s">
        <v>1620</v>
      </c>
      <c r="K783" s="6" t="s">
        <v>30</v>
      </c>
      <c r="L783" s="6" t="s">
        <v>31</v>
      </c>
      <c r="M783" s="6" t="s">
        <v>32</v>
      </c>
      <c r="N783" s="6">
        <v>2.41</v>
      </c>
      <c r="O783" s="4" t="str">
        <f t="shared" si="12"/>
        <v>Average</v>
      </c>
      <c r="P783" s="6">
        <v>176</v>
      </c>
    </row>
    <row r="784" spans="1:16" x14ac:dyDescent="0.3">
      <c r="A784" s="6" t="s">
        <v>1621</v>
      </c>
      <c r="B784" s="6">
        <v>42</v>
      </c>
      <c r="C784" s="6" t="s">
        <v>16</v>
      </c>
      <c r="D784" s="6" t="s">
        <v>55</v>
      </c>
      <c r="E784" s="6" t="s">
        <v>34</v>
      </c>
      <c r="F784" s="6">
        <v>1783</v>
      </c>
      <c r="G784" s="6">
        <v>115623.33</v>
      </c>
      <c r="H784" s="7">
        <v>40685</v>
      </c>
      <c r="I784" s="6" t="s">
        <v>35</v>
      </c>
      <c r="J784" s="6" t="s">
        <v>1622</v>
      </c>
      <c r="K784" s="6" t="s">
        <v>37</v>
      </c>
      <c r="L784" s="6" t="s">
        <v>38</v>
      </c>
      <c r="M784" s="6" t="s">
        <v>39</v>
      </c>
      <c r="N784" s="6">
        <v>3.41</v>
      </c>
      <c r="O784" s="4" t="str">
        <f t="shared" si="12"/>
        <v>Good</v>
      </c>
      <c r="P784" s="6">
        <v>158</v>
      </c>
    </row>
    <row r="785" spans="1:16" x14ac:dyDescent="0.3">
      <c r="A785" s="6" t="s">
        <v>1623</v>
      </c>
      <c r="B785" s="6">
        <v>59</v>
      </c>
      <c r="C785" s="6" t="s">
        <v>62</v>
      </c>
      <c r="D785" s="6" t="s">
        <v>17</v>
      </c>
      <c r="E785" s="6" t="s">
        <v>27</v>
      </c>
      <c r="F785" s="6">
        <v>1784</v>
      </c>
      <c r="G785" s="6">
        <v>93067.7</v>
      </c>
      <c r="H785" s="7">
        <v>41246</v>
      </c>
      <c r="I785" s="6" t="s">
        <v>41</v>
      </c>
      <c r="J785" s="6" t="s">
        <v>1624</v>
      </c>
      <c r="K785" s="6" t="s">
        <v>43</v>
      </c>
      <c r="L785" s="6" t="s">
        <v>44</v>
      </c>
      <c r="M785" s="6" t="s">
        <v>45</v>
      </c>
      <c r="N785" s="6">
        <v>2.19</v>
      </c>
      <c r="O785" s="4" t="str">
        <f t="shared" si="12"/>
        <v>Average</v>
      </c>
      <c r="P785" s="6">
        <v>179</v>
      </c>
    </row>
    <row r="786" spans="1:16" x14ac:dyDescent="0.3">
      <c r="A786" s="6" t="s">
        <v>1625</v>
      </c>
      <c r="B786" s="6">
        <v>39</v>
      </c>
      <c r="C786" s="6" t="s">
        <v>16</v>
      </c>
      <c r="D786" s="6" t="s">
        <v>26</v>
      </c>
      <c r="E786" s="6" t="s">
        <v>27</v>
      </c>
      <c r="F786" s="6">
        <v>1785</v>
      </c>
      <c r="G786" s="6">
        <v>173338.15</v>
      </c>
      <c r="H786" s="7">
        <v>40950</v>
      </c>
      <c r="I786" s="6" t="s">
        <v>49</v>
      </c>
      <c r="J786" s="6" t="s">
        <v>1626</v>
      </c>
      <c r="K786" s="6" t="s">
        <v>51</v>
      </c>
      <c r="L786" s="6" t="s">
        <v>52</v>
      </c>
      <c r="M786" s="6" t="s">
        <v>53</v>
      </c>
      <c r="N786" s="6">
        <v>3.82</v>
      </c>
      <c r="O786" s="4" t="str">
        <f t="shared" si="12"/>
        <v>Good</v>
      </c>
      <c r="P786" s="6">
        <v>154</v>
      </c>
    </row>
    <row r="787" spans="1:16" x14ac:dyDescent="0.3">
      <c r="A787" s="6" t="s">
        <v>1627</v>
      </c>
      <c r="B787" s="6">
        <v>31</v>
      </c>
      <c r="C787" s="6" t="s">
        <v>25</v>
      </c>
      <c r="D787" s="6" t="s">
        <v>47</v>
      </c>
      <c r="E787" s="6" t="s">
        <v>18</v>
      </c>
      <c r="F787" s="6">
        <v>1786</v>
      </c>
      <c r="G787" s="6">
        <v>95463.15</v>
      </c>
      <c r="H787" s="7">
        <v>37413</v>
      </c>
      <c r="I787" s="6" t="s">
        <v>56</v>
      </c>
      <c r="J787" s="6" t="s">
        <v>1628</v>
      </c>
      <c r="K787" s="6" t="s">
        <v>21</v>
      </c>
      <c r="L787" s="6" t="s">
        <v>22</v>
      </c>
      <c r="M787" s="6" t="s">
        <v>23</v>
      </c>
      <c r="N787" s="6">
        <v>3.39</v>
      </c>
      <c r="O787" s="4" t="str">
        <f t="shared" si="12"/>
        <v>Good</v>
      </c>
      <c r="P787" s="6">
        <v>27</v>
      </c>
    </row>
    <row r="788" spans="1:16" x14ac:dyDescent="0.3">
      <c r="A788" s="6" t="s">
        <v>1629</v>
      </c>
      <c r="B788" s="6">
        <v>37</v>
      </c>
      <c r="C788" s="6" t="s">
        <v>62</v>
      </c>
      <c r="D788" s="6" t="s">
        <v>26</v>
      </c>
      <c r="E788" s="6" t="s">
        <v>80</v>
      </c>
      <c r="F788" s="6">
        <v>1787</v>
      </c>
      <c r="G788" s="6">
        <v>159641.56</v>
      </c>
      <c r="H788" s="7">
        <v>39486</v>
      </c>
      <c r="I788" s="6" t="s">
        <v>63</v>
      </c>
      <c r="J788" s="6" t="s">
        <v>1630</v>
      </c>
      <c r="K788" s="6" t="s">
        <v>30</v>
      </c>
      <c r="L788" s="6" t="s">
        <v>31</v>
      </c>
      <c r="M788" s="6" t="s">
        <v>32</v>
      </c>
      <c r="N788" s="6">
        <v>3.9</v>
      </c>
      <c r="O788" s="4" t="str">
        <f t="shared" si="12"/>
        <v>Good</v>
      </c>
      <c r="P788" s="6">
        <v>46</v>
      </c>
    </row>
    <row r="789" spans="1:16" x14ac:dyDescent="0.3">
      <c r="A789" s="6" t="s">
        <v>1631</v>
      </c>
      <c r="B789" s="6">
        <v>60</v>
      </c>
      <c r="C789" s="6" t="s">
        <v>62</v>
      </c>
      <c r="D789" s="6" t="s">
        <v>55</v>
      </c>
      <c r="E789" s="6" t="s">
        <v>80</v>
      </c>
      <c r="F789" s="6">
        <v>1788</v>
      </c>
      <c r="G789" s="6">
        <v>189137.4</v>
      </c>
      <c r="H789" s="7">
        <v>42960</v>
      </c>
      <c r="I789" s="6" t="s">
        <v>66</v>
      </c>
      <c r="J789" s="6" t="s">
        <v>1632</v>
      </c>
      <c r="K789" s="6" t="s">
        <v>37</v>
      </c>
      <c r="L789" s="6" t="s">
        <v>38</v>
      </c>
      <c r="M789" s="6" t="s">
        <v>39</v>
      </c>
      <c r="N789" s="6">
        <v>3.99</v>
      </c>
      <c r="O789" s="4" t="str">
        <f t="shared" si="12"/>
        <v>Good</v>
      </c>
      <c r="P789" s="6">
        <v>89</v>
      </c>
    </row>
    <row r="790" spans="1:16" x14ac:dyDescent="0.3">
      <c r="A790" s="6" t="s">
        <v>1633</v>
      </c>
      <c r="B790" s="6">
        <v>36</v>
      </c>
      <c r="C790" s="6" t="s">
        <v>62</v>
      </c>
      <c r="D790" s="6" t="s">
        <v>26</v>
      </c>
      <c r="E790" s="6" t="s">
        <v>80</v>
      </c>
      <c r="F790" s="6">
        <v>1789</v>
      </c>
      <c r="G790" s="6">
        <v>165298.79999999999</v>
      </c>
      <c r="H790" s="7">
        <v>41435</v>
      </c>
      <c r="I790" s="6" t="s">
        <v>70</v>
      </c>
      <c r="J790" s="6" t="s">
        <v>1634</v>
      </c>
      <c r="K790" s="6" t="s">
        <v>43</v>
      </c>
      <c r="L790" s="6" t="s">
        <v>44</v>
      </c>
      <c r="M790" s="6" t="s">
        <v>45</v>
      </c>
      <c r="N790" s="6">
        <v>3.91</v>
      </c>
      <c r="O790" s="4" t="str">
        <f t="shared" si="12"/>
        <v>Good</v>
      </c>
      <c r="P790" s="6">
        <v>77</v>
      </c>
    </row>
    <row r="791" spans="1:16" x14ac:dyDescent="0.3">
      <c r="A791" s="6" t="s">
        <v>1635</v>
      </c>
      <c r="B791" s="6">
        <v>55</v>
      </c>
      <c r="C791" s="6" t="s">
        <v>25</v>
      </c>
      <c r="D791" s="6" t="s">
        <v>69</v>
      </c>
      <c r="E791" s="6" t="s">
        <v>18</v>
      </c>
      <c r="F791" s="6">
        <v>1790</v>
      </c>
      <c r="G791" s="6">
        <v>180449.3</v>
      </c>
      <c r="H791" s="7">
        <v>39500</v>
      </c>
      <c r="I791" s="6" t="s">
        <v>73</v>
      </c>
      <c r="J791" s="6" t="s">
        <v>1636</v>
      </c>
      <c r="K791" s="6" t="s">
        <v>51</v>
      </c>
      <c r="L791" s="6" t="s">
        <v>52</v>
      </c>
      <c r="M791" s="6" t="s">
        <v>53</v>
      </c>
      <c r="N791" s="6">
        <v>4.49</v>
      </c>
      <c r="O791" s="4" t="str">
        <f t="shared" si="12"/>
        <v>Excellent</v>
      </c>
      <c r="P791" s="6">
        <v>57</v>
      </c>
    </row>
    <row r="792" spans="1:16" x14ac:dyDescent="0.3">
      <c r="A792" s="6" t="s">
        <v>1637</v>
      </c>
      <c r="B792" s="6">
        <v>26</v>
      </c>
      <c r="C792" s="6" t="s">
        <v>16</v>
      </c>
      <c r="D792" s="6" t="s">
        <v>17</v>
      </c>
      <c r="E792" s="6" t="s">
        <v>18</v>
      </c>
      <c r="F792" s="6">
        <v>1791</v>
      </c>
      <c r="G792" s="6">
        <v>71260.58</v>
      </c>
      <c r="H792" s="7">
        <v>36689</v>
      </c>
      <c r="I792" s="6" t="s">
        <v>19</v>
      </c>
      <c r="J792" s="6" t="s">
        <v>1638</v>
      </c>
      <c r="K792" s="6" t="s">
        <v>21</v>
      </c>
      <c r="L792" s="6" t="s">
        <v>22</v>
      </c>
      <c r="M792" s="6" t="s">
        <v>23</v>
      </c>
      <c r="N792" s="6">
        <v>4.8499999999999996</v>
      </c>
      <c r="O792" s="4" t="str">
        <f t="shared" si="12"/>
        <v>Excellent</v>
      </c>
      <c r="P792" s="6">
        <v>36</v>
      </c>
    </row>
    <row r="793" spans="1:16" x14ac:dyDescent="0.3">
      <c r="A793" s="6" t="s">
        <v>1639</v>
      </c>
      <c r="B793" s="6">
        <v>38</v>
      </c>
      <c r="C793" s="6" t="s">
        <v>62</v>
      </c>
      <c r="D793" s="6" t="s">
        <v>17</v>
      </c>
      <c r="E793" s="6" t="s">
        <v>80</v>
      </c>
      <c r="F793" s="6">
        <v>1792</v>
      </c>
      <c r="G793" s="6">
        <v>110385.22</v>
      </c>
      <c r="H793" s="7">
        <v>36708</v>
      </c>
      <c r="I793" s="6" t="s">
        <v>28</v>
      </c>
      <c r="J793" s="6" t="s">
        <v>1640</v>
      </c>
      <c r="K793" s="6" t="s">
        <v>30</v>
      </c>
      <c r="L793" s="6" t="s">
        <v>31</v>
      </c>
      <c r="M793" s="6" t="s">
        <v>32</v>
      </c>
      <c r="N793" s="6">
        <v>2.87</v>
      </c>
      <c r="O793" s="4" t="str">
        <f t="shared" si="12"/>
        <v>Average</v>
      </c>
      <c r="P793" s="6">
        <v>167</v>
      </c>
    </row>
    <row r="794" spans="1:16" x14ac:dyDescent="0.3">
      <c r="A794" s="6" t="s">
        <v>1641</v>
      </c>
      <c r="B794" s="6">
        <v>58</v>
      </c>
      <c r="C794" s="6" t="s">
        <v>62</v>
      </c>
      <c r="D794" s="6" t="s">
        <v>69</v>
      </c>
      <c r="E794" s="6" t="s">
        <v>48</v>
      </c>
      <c r="F794" s="6">
        <v>1793</v>
      </c>
      <c r="G794" s="6">
        <v>53845.26</v>
      </c>
      <c r="H794" s="7">
        <v>41523</v>
      </c>
      <c r="I794" s="6" t="s">
        <v>35</v>
      </c>
      <c r="J794" s="6" t="s">
        <v>1642</v>
      </c>
      <c r="K794" s="6" t="s">
        <v>37</v>
      </c>
      <c r="L794" s="6" t="s">
        <v>38</v>
      </c>
      <c r="M794" s="6" t="s">
        <v>39</v>
      </c>
      <c r="N794" s="6">
        <v>2.09</v>
      </c>
      <c r="O794" s="4" t="str">
        <f t="shared" si="12"/>
        <v>Average</v>
      </c>
      <c r="P794" s="6">
        <v>67</v>
      </c>
    </row>
    <row r="795" spans="1:16" x14ac:dyDescent="0.3">
      <c r="A795" s="6" t="s">
        <v>37</v>
      </c>
      <c r="B795" s="6">
        <v>29</v>
      </c>
      <c r="C795" s="6" t="s">
        <v>25</v>
      </c>
      <c r="D795" s="6" t="s">
        <v>17</v>
      </c>
      <c r="E795" s="6" t="s">
        <v>18</v>
      </c>
      <c r="F795" s="6">
        <v>1794</v>
      </c>
      <c r="G795" s="6">
        <v>128392.58</v>
      </c>
      <c r="H795" s="7">
        <v>41254</v>
      </c>
      <c r="I795" s="6" t="s">
        <v>41</v>
      </c>
      <c r="J795" s="6" t="s">
        <v>1643</v>
      </c>
      <c r="K795" s="6" t="s">
        <v>43</v>
      </c>
      <c r="L795" s="6" t="s">
        <v>44</v>
      </c>
      <c r="M795" s="6" t="s">
        <v>45</v>
      </c>
      <c r="N795" s="6">
        <v>3.01</v>
      </c>
      <c r="O795" s="4" t="str">
        <f t="shared" si="12"/>
        <v>Good</v>
      </c>
      <c r="P795" s="6">
        <v>169</v>
      </c>
    </row>
    <row r="796" spans="1:16" x14ac:dyDescent="0.3">
      <c r="A796" s="6" t="s">
        <v>1644</v>
      </c>
      <c r="B796" s="6">
        <v>45</v>
      </c>
      <c r="C796" s="6" t="s">
        <v>16</v>
      </c>
      <c r="D796" s="6" t="s">
        <v>47</v>
      </c>
      <c r="E796" s="6" t="s">
        <v>27</v>
      </c>
      <c r="F796" s="6">
        <v>1795</v>
      </c>
      <c r="G796" s="6">
        <v>199808.81</v>
      </c>
      <c r="H796" s="7">
        <v>37498</v>
      </c>
      <c r="I796" s="6" t="s">
        <v>49</v>
      </c>
      <c r="J796" s="6" t="s">
        <v>1645</v>
      </c>
      <c r="K796" s="6" t="s">
        <v>51</v>
      </c>
      <c r="L796" s="6" t="s">
        <v>52</v>
      </c>
      <c r="M796" s="6" t="s">
        <v>53</v>
      </c>
      <c r="N796" s="6">
        <v>1.34</v>
      </c>
      <c r="O796" s="4" t="str">
        <f t="shared" si="12"/>
        <v>Poor</v>
      </c>
      <c r="P796" s="6">
        <v>74</v>
      </c>
    </row>
    <row r="797" spans="1:16" x14ac:dyDescent="0.3">
      <c r="A797" s="6" t="s">
        <v>1646</v>
      </c>
      <c r="B797" s="6">
        <v>49</v>
      </c>
      <c r="C797" s="6" t="s">
        <v>25</v>
      </c>
      <c r="D797" s="6" t="s">
        <v>17</v>
      </c>
      <c r="E797" s="6" t="s">
        <v>48</v>
      </c>
      <c r="F797" s="6">
        <v>1796</v>
      </c>
      <c r="G797" s="6">
        <v>130773.99</v>
      </c>
      <c r="H797" s="7">
        <v>36616</v>
      </c>
      <c r="I797" s="6" t="s">
        <v>56</v>
      </c>
      <c r="J797" s="6" t="s">
        <v>1647</v>
      </c>
      <c r="K797" s="6" t="s">
        <v>21</v>
      </c>
      <c r="L797" s="6" t="s">
        <v>22</v>
      </c>
      <c r="M797" s="6" t="s">
        <v>23</v>
      </c>
      <c r="N797" s="6">
        <v>2.36</v>
      </c>
      <c r="O797" s="4" t="str">
        <f t="shared" si="12"/>
        <v>Average</v>
      </c>
      <c r="P797" s="6">
        <v>45</v>
      </c>
    </row>
    <row r="798" spans="1:16" x14ac:dyDescent="0.3">
      <c r="A798" s="6" t="s">
        <v>1648</v>
      </c>
      <c r="B798" s="6">
        <v>29</v>
      </c>
      <c r="C798" s="6" t="s">
        <v>25</v>
      </c>
      <c r="D798" s="6" t="s">
        <v>17</v>
      </c>
      <c r="E798" s="6" t="s">
        <v>34</v>
      </c>
      <c r="F798" s="6">
        <v>1797</v>
      </c>
      <c r="G798" s="6">
        <v>179251.24</v>
      </c>
      <c r="H798" s="7">
        <v>39813</v>
      </c>
      <c r="I798" s="6" t="s">
        <v>63</v>
      </c>
      <c r="J798" s="6" t="s">
        <v>1649</v>
      </c>
      <c r="K798" s="6" t="s">
        <v>30</v>
      </c>
      <c r="L798" s="6" t="s">
        <v>31</v>
      </c>
      <c r="M798" s="6" t="s">
        <v>32</v>
      </c>
      <c r="N798" s="6">
        <v>2.2599999999999998</v>
      </c>
      <c r="O798" s="4" t="str">
        <f t="shared" si="12"/>
        <v>Average</v>
      </c>
      <c r="P798" s="6">
        <v>139</v>
      </c>
    </row>
    <row r="799" spans="1:16" x14ac:dyDescent="0.3">
      <c r="A799" s="6" t="s">
        <v>1650</v>
      </c>
      <c r="B799" s="6">
        <v>44</v>
      </c>
      <c r="C799" s="6" t="s">
        <v>62</v>
      </c>
      <c r="D799" s="6" t="s">
        <v>55</v>
      </c>
      <c r="E799" s="6" t="s">
        <v>80</v>
      </c>
      <c r="F799" s="6">
        <v>1798</v>
      </c>
      <c r="G799" s="6">
        <v>198472.68</v>
      </c>
      <c r="H799" s="7">
        <v>37803</v>
      </c>
      <c r="I799" s="6" t="s">
        <v>66</v>
      </c>
      <c r="J799" s="6" t="s">
        <v>1651</v>
      </c>
      <c r="K799" s="6" t="s">
        <v>37</v>
      </c>
      <c r="L799" s="6" t="s">
        <v>38</v>
      </c>
      <c r="M799" s="6" t="s">
        <v>39</v>
      </c>
      <c r="N799" s="6">
        <v>3.38</v>
      </c>
      <c r="O799" s="4" t="str">
        <f t="shared" si="12"/>
        <v>Good</v>
      </c>
      <c r="P799" s="6">
        <v>18</v>
      </c>
    </row>
    <row r="800" spans="1:16" x14ac:dyDescent="0.3">
      <c r="A800" s="6" t="s">
        <v>1652</v>
      </c>
      <c r="B800" s="6">
        <v>56</v>
      </c>
      <c r="C800" s="6" t="s">
        <v>16</v>
      </c>
      <c r="D800" s="6" t="s">
        <v>26</v>
      </c>
      <c r="E800" s="6" t="s">
        <v>27</v>
      </c>
      <c r="F800" s="6">
        <v>1799</v>
      </c>
      <c r="G800" s="6">
        <v>99713.69</v>
      </c>
      <c r="H800" s="7">
        <v>38384</v>
      </c>
      <c r="I800" s="6" t="s">
        <v>70</v>
      </c>
      <c r="J800" s="6" t="s">
        <v>1653</v>
      </c>
      <c r="K800" s="6" t="s">
        <v>43</v>
      </c>
      <c r="L800" s="6" t="s">
        <v>44</v>
      </c>
      <c r="M800" s="6" t="s">
        <v>45</v>
      </c>
      <c r="N800" s="6">
        <v>2.31</v>
      </c>
      <c r="O800" s="4" t="str">
        <f t="shared" si="12"/>
        <v>Average</v>
      </c>
      <c r="P800" s="6">
        <v>170</v>
      </c>
    </row>
    <row r="801" spans="1:16" x14ac:dyDescent="0.3">
      <c r="A801" s="6" t="s">
        <v>1654</v>
      </c>
      <c r="B801" s="6">
        <v>52</v>
      </c>
      <c r="C801" s="6" t="s">
        <v>62</v>
      </c>
      <c r="D801" s="6" t="s">
        <v>17</v>
      </c>
      <c r="E801" s="6" t="s">
        <v>27</v>
      </c>
      <c r="F801" s="6">
        <v>1800</v>
      </c>
      <c r="G801" s="6">
        <v>114221.6</v>
      </c>
      <c r="H801" s="7">
        <v>36651</v>
      </c>
      <c r="I801" s="6" t="s">
        <v>73</v>
      </c>
      <c r="J801" s="6" t="s">
        <v>1655</v>
      </c>
      <c r="K801" s="6" t="s">
        <v>51</v>
      </c>
      <c r="L801" s="6" t="s">
        <v>52</v>
      </c>
      <c r="M801" s="6" t="s">
        <v>53</v>
      </c>
      <c r="N801" s="6">
        <v>3.71</v>
      </c>
      <c r="O801" s="4" t="str">
        <f t="shared" si="12"/>
        <v>Good</v>
      </c>
      <c r="P801" s="6">
        <v>146</v>
      </c>
    </row>
    <row r="802" spans="1:16" x14ac:dyDescent="0.3">
      <c r="A802" s="6" t="s">
        <v>1656</v>
      </c>
      <c r="B802" s="6">
        <v>38</v>
      </c>
      <c r="C802" s="6" t="s">
        <v>62</v>
      </c>
      <c r="D802" s="6" t="s">
        <v>55</v>
      </c>
      <c r="E802" s="6" t="s">
        <v>27</v>
      </c>
      <c r="F802" s="6">
        <v>1801</v>
      </c>
      <c r="G802" s="6">
        <v>132015.03</v>
      </c>
      <c r="H802" s="7">
        <v>44177</v>
      </c>
      <c r="I802" s="6" t="s">
        <v>19</v>
      </c>
      <c r="J802" s="6" t="s">
        <v>1657</v>
      </c>
      <c r="K802" s="6" t="s">
        <v>21</v>
      </c>
      <c r="L802" s="6" t="s">
        <v>22</v>
      </c>
      <c r="M802" s="6" t="s">
        <v>23</v>
      </c>
      <c r="N802" s="6">
        <v>2.96</v>
      </c>
      <c r="O802" s="4" t="str">
        <f t="shared" si="12"/>
        <v>Average</v>
      </c>
      <c r="P802" s="6">
        <v>17</v>
      </c>
    </row>
    <row r="803" spans="1:16" x14ac:dyDescent="0.3">
      <c r="A803" s="6" t="s">
        <v>1658</v>
      </c>
      <c r="B803" s="6">
        <v>49</v>
      </c>
      <c r="C803" s="6" t="s">
        <v>25</v>
      </c>
      <c r="D803" s="6" t="s">
        <v>69</v>
      </c>
      <c r="E803" s="6" t="s">
        <v>27</v>
      </c>
      <c r="F803" s="6">
        <v>1802</v>
      </c>
      <c r="G803" s="6">
        <v>159541.03</v>
      </c>
      <c r="H803" s="7">
        <v>37089</v>
      </c>
      <c r="I803" s="6" t="s">
        <v>28</v>
      </c>
      <c r="J803" s="6" t="s">
        <v>1659</v>
      </c>
      <c r="K803" s="6" t="s">
        <v>30</v>
      </c>
      <c r="L803" s="6" t="s">
        <v>31</v>
      </c>
      <c r="M803" s="6" t="s">
        <v>32</v>
      </c>
      <c r="N803" s="6">
        <v>4.58</v>
      </c>
      <c r="O803" s="4" t="str">
        <f t="shared" si="12"/>
        <v>Excellent</v>
      </c>
      <c r="P803" s="6">
        <v>161</v>
      </c>
    </row>
    <row r="804" spans="1:16" x14ac:dyDescent="0.3">
      <c r="A804" s="6" t="s">
        <v>1660</v>
      </c>
      <c r="B804" s="6">
        <v>33</v>
      </c>
      <c r="C804" s="6" t="s">
        <v>25</v>
      </c>
      <c r="D804" s="6" t="s">
        <v>47</v>
      </c>
      <c r="E804" s="6" t="s">
        <v>80</v>
      </c>
      <c r="F804" s="6">
        <v>1803</v>
      </c>
      <c r="G804" s="6">
        <v>126465.81</v>
      </c>
      <c r="H804" s="7">
        <v>42925</v>
      </c>
      <c r="I804" s="6" t="s">
        <v>35</v>
      </c>
      <c r="J804" s="6" t="s">
        <v>1661</v>
      </c>
      <c r="K804" s="6" t="s">
        <v>37</v>
      </c>
      <c r="L804" s="6" t="s">
        <v>38</v>
      </c>
      <c r="M804" s="6" t="s">
        <v>39</v>
      </c>
      <c r="N804" s="6">
        <v>1.49</v>
      </c>
      <c r="O804" s="4" t="str">
        <f t="shared" si="12"/>
        <v>Poor</v>
      </c>
      <c r="P804" s="6">
        <v>102</v>
      </c>
    </row>
    <row r="805" spans="1:16" x14ac:dyDescent="0.3">
      <c r="A805" s="6" t="s">
        <v>1662</v>
      </c>
      <c r="B805" s="6">
        <v>45</v>
      </c>
      <c r="C805" s="6" t="s">
        <v>62</v>
      </c>
      <c r="D805" s="6" t="s">
        <v>69</v>
      </c>
      <c r="E805" s="6" t="s">
        <v>27</v>
      </c>
      <c r="F805" s="6">
        <v>1804</v>
      </c>
      <c r="G805" s="6">
        <v>77713.69</v>
      </c>
      <c r="H805" s="7">
        <v>43240</v>
      </c>
      <c r="I805" s="6" t="s">
        <v>41</v>
      </c>
      <c r="J805" s="6" t="s">
        <v>1663</v>
      </c>
      <c r="K805" s="6" t="s">
        <v>43</v>
      </c>
      <c r="L805" s="6" t="s">
        <v>44</v>
      </c>
      <c r="M805" s="6" t="s">
        <v>45</v>
      </c>
      <c r="N805" s="6">
        <v>1.04</v>
      </c>
      <c r="O805" s="4" t="str">
        <f t="shared" si="12"/>
        <v>Poor</v>
      </c>
      <c r="P805" s="6">
        <v>134</v>
      </c>
    </row>
    <row r="806" spans="1:16" x14ac:dyDescent="0.3">
      <c r="A806" s="6" t="s">
        <v>1664</v>
      </c>
      <c r="B806" s="6">
        <v>36</v>
      </c>
      <c r="C806" s="6" t="s">
        <v>25</v>
      </c>
      <c r="D806" s="6" t="s">
        <v>47</v>
      </c>
      <c r="E806" s="6" t="s">
        <v>27</v>
      </c>
      <c r="F806" s="6">
        <v>1805</v>
      </c>
      <c r="G806" s="6">
        <v>125341.25</v>
      </c>
      <c r="H806" s="7">
        <v>39375</v>
      </c>
      <c r="I806" s="6" t="s">
        <v>49</v>
      </c>
      <c r="J806" s="6" t="s">
        <v>1665</v>
      </c>
      <c r="K806" s="6" t="s">
        <v>51</v>
      </c>
      <c r="L806" s="6" t="s">
        <v>52</v>
      </c>
      <c r="M806" s="6" t="s">
        <v>53</v>
      </c>
      <c r="N806" s="6">
        <v>2.89</v>
      </c>
      <c r="O806" s="4" t="str">
        <f t="shared" si="12"/>
        <v>Average</v>
      </c>
      <c r="P806" s="6">
        <v>74</v>
      </c>
    </row>
    <row r="807" spans="1:16" x14ac:dyDescent="0.3">
      <c r="A807" s="6" t="s">
        <v>1666</v>
      </c>
      <c r="B807" s="6">
        <v>61</v>
      </c>
      <c r="C807" s="6" t="s">
        <v>25</v>
      </c>
      <c r="D807" s="6" t="s">
        <v>55</v>
      </c>
      <c r="E807" s="6" t="s">
        <v>48</v>
      </c>
      <c r="F807" s="6">
        <v>1806</v>
      </c>
      <c r="G807" s="6">
        <v>158181.76000000001</v>
      </c>
      <c r="H807" s="7">
        <v>38741</v>
      </c>
      <c r="I807" s="6" t="s">
        <v>56</v>
      </c>
      <c r="J807" s="6" t="s">
        <v>1667</v>
      </c>
      <c r="K807" s="6" t="s">
        <v>21</v>
      </c>
      <c r="L807" s="6" t="s">
        <v>22</v>
      </c>
      <c r="M807" s="6" t="s">
        <v>23</v>
      </c>
      <c r="N807" s="6">
        <v>2.04</v>
      </c>
      <c r="O807" s="4" t="str">
        <f t="shared" si="12"/>
        <v>Average</v>
      </c>
      <c r="P807" s="6">
        <v>134</v>
      </c>
    </row>
    <row r="808" spans="1:16" x14ac:dyDescent="0.3">
      <c r="A808" s="6" t="s">
        <v>1668</v>
      </c>
      <c r="B808" s="6">
        <v>52</v>
      </c>
      <c r="C808" s="6" t="s">
        <v>16</v>
      </c>
      <c r="D808" s="6" t="s">
        <v>69</v>
      </c>
      <c r="E808" s="6" t="s">
        <v>18</v>
      </c>
      <c r="F808" s="6">
        <v>1807</v>
      </c>
      <c r="G808" s="6">
        <v>162964.46</v>
      </c>
      <c r="H808" s="7">
        <v>39425</v>
      </c>
      <c r="I808" s="6" t="s">
        <v>63</v>
      </c>
      <c r="J808" s="6" t="s">
        <v>1669</v>
      </c>
      <c r="K808" s="6" t="s">
        <v>30</v>
      </c>
      <c r="L808" s="6" t="s">
        <v>31</v>
      </c>
      <c r="M808" s="6" t="s">
        <v>32</v>
      </c>
      <c r="N808" s="6">
        <v>2.7</v>
      </c>
      <c r="O808" s="4" t="str">
        <f t="shared" si="12"/>
        <v>Average</v>
      </c>
      <c r="P808" s="6">
        <v>16</v>
      </c>
    </row>
    <row r="809" spans="1:16" x14ac:dyDescent="0.3">
      <c r="A809" s="6" t="s">
        <v>1670</v>
      </c>
      <c r="B809" s="6">
        <v>48</v>
      </c>
      <c r="C809" s="6" t="s">
        <v>62</v>
      </c>
      <c r="D809" s="6" t="s">
        <v>55</v>
      </c>
      <c r="E809" s="6" t="s">
        <v>34</v>
      </c>
      <c r="F809" s="6">
        <v>1808</v>
      </c>
      <c r="G809" s="6">
        <v>112839.82</v>
      </c>
      <c r="H809" s="7">
        <v>42162</v>
      </c>
      <c r="I809" s="6" t="s">
        <v>66</v>
      </c>
      <c r="J809" s="6" t="s">
        <v>1671</v>
      </c>
      <c r="K809" s="6" t="s">
        <v>37</v>
      </c>
      <c r="L809" s="6" t="s">
        <v>38</v>
      </c>
      <c r="M809" s="6" t="s">
        <v>39</v>
      </c>
      <c r="N809" s="6">
        <v>4.93</v>
      </c>
      <c r="O809" s="4" t="str">
        <f t="shared" si="12"/>
        <v>Excellent</v>
      </c>
      <c r="P809" s="6">
        <v>22</v>
      </c>
    </row>
    <row r="810" spans="1:16" x14ac:dyDescent="0.3">
      <c r="A810" s="6" t="s">
        <v>1672</v>
      </c>
      <c r="B810" s="6">
        <v>56</v>
      </c>
      <c r="C810" s="6" t="s">
        <v>62</v>
      </c>
      <c r="D810" s="6" t="s">
        <v>47</v>
      </c>
      <c r="E810" s="6" t="s">
        <v>80</v>
      </c>
      <c r="F810" s="6">
        <v>1809</v>
      </c>
      <c r="G810" s="6">
        <v>141230.51999999999</v>
      </c>
      <c r="H810" s="7">
        <v>42259</v>
      </c>
      <c r="I810" s="6" t="s">
        <v>70</v>
      </c>
      <c r="J810" s="6" t="s">
        <v>1673</v>
      </c>
      <c r="K810" s="6" t="s">
        <v>43</v>
      </c>
      <c r="L810" s="6" t="s">
        <v>44</v>
      </c>
      <c r="M810" s="6" t="s">
        <v>45</v>
      </c>
      <c r="N810" s="6">
        <v>4.7300000000000004</v>
      </c>
      <c r="O810" s="4" t="str">
        <f t="shared" si="12"/>
        <v>Excellent</v>
      </c>
      <c r="P810" s="6">
        <v>163</v>
      </c>
    </row>
    <row r="811" spans="1:16" x14ac:dyDescent="0.3">
      <c r="A811" s="6" t="s">
        <v>1674</v>
      </c>
      <c r="B811" s="6">
        <v>39</v>
      </c>
      <c r="C811" s="6" t="s">
        <v>16</v>
      </c>
      <c r="D811" s="6" t="s">
        <v>17</v>
      </c>
      <c r="E811" s="6" t="s">
        <v>34</v>
      </c>
      <c r="F811" s="6">
        <v>1810</v>
      </c>
      <c r="G811" s="6">
        <v>198982.61</v>
      </c>
      <c r="H811" s="7">
        <v>37635</v>
      </c>
      <c r="I811" s="6" t="s">
        <v>73</v>
      </c>
      <c r="J811" s="6" t="s">
        <v>1675</v>
      </c>
      <c r="K811" s="6" t="s">
        <v>51</v>
      </c>
      <c r="L811" s="6" t="s">
        <v>52</v>
      </c>
      <c r="M811" s="6" t="s">
        <v>53</v>
      </c>
      <c r="N811" s="6">
        <v>2.4500000000000002</v>
      </c>
      <c r="O811" s="4" t="str">
        <f t="shared" si="12"/>
        <v>Average</v>
      </c>
      <c r="P811" s="6">
        <v>167</v>
      </c>
    </row>
    <row r="812" spans="1:16" x14ac:dyDescent="0.3">
      <c r="A812" s="6" t="s">
        <v>1676</v>
      </c>
      <c r="B812" s="6">
        <v>57</v>
      </c>
      <c r="C812" s="6" t="s">
        <v>25</v>
      </c>
      <c r="D812" s="6" t="s">
        <v>55</v>
      </c>
      <c r="E812" s="6" t="s">
        <v>34</v>
      </c>
      <c r="F812" s="6">
        <v>1811</v>
      </c>
      <c r="G812" s="6">
        <v>100783.52</v>
      </c>
      <c r="H812" s="7">
        <v>39603</v>
      </c>
      <c r="I812" s="6" t="s">
        <v>19</v>
      </c>
      <c r="J812" s="6" t="s">
        <v>1677</v>
      </c>
      <c r="K812" s="6" t="s">
        <v>21</v>
      </c>
      <c r="L812" s="6" t="s">
        <v>22</v>
      </c>
      <c r="M812" s="6" t="s">
        <v>23</v>
      </c>
      <c r="N812" s="6">
        <v>3.75</v>
      </c>
      <c r="O812" s="4" t="str">
        <f t="shared" si="12"/>
        <v>Good</v>
      </c>
      <c r="P812" s="6">
        <v>127</v>
      </c>
    </row>
    <row r="813" spans="1:16" x14ac:dyDescent="0.3">
      <c r="A813" s="6" t="s">
        <v>1678</v>
      </c>
      <c r="B813" s="6">
        <v>29</v>
      </c>
      <c r="C813" s="6" t="s">
        <v>16</v>
      </c>
      <c r="D813" s="6" t="s">
        <v>26</v>
      </c>
      <c r="E813" s="6" t="s">
        <v>18</v>
      </c>
      <c r="F813" s="6">
        <v>1812</v>
      </c>
      <c r="G813" s="6">
        <v>66625.66</v>
      </c>
      <c r="H813" s="7">
        <v>44695</v>
      </c>
      <c r="I813" s="6" t="s">
        <v>28</v>
      </c>
      <c r="J813" s="6" t="s">
        <v>1679</v>
      </c>
      <c r="K813" s="6" t="s">
        <v>30</v>
      </c>
      <c r="L813" s="6" t="s">
        <v>31</v>
      </c>
      <c r="M813" s="6" t="s">
        <v>32</v>
      </c>
      <c r="N813" s="6">
        <v>2.34</v>
      </c>
      <c r="O813" s="4" t="str">
        <f t="shared" si="12"/>
        <v>Average</v>
      </c>
      <c r="P813" s="6">
        <v>161</v>
      </c>
    </row>
    <row r="814" spans="1:16" x14ac:dyDescent="0.3">
      <c r="A814" s="6" t="s">
        <v>1680</v>
      </c>
      <c r="B814" s="6">
        <v>59</v>
      </c>
      <c r="C814" s="6" t="s">
        <v>16</v>
      </c>
      <c r="D814" s="6" t="s">
        <v>17</v>
      </c>
      <c r="E814" s="6" t="s">
        <v>80</v>
      </c>
      <c r="F814" s="6">
        <v>1813</v>
      </c>
      <c r="G814" s="6">
        <v>71166.95</v>
      </c>
      <c r="H814" s="7">
        <v>42300</v>
      </c>
      <c r="I814" s="6" t="s">
        <v>35</v>
      </c>
      <c r="J814" s="6" t="s">
        <v>1681</v>
      </c>
      <c r="K814" s="6" t="s">
        <v>37</v>
      </c>
      <c r="L814" s="6" t="s">
        <v>38</v>
      </c>
      <c r="M814" s="6" t="s">
        <v>39</v>
      </c>
      <c r="N814" s="6">
        <v>2.65</v>
      </c>
      <c r="O814" s="4" t="str">
        <f t="shared" si="12"/>
        <v>Average</v>
      </c>
      <c r="P814" s="6">
        <v>23</v>
      </c>
    </row>
    <row r="815" spans="1:16" x14ac:dyDescent="0.3">
      <c r="A815" s="6" t="s">
        <v>1682</v>
      </c>
      <c r="B815" s="6">
        <v>26</v>
      </c>
      <c r="C815" s="6" t="s">
        <v>16</v>
      </c>
      <c r="D815" s="6" t="s">
        <v>17</v>
      </c>
      <c r="E815" s="6" t="s">
        <v>48</v>
      </c>
      <c r="F815" s="6">
        <v>1814</v>
      </c>
      <c r="G815" s="6">
        <v>171161.69</v>
      </c>
      <c r="H815" s="7">
        <v>37940</v>
      </c>
      <c r="I815" s="6" t="s">
        <v>41</v>
      </c>
      <c r="J815" s="6" t="s">
        <v>1683</v>
      </c>
      <c r="K815" s="6" t="s">
        <v>43</v>
      </c>
      <c r="L815" s="6" t="s">
        <v>44</v>
      </c>
      <c r="M815" s="6" t="s">
        <v>45</v>
      </c>
      <c r="N815" s="6">
        <v>1.23</v>
      </c>
      <c r="O815" s="4" t="str">
        <f t="shared" si="12"/>
        <v>Poor</v>
      </c>
      <c r="P815" s="6">
        <v>138</v>
      </c>
    </row>
    <row r="816" spans="1:16" x14ac:dyDescent="0.3">
      <c r="A816" s="6" t="s">
        <v>1684</v>
      </c>
      <c r="B816" s="6">
        <v>35</v>
      </c>
      <c r="C816" s="6" t="s">
        <v>25</v>
      </c>
      <c r="D816" s="6" t="s">
        <v>26</v>
      </c>
      <c r="E816" s="6" t="s">
        <v>18</v>
      </c>
      <c r="F816" s="6">
        <v>1815</v>
      </c>
      <c r="G816" s="6">
        <v>145790.29999999999</v>
      </c>
      <c r="H816" s="7">
        <v>44827</v>
      </c>
      <c r="I816" s="6" t="s">
        <v>49</v>
      </c>
      <c r="J816" s="6" t="s">
        <v>1685</v>
      </c>
      <c r="K816" s="6" t="s">
        <v>51</v>
      </c>
      <c r="L816" s="6" t="s">
        <v>52</v>
      </c>
      <c r="M816" s="6" t="s">
        <v>53</v>
      </c>
      <c r="N816" s="6">
        <v>1.52</v>
      </c>
      <c r="O816" s="4" t="str">
        <f t="shared" si="12"/>
        <v>Poor</v>
      </c>
      <c r="P816" s="6">
        <v>16</v>
      </c>
    </row>
    <row r="817" spans="1:16" x14ac:dyDescent="0.3">
      <c r="A817" s="6" t="s">
        <v>1686</v>
      </c>
      <c r="B817" s="6">
        <v>59</v>
      </c>
      <c r="C817" s="6" t="s">
        <v>16</v>
      </c>
      <c r="D817" s="6" t="s">
        <v>69</v>
      </c>
      <c r="E817" s="6" t="s">
        <v>27</v>
      </c>
      <c r="F817" s="6">
        <v>1816</v>
      </c>
      <c r="G817" s="6">
        <v>104991.42</v>
      </c>
      <c r="H817" s="7">
        <v>39813</v>
      </c>
      <c r="I817" s="6" t="s">
        <v>56</v>
      </c>
      <c r="J817" s="6" t="s">
        <v>1687</v>
      </c>
      <c r="K817" s="6" t="s">
        <v>21</v>
      </c>
      <c r="L817" s="6" t="s">
        <v>22</v>
      </c>
      <c r="M817" s="6" t="s">
        <v>23</v>
      </c>
      <c r="N817" s="6">
        <v>4.07</v>
      </c>
      <c r="O817" s="4" t="str">
        <f t="shared" si="12"/>
        <v>Excellent</v>
      </c>
      <c r="P817" s="6">
        <v>145</v>
      </c>
    </row>
    <row r="818" spans="1:16" x14ac:dyDescent="0.3">
      <c r="A818" s="6" t="s">
        <v>1688</v>
      </c>
      <c r="B818" s="6">
        <v>41</v>
      </c>
      <c r="C818" s="6" t="s">
        <v>62</v>
      </c>
      <c r="D818" s="6" t="s">
        <v>26</v>
      </c>
      <c r="E818" s="6" t="s">
        <v>27</v>
      </c>
      <c r="F818" s="6">
        <v>1817</v>
      </c>
      <c r="G818" s="6">
        <v>57932.82</v>
      </c>
      <c r="H818" s="7">
        <v>38768</v>
      </c>
      <c r="I818" s="6" t="s">
        <v>63</v>
      </c>
      <c r="J818" s="6" t="s">
        <v>1689</v>
      </c>
      <c r="K818" s="6" t="s">
        <v>30</v>
      </c>
      <c r="L818" s="6" t="s">
        <v>31</v>
      </c>
      <c r="M818" s="6" t="s">
        <v>32</v>
      </c>
      <c r="N818" s="6">
        <v>4.8899999999999997</v>
      </c>
      <c r="O818" s="4" t="str">
        <f t="shared" si="12"/>
        <v>Excellent</v>
      </c>
      <c r="P818" s="6">
        <v>155</v>
      </c>
    </row>
    <row r="819" spans="1:16" x14ac:dyDescent="0.3">
      <c r="A819" s="6" t="s">
        <v>1690</v>
      </c>
      <c r="B819" s="6">
        <v>30</v>
      </c>
      <c r="C819" s="6" t="s">
        <v>25</v>
      </c>
      <c r="D819" s="6" t="s">
        <v>17</v>
      </c>
      <c r="E819" s="6" t="s">
        <v>34</v>
      </c>
      <c r="F819" s="6">
        <v>1818</v>
      </c>
      <c r="G819" s="6">
        <v>64660.35</v>
      </c>
      <c r="H819" s="7">
        <v>41348</v>
      </c>
      <c r="I819" s="6" t="s">
        <v>66</v>
      </c>
      <c r="J819" s="6" t="s">
        <v>1691</v>
      </c>
      <c r="K819" s="6" t="s">
        <v>37</v>
      </c>
      <c r="L819" s="6" t="s">
        <v>38</v>
      </c>
      <c r="M819" s="6" t="s">
        <v>39</v>
      </c>
      <c r="N819" s="6">
        <v>4.08</v>
      </c>
      <c r="O819" s="4" t="str">
        <f t="shared" si="12"/>
        <v>Excellent</v>
      </c>
      <c r="P819" s="6">
        <v>108</v>
      </c>
    </row>
    <row r="820" spans="1:16" x14ac:dyDescent="0.3">
      <c r="A820" s="6" t="s">
        <v>1692</v>
      </c>
      <c r="B820" s="6">
        <v>54</v>
      </c>
      <c r="C820" s="6" t="s">
        <v>16</v>
      </c>
      <c r="D820" s="6" t="s">
        <v>69</v>
      </c>
      <c r="E820" s="6" t="s">
        <v>48</v>
      </c>
      <c r="F820" s="6">
        <v>1819</v>
      </c>
      <c r="G820" s="6">
        <v>136928.73000000001</v>
      </c>
      <c r="H820" s="7">
        <v>40830</v>
      </c>
      <c r="I820" s="6" t="s">
        <v>70</v>
      </c>
      <c r="J820" s="6" t="s">
        <v>1693</v>
      </c>
      <c r="K820" s="6" t="s">
        <v>43</v>
      </c>
      <c r="L820" s="6" t="s">
        <v>44</v>
      </c>
      <c r="M820" s="6" t="s">
        <v>45</v>
      </c>
      <c r="N820" s="6">
        <v>4.67</v>
      </c>
      <c r="O820" s="4" t="str">
        <f t="shared" si="12"/>
        <v>Excellent</v>
      </c>
      <c r="P820" s="6">
        <v>148</v>
      </c>
    </row>
    <row r="821" spans="1:16" x14ac:dyDescent="0.3">
      <c r="A821" s="6" t="s">
        <v>1694</v>
      </c>
      <c r="B821" s="6">
        <v>39</v>
      </c>
      <c r="C821" s="6" t="s">
        <v>16</v>
      </c>
      <c r="D821" s="6" t="s">
        <v>69</v>
      </c>
      <c r="E821" s="6" t="s">
        <v>34</v>
      </c>
      <c r="F821" s="6">
        <v>1820</v>
      </c>
      <c r="G821" s="6">
        <v>135534.20000000001</v>
      </c>
      <c r="H821" s="7">
        <v>41765</v>
      </c>
      <c r="I821" s="6" t="s">
        <v>73</v>
      </c>
      <c r="J821" s="6" t="s">
        <v>1695</v>
      </c>
      <c r="K821" s="6" t="s">
        <v>51</v>
      </c>
      <c r="L821" s="6" t="s">
        <v>52</v>
      </c>
      <c r="M821" s="6" t="s">
        <v>53</v>
      </c>
      <c r="N821" s="6">
        <v>2.2400000000000002</v>
      </c>
      <c r="O821" s="4" t="str">
        <f t="shared" si="12"/>
        <v>Average</v>
      </c>
      <c r="P821" s="6">
        <v>1</v>
      </c>
    </row>
    <row r="822" spans="1:16" x14ac:dyDescent="0.3">
      <c r="A822" s="6" t="s">
        <v>1696</v>
      </c>
      <c r="B822" s="6">
        <v>27</v>
      </c>
      <c r="C822" s="6" t="s">
        <v>16</v>
      </c>
      <c r="D822" s="6" t="s">
        <v>47</v>
      </c>
      <c r="E822" s="6" t="s">
        <v>27</v>
      </c>
      <c r="F822" s="6">
        <v>1821</v>
      </c>
      <c r="G822" s="6">
        <v>133844.43</v>
      </c>
      <c r="H822" s="7">
        <v>37598</v>
      </c>
      <c r="I822" s="6" t="s">
        <v>19</v>
      </c>
      <c r="J822" s="6" t="s">
        <v>1697</v>
      </c>
      <c r="K822" s="6" t="s">
        <v>21</v>
      </c>
      <c r="L822" s="6" t="s">
        <v>22</v>
      </c>
      <c r="M822" s="6" t="s">
        <v>23</v>
      </c>
      <c r="N822" s="6">
        <v>2.5</v>
      </c>
      <c r="O822" s="4" t="str">
        <f t="shared" si="12"/>
        <v>Average</v>
      </c>
      <c r="P822" s="6">
        <v>110</v>
      </c>
    </row>
    <row r="823" spans="1:16" x14ac:dyDescent="0.3">
      <c r="A823" s="6" t="s">
        <v>1698</v>
      </c>
      <c r="B823" s="6">
        <v>58</v>
      </c>
      <c r="C823" s="6" t="s">
        <v>16</v>
      </c>
      <c r="D823" s="6" t="s">
        <v>26</v>
      </c>
      <c r="E823" s="6" t="s">
        <v>80</v>
      </c>
      <c r="F823" s="6">
        <v>1822</v>
      </c>
      <c r="G823" s="6">
        <v>152259.98000000001</v>
      </c>
      <c r="H823" s="7">
        <v>38896</v>
      </c>
      <c r="I823" s="6" t="s">
        <v>28</v>
      </c>
      <c r="J823" s="6" t="s">
        <v>1699</v>
      </c>
      <c r="K823" s="6" t="s">
        <v>30</v>
      </c>
      <c r="L823" s="6" t="s">
        <v>31</v>
      </c>
      <c r="M823" s="6" t="s">
        <v>32</v>
      </c>
      <c r="N823" s="6">
        <v>1.23</v>
      </c>
      <c r="O823" s="4" t="str">
        <f t="shared" si="12"/>
        <v>Poor</v>
      </c>
      <c r="P823" s="6">
        <v>158</v>
      </c>
    </row>
    <row r="824" spans="1:16" x14ac:dyDescent="0.3">
      <c r="A824" s="6" t="s">
        <v>1700</v>
      </c>
      <c r="B824" s="6">
        <v>23</v>
      </c>
      <c r="C824" s="6" t="s">
        <v>16</v>
      </c>
      <c r="D824" s="6" t="s">
        <v>17</v>
      </c>
      <c r="E824" s="6" t="s">
        <v>18</v>
      </c>
      <c r="F824" s="6">
        <v>1823</v>
      </c>
      <c r="G824" s="6">
        <v>178040.22</v>
      </c>
      <c r="H824" s="7">
        <v>43577</v>
      </c>
      <c r="I824" s="6" t="s">
        <v>35</v>
      </c>
      <c r="J824" s="6" t="s">
        <v>1701</v>
      </c>
      <c r="K824" s="6" t="s">
        <v>37</v>
      </c>
      <c r="L824" s="6" t="s">
        <v>38</v>
      </c>
      <c r="M824" s="6" t="s">
        <v>39</v>
      </c>
      <c r="N824" s="6">
        <v>1.23</v>
      </c>
      <c r="O824" s="4" t="str">
        <f t="shared" si="12"/>
        <v>Poor</v>
      </c>
      <c r="P824" s="6">
        <v>3</v>
      </c>
    </row>
    <row r="825" spans="1:16" x14ac:dyDescent="0.3">
      <c r="A825" s="6" t="s">
        <v>1702</v>
      </c>
      <c r="B825" s="6">
        <v>51</v>
      </c>
      <c r="C825" s="6" t="s">
        <v>16</v>
      </c>
      <c r="D825" s="6" t="s">
        <v>55</v>
      </c>
      <c r="E825" s="6" t="s">
        <v>48</v>
      </c>
      <c r="F825" s="6">
        <v>1824</v>
      </c>
      <c r="G825" s="6">
        <v>131249.35</v>
      </c>
      <c r="H825" s="7">
        <v>39777</v>
      </c>
      <c r="I825" s="6" t="s">
        <v>41</v>
      </c>
      <c r="J825" s="6" t="s">
        <v>1703</v>
      </c>
      <c r="K825" s="6" t="s">
        <v>43</v>
      </c>
      <c r="L825" s="6" t="s">
        <v>44</v>
      </c>
      <c r="M825" s="6" t="s">
        <v>45</v>
      </c>
      <c r="N825" s="6">
        <v>4.8099999999999996</v>
      </c>
      <c r="O825" s="4" t="str">
        <f t="shared" si="12"/>
        <v>Excellent</v>
      </c>
      <c r="P825" s="6">
        <v>189</v>
      </c>
    </row>
    <row r="826" spans="1:16" x14ac:dyDescent="0.3">
      <c r="A826" s="6" t="s">
        <v>1704</v>
      </c>
      <c r="B826" s="6">
        <v>27</v>
      </c>
      <c r="C826" s="6" t="s">
        <v>62</v>
      </c>
      <c r="D826" s="6" t="s">
        <v>47</v>
      </c>
      <c r="E826" s="6" t="s">
        <v>18</v>
      </c>
      <c r="F826" s="6">
        <v>1825</v>
      </c>
      <c r="G826" s="6">
        <v>120444.94</v>
      </c>
      <c r="H826" s="7">
        <v>41977</v>
      </c>
      <c r="I826" s="6" t="s">
        <v>49</v>
      </c>
      <c r="J826" s="6" t="s">
        <v>1705</v>
      </c>
      <c r="K826" s="6" t="s">
        <v>51</v>
      </c>
      <c r="L826" s="6" t="s">
        <v>52</v>
      </c>
      <c r="M826" s="6" t="s">
        <v>53</v>
      </c>
      <c r="N826" s="6">
        <v>1.86</v>
      </c>
      <c r="O826" s="4" t="str">
        <f t="shared" si="12"/>
        <v>Poor</v>
      </c>
      <c r="P826" s="6">
        <v>83</v>
      </c>
    </row>
    <row r="827" spans="1:16" x14ac:dyDescent="0.3">
      <c r="A827" s="6" t="s">
        <v>1706</v>
      </c>
      <c r="B827" s="6">
        <v>38</v>
      </c>
      <c r="C827" s="6" t="s">
        <v>25</v>
      </c>
      <c r="D827" s="6" t="s">
        <v>55</v>
      </c>
      <c r="E827" s="6" t="s">
        <v>18</v>
      </c>
      <c r="F827" s="6">
        <v>1826</v>
      </c>
      <c r="G827" s="6">
        <v>183281.73</v>
      </c>
      <c r="H827" s="7">
        <v>41742</v>
      </c>
      <c r="I827" s="6" t="s">
        <v>56</v>
      </c>
      <c r="J827" s="6" t="s">
        <v>1707</v>
      </c>
      <c r="K827" s="6" t="s">
        <v>21</v>
      </c>
      <c r="L827" s="6" t="s">
        <v>22</v>
      </c>
      <c r="M827" s="6" t="s">
        <v>23</v>
      </c>
      <c r="N827" s="6">
        <v>1.91</v>
      </c>
      <c r="O827" s="4" t="str">
        <f t="shared" si="12"/>
        <v>Poor</v>
      </c>
      <c r="P827" s="6">
        <v>170</v>
      </c>
    </row>
    <row r="828" spans="1:16" x14ac:dyDescent="0.3">
      <c r="A828" s="6" t="s">
        <v>1708</v>
      </c>
      <c r="B828" s="6">
        <v>60</v>
      </c>
      <c r="C828" s="6" t="s">
        <v>62</v>
      </c>
      <c r="D828" s="6" t="s">
        <v>69</v>
      </c>
      <c r="E828" s="6" t="s">
        <v>34</v>
      </c>
      <c r="F828" s="6">
        <v>1827</v>
      </c>
      <c r="G828" s="6">
        <v>168358.21</v>
      </c>
      <c r="H828" s="7">
        <v>37411</v>
      </c>
      <c r="I828" s="6" t="s">
        <v>63</v>
      </c>
      <c r="J828" s="6" t="s">
        <v>1709</v>
      </c>
      <c r="K828" s="6" t="s">
        <v>30</v>
      </c>
      <c r="L828" s="6" t="s">
        <v>31</v>
      </c>
      <c r="M828" s="6" t="s">
        <v>32</v>
      </c>
      <c r="N828" s="6">
        <v>2.0699999999999998</v>
      </c>
      <c r="O828" s="4" t="str">
        <f t="shared" si="12"/>
        <v>Average</v>
      </c>
      <c r="P828" s="6">
        <v>22</v>
      </c>
    </row>
    <row r="829" spans="1:16" x14ac:dyDescent="0.3">
      <c r="A829" s="6" t="s">
        <v>1710</v>
      </c>
      <c r="B829" s="6">
        <v>62</v>
      </c>
      <c r="C829" s="6" t="s">
        <v>16</v>
      </c>
      <c r="D829" s="6" t="s">
        <v>17</v>
      </c>
      <c r="E829" s="6" t="s">
        <v>27</v>
      </c>
      <c r="F829" s="6">
        <v>1828</v>
      </c>
      <c r="G829" s="6">
        <v>126325.16</v>
      </c>
      <c r="H829" s="7">
        <v>43653</v>
      </c>
      <c r="I829" s="6" t="s">
        <v>66</v>
      </c>
      <c r="J829" s="6" t="s">
        <v>1711</v>
      </c>
      <c r="K829" s="6" t="s">
        <v>37</v>
      </c>
      <c r="L829" s="6" t="s">
        <v>38</v>
      </c>
      <c r="M829" s="6" t="s">
        <v>39</v>
      </c>
      <c r="N829" s="6">
        <v>2.2400000000000002</v>
      </c>
      <c r="O829" s="4" t="str">
        <f t="shared" si="12"/>
        <v>Average</v>
      </c>
      <c r="P829" s="6">
        <v>104</v>
      </c>
    </row>
    <row r="830" spans="1:16" x14ac:dyDescent="0.3">
      <c r="A830" s="6" t="s">
        <v>1712</v>
      </c>
      <c r="B830" s="6">
        <v>44</v>
      </c>
      <c r="C830" s="6" t="s">
        <v>16</v>
      </c>
      <c r="D830" s="6" t="s">
        <v>17</v>
      </c>
      <c r="E830" s="6" t="s">
        <v>48</v>
      </c>
      <c r="F830" s="6">
        <v>1829</v>
      </c>
      <c r="G830" s="6">
        <v>61769.96</v>
      </c>
      <c r="H830" s="7">
        <v>37696</v>
      </c>
      <c r="I830" s="6" t="s">
        <v>70</v>
      </c>
      <c r="J830" s="6" t="s">
        <v>1713</v>
      </c>
      <c r="K830" s="6" t="s">
        <v>43</v>
      </c>
      <c r="L830" s="6" t="s">
        <v>44</v>
      </c>
      <c r="M830" s="6" t="s">
        <v>45</v>
      </c>
      <c r="N830" s="6">
        <v>2.98</v>
      </c>
      <c r="O830" s="4" t="str">
        <f t="shared" si="12"/>
        <v>Average</v>
      </c>
      <c r="P830" s="6">
        <v>179</v>
      </c>
    </row>
    <row r="831" spans="1:16" x14ac:dyDescent="0.3">
      <c r="A831" s="6" t="s">
        <v>1714</v>
      </c>
      <c r="B831" s="6">
        <v>52</v>
      </c>
      <c r="C831" s="6" t="s">
        <v>16</v>
      </c>
      <c r="D831" s="6" t="s">
        <v>26</v>
      </c>
      <c r="E831" s="6" t="s">
        <v>18</v>
      </c>
      <c r="F831" s="6">
        <v>1830</v>
      </c>
      <c r="G831" s="6">
        <v>93874.52</v>
      </c>
      <c r="H831" s="7">
        <v>37455</v>
      </c>
      <c r="I831" s="6" t="s">
        <v>73</v>
      </c>
      <c r="J831" s="6" t="s">
        <v>1715</v>
      </c>
      <c r="K831" s="6" t="s">
        <v>51</v>
      </c>
      <c r="L831" s="6" t="s">
        <v>52</v>
      </c>
      <c r="M831" s="6" t="s">
        <v>53</v>
      </c>
      <c r="N831" s="6">
        <v>2.61</v>
      </c>
      <c r="O831" s="4" t="str">
        <f t="shared" si="12"/>
        <v>Average</v>
      </c>
      <c r="P831" s="6">
        <v>150</v>
      </c>
    </row>
    <row r="832" spans="1:16" x14ac:dyDescent="0.3">
      <c r="A832" s="6" t="s">
        <v>1716</v>
      </c>
      <c r="B832" s="6">
        <v>41</v>
      </c>
      <c r="C832" s="6" t="s">
        <v>62</v>
      </c>
      <c r="D832" s="6" t="s">
        <v>17</v>
      </c>
      <c r="E832" s="6" t="s">
        <v>48</v>
      </c>
      <c r="F832" s="6">
        <v>1831</v>
      </c>
      <c r="G832" s="6">
        <v>178825.68</v>
      </c>
      <c r="H832" s="7">
        <v>42975</v>
      </c>
      <c r="I832" s="6" t="s">
        <v>19</v>
      </c>
      <c r="J832" s="6" t="s">
        <v>1717</v>
      </c>
      <c r="K832" s="6" t="s">
        <v>21</v>
      </c>
      <c r="L832" s="6" t="s">
        <v>22</v>
      </c>
      <c r="M832" s="6" t="s">
        <v>23</v>
      </c>
      <c r="N832" s="6">
        <v>1.21</v>
      </c>
      <c r="O832" s="4" t="str">
        <f t="shared" si="12"/>
        <v>Poor</v>
      </c>
      <c r="P832" s="6">
        <v>198</v>
      </c>
    </row>
    <row r="833" spans="1:16" x14ac:dyDescent="0.3">
      <c r="A833" s="6" t="s">
        <v>1718</v>
      </c>
      <c r="B833" s="6">
        <v>26</v>
      </c>
      <c r="C833" s="6" t="s">
        <v>16</v>
      </c>
      <c r="D833" s="6" t="s">
        <v>17</v>
      </c>
      <c r="E833" s="6" t="s">
        <v>48</v>
      </c>
      <c r="F833" s="6">
        <v>1832</v>
      </c>
      <c r="G833" s="6">
        <v>142726.57999999999</v>
      </c>
      <c r="H833" s="7">
        <v>39386</v>
      </c>
      <c r="I833" s="6" t="s">
        <v>28</v>
      </c>
      <c r="J833" s="6" t="s">
        <v>1719</v>
      </c>
      <c r="K833" s="6" t="s">
        <v>30</v>
      </c>
      <c r="L833" s="6" t="s">
        <v>31</v>
      </c>
      <c r="M833" s="6" t="s">
        <v>32</v>
      </c>
      <c r="N833" s="6">
        <v>2.17</v>
      </c>
      <c r="O833" s="4" t="str">
        <f t="shared" si="12"/>
        <v>Average</v>
      </c>
      <c r="P833" s="6">
        <v>115</v>
      </c>
    </row>
    <row r="834" spans="1:16" x14ac:dyDescent="0.3">
      <c r="A834" s="6" t="s">
        <v>1720</v>
      </c>
      <c r="B834" s="6">
        <v>42</v>
      </c>
      <c r="C834" s="6" t="s">
        <v>62</v>
      </c>
      <c r="D834" s="6" t="s">
        <v>26</v>
      </c>
      <c r="E834" s="6" t="s">
        <v>27</v>
      </c>
      <c r="F834" s="6">
        <v>1833</v>
      </c>
      <c r="G834" s="6">
        <v>57824.72</v>
      </c>
      <c r="H834" s="7">
        <v>42960</v>
      </c>
      <c r="I834" s="6" t="s">
        <v>35</v>
      </c>
      <c r="J834" s="6" t="s">
        <v>1721</v>
      </c>
      <c r="K834" s="6" t="s">
        <v>37</v>
      </c>
      <c r="L834" s="6" t="s">
        <v>38</v>
      </c>
      <c r="M834" s="6" t="s">
        <v>39</v>
      </c>
      <c r="N834" s="6">
        <v>2.9</v>
      </c>
      <c r="O834" s="4" t="str">
        <f t="shared" si="12"/>
        <v>Average</v>
      </c>
      <c r="P834" s="6">
        <v>65</v>
      </c>
    </row>
    <row r="835" spans="1:16" x14ac:dyDescent="0.3">
      <c r="A835" s="6" t="s">
        <v>1722</v>
      </c>
      <c r="B835" s="6">
        <v>64</v>
      </c>
      <c r="C835" s="6" t="s">
        <v>25</v>
      </c>
      <c r="D835" s="6" t="s">
        <v>26</v>
      </c>
      <c r="E835" s="6" t="s">
        <v>18</v>
      </c>
      <c r="F835" s="6">
        <v>1834</v>
      </c>
      <c r="G835" s="6">
        <v>162477.54</v>
      </c>
      <c r="H835" s="7">
        <v>41521</v>
      </c>
      <c r="I835" s="6" t="s">
        <v>41</v>
      </c>
      <c r="J835" s="6" t="s">
        <v>1723</v>
      </c>
      <c r="K835" s="6" t="s">
        <v>43</v>
      </c>
      <c r="L835" s="6" t="s">
        <v>44</v>
      </c>
      <c r="M835" s="6" t="s">
        <v>45</v>
      </c>
      <c r="N835" s="6">
        <v>4.34</v>
      </c>
      <c r="O835" s="4" t="str">
        <f t="shared" ref="O835:O898" si="13">IF(N835&gt;=4,"Excellent",IF(N835&gt;=3,"Good",IF(N835&gt;=2,"Average","Poor")))</f>
        <v>Excellent</v>
      </c>
      <c r="P835" s="6">
        <v>72</v>
      </c>
    </row>
    <row r="836" spans="1:16" x14ac:dyDescent="0.3">
      <c r="A836" s="6" t="s">
        <v>1724</v>
      </c>
      <c r="B836" s="6">
        <v>32</v>
      </c>
      <c r="C836" s="6" t="s">
        <v>62</v>
      </c>
      <c r="D836" s="6" t="s">
        <v>17</v>
      </c>
      <c r="E836" s="6" t="s">
        <v>48</v>
      </c>
      <c r="F836" s="6">
        <v>1835</v>
      </c>
      <c r="G836" s="6">
        <v>120237.87</v>
      </c>
      <c r="H836" s="7">
        <v>37366</v>
      </c>
      <c r="I836" s="6" t="s">
        <v>49</v>
      </c>
      <c r="J836" s="6" t="s">
        <v>1725</v>
      </c>
      <c r="K836" s="6" t="s">
        <v>51</v>
      </c>
      <c r="L836" s="6" t="s">
        <v>52</v>
      </c>
      <c r="M836" s="6" t="s">
        <v>53</v>
      </c>
      <c r="N836" s="6">
        <v>4.91</v>
      </c>
      <c r="O836" s="4" t="str">
        <f t="shared" si="13"/>
        <v>Excellent</v>
      </c>
      <c r="P836" s="6">
        <v>74</v>
      </c>
    </row>
    <row r="837" spans="1:16" x14ac:dyDescent="0.3">
      <c r="A837" s="6" t="s">
        <v>1726</v>
      </c>
      <c r="B837" s="6">
        <v>25</v>
      </c>
      <c r="C837" s="6" t="s">
        <v>62</v>
      </c>
      <c r="D837" s="6" t="s">
        <v>17</v>
      </c>
      <c r="E837" s="6" t="s">
        <v>48</v>
      </c>
      <c r="F837" s="6">
        <v>1836</v>
      </c>
      <c r="G837" s="6">
        <v>52055.09</v>
      </c>
      <c r="H837" s="7">
        <v>41583</v>
      </c>
      <c r="I837" s="6" t="s">
        <v>56</v>
      </c>
      <c r="J837" s="6" t="s">
        <v>1727</v>
      </c>
      <c r="K837" s="6" t="s">
        <v>21</v>
      </c>
      <c r="L837" s="6" t="s">
        <v>22</v>
      </c>
      <c r="M837" s="6" t="s">
        <v>23</v>
      </c>
      <c r="N837" s="6">
        <v>1.52</v>
      </c>
      <c r="O837" s="4" t="str">
        <f t="shared" si="13"/>
        <v>Poor</v>
      </c>
      <c r="P837" s="6">
        <v>84</v>
      </c>
    </row>
    <row r="838" spans="1:16" x14ac:dyDescent="0.3">
      <c r="A838" s="6" t="s">
        <v>1728</v>
      </c>
      <c r="B838" s="6">
        <v>44</v>
      </c>
      <c r="C838" s="6" t="s">
        <v>25</v>
      </c>
      <c r="D838" s="6" t="s">
        <v>47</v>
      </c>
      <c r="E838" s="6" t="s">
        <v>18</v>
      </c>
      <c r="F838" s="6">
        <v>1837</v>
      </c>
      <c r="G838" s="6">
        <v>148144.89000000001</v>
      </c>
      <c r="H838" s="7">
        <v>41469</v>
      </c>
      <c r="I838" s="6" t="s">
        <v>63</v>
      </c>
      <c r="J838" s="6" t="s">
        <v>1729</v>
      </c>
      <c r="K838" s="6" t="s">
        <v>30</v>
      </c>
      <c r="L838" s="6" t="s">
        <v>31</v>
      </c>
      <c r="M838" s="6" t="s">
        <v>32</v>
      </c>
      <c r="N838" s="6">
        <v>2.23</v>
      </c>
      <c r="O838" s="4" t="str">
        <f t="shared" si="13"/>
        <v>Average</v>
      </c>
      <c r="P838" s="6">
        <v>179</v>
      </c>
    </row>
    <row r="839" spans="1:16" x14ac:dyDescent="0.3">
      <c r="A839" s="6" t="s">
        <v>1730</v>
      </c>
      <c r="B839" s="6">
        <v>59</v>
      </c>
      <c r="C839" s="6" t="s">
        <v>16</v>
      </c>
      <c r="D839" s="6" t="s">
        <v>55</v>
      </c>
      <c r="E839" s="6" t="s">
        <v>18</v>
      </c>
      <c r="F839" s="6">
        <v>1838</v>
      </c>
      <c r="G839" s="6">
        <v>77894.19</v>
      </c>
      <c r="H839" s="7">
        <v>44260</v>
      </c>
      <c r="I839" s="6" t="s">
        <v>66</v>
      </c>
      <c r="J839" s="6" t="s">
        <v>1731</v>
      </c>
      <c r="K839" s="6" t="s">
        <v>37</v>
      </c>
      <c r="L839" s="6" t="s">
        <v>38</v>
      </c>
      <c r="M839" s="6" t="s">
        <v>39</v>
      </c>
      <c r="N839" s="6">
        <v>1.17</v>
      </c>
      <c r="O839" s="4" t="str">
        <f t="shared" si="13"/>
        <v>Poor</v>
      </c>
      <c r="P839" s="6">
        <v>125</v>
      </c>
    </row>
    <row r="840" spans="1:16" x14ac:dyDescent="0.3">
      <c r="A840" s="6" t="s">
        <v>1732</v>
      </c>
      <c r="B840" s="6">
        <v>51</v>
      </c>
      <c r="C840" s="6" t="s">
        <v>62</v>
      </c>
      <c r="D840" s="6" t="s">
        <v>47</v>
      </c>
      <c r="E840" s="6" t="s">
        <v>18</v>
      </c>
      <c r="F840" s="6">
        <v>1839</v>
      </c>
      <c r="G840" s="6">
        <v>63343.78</v>
      </c>
      <c r="H840" s="7">
        <v>39593</v>
      </c>
      <c r="I840" s="6" t="s">
        <v>70</v>
      </c>
      <c r="J840" s="6" t="s">
        <v>1733</v>
      </c>
      <c r="K840" s="6" t="s">
        <v>43</v>
      </c>
      <c r="L840" s="6" t="s">
        <v>44</v>
      </c>
      <c r="M840" s="6" t="s">
        <v>45</v>
      </c>
      <c r="N840" s="6">
        <v>1.7</v>
      </c>
      <c r="O840" s="4" t="str">
        <f t="shared" si="13"/>
        <v>Poor</v>
      </c>
      <c r="P840" s="6">
        <v>136</v>
      </c>
    </row>
    <row r="841" spans="1:16" x14ac:dyDescent="0.3">
      <c r="A841" s="6" t="s">
        <v>1734</v>
      </c>
      <c r="B841" s="6">
        <v>63</v>
      </c>
      <c r="C841" s="6" t="s">
        <v>25</v>
      </c>
      <c r="D841" s="6" t="s">
        <v>47</v>
      </c>
      <c r="E841" s="6" t="s">
        <v>34</v>
      </c>
      <c r="F841" s="6">
        <v>1840</v>
      </c>
      <c r="G841" s="6">
        <v>89498.75</v>
      </c>
      <c r="H841" s="7">
        <v>37851</v>
      </c>
      <c r="I841" s="6" t="s">
        <v>73</v>
      </c>
      <c r="J841" s="6" t="s">
        <v>1735</v>
      </c>
      <c r="K841" s="6" t="s">
        <v>51</v>
      </c>
      <c r="L841" s="6" t="s">
        <v>52</v>
      </c>
      <c r="M841" s="6" t="s">
        <v>53</v>
      </c>
      <c r="N841" s="6">
        <v>3.88</v>
      </c>
      <c r="O841" s="4" t="str">
        <f t="shared" si="13"/>
        <v>Good</v>
      </c>
      <c r="P841" s="6">
        <v>185</v>
      </c>
    </row>
    <row r="842" spans="1:16" x14ac:dyDescent="0.3">
      <c r="A842" s="6" t="s">
        <v>1736</v>
      </c>
      <c r="B842" s="6">
        <v>62</v>
      </c>
      <c r="C842" s="6" t="s">
        <v>62</v>
      </c>
      <c r="D842" s="6" t="s">
        <v>69</v>
      </c>
      <c r="E842" s="6" t="s">
        <v>18</v>
      </c>
      <c r="F842" s="6">
        <v>1841</v>
      </c>
      <c r="G842" s="6">
        <v>84517.759999999995</v>
      </c>
      <c r="H842" s="7">
        <v>39650</v>
      </c>
      <c r="I842" s="6" t="s">
        <v>19</v>
      </c>
      <c r="J842" s="6" t="s">
        <v>1737</v>
      </c>
      <c r="K842" s="6" t="s">
        <v>21</v>
      </c>
      <c r="L842" s="6" t="s">
        <v>22</v>
      </c>
      <c r="M842" s="6" t="s">
        <v>23</v>
      </c>
      <c r="N842" s="6">
        <v>4.29</v>
      </c>
      <c r="O842" s="4" t="str">
        <f t="shared" si="13"/>
        <v>Excellent</v>
      </c>
      <c r="P842" s="6">
        <v>151</v>
      </c>
    </row>
    <row r="843" spans="1:16" x14ac:dyDescent="0.3">
      <c r="A843" s="6" t="s">
        <v>1738</v>
      </c>
      <c r="B843" s="6">
        <v>39</v>
      </c>
      <c r="C843" s="6" t="s">
        <v>62</v>
      </c>
      <c r="D843" s="6" t="s">
        <v>17</v>
      </c>
      <c r="E843" s="6" t="s">
        <v>27</v>
      </c>
      <c r="F843" s="6">
        <v>1842</v>
      </c>
      <c r="G843" s="6">
        <v>159450.92000000001</v>
      </c>
      <c r="H843" s="7">
        <v>44331</v>
      </c>
      <c r="I843" s="6" t="s">
        <v>28</v>
      </c>
      <c r="J843" s="6" t="s">
        <v>1739</v>
      </c>
      <c r="K843" s="6" t="s">
        <v>30</v>
      </c>
      <c r="L843" s="6" t="s">
        <v>31</v>
      </c>
      <c r="M843" s="6" t="s">
        <v>32</v>
      </c>
      <c r="N843" s="6">
        <v>1.3</v>
      </c>
      <c r="O843" s="4" t="str">
        <f t="shared" si="13"/>
        <v>Poor</v>
      </c>
      <c r="P843" s="6">
        <v>73</v>
      </c>
    </row>
    <row r="844" spans="1:16" x14ac:dyDescent="0.3">
      <c r="A844" s="6" t="s">
        <v>1740</v>
      </c>
      <c r="B844" s="6">
        <v>62</v>
      </c>
      <c r="C844" s="6" t="s">
        <v>25</v>
      </c>
      <c r="D844" s="6" t="s">
        <v>47</v>
      </c>
      <c r="E844" s="6" t="s">
        <v>48</v>
      </c>
      <c r="F844" s="6">
        <v>1843</v>
      </c>
      <c r="G844" s="6">
        <v>177201.14</v>
      </c>
      <c r="H844" s="7">
        <v>39589</v>
      </c>
      <c r="I844" s="6" t="s">
        <v>35</v>
      </c>
      <c r="J844" s="6" t="s">
        <v>1741</v>
      </c>
      <c r="K844" s="6" t="s">
        <v>37</v>
      </c>
      <c r="L844" s="6" t="s">
        <v>38</v>
      </c>
      <c r="M844" s="6" t="s">
        <v>39</v>
      </c>
      <c r="N844" s="6">
        <v>3.94</v>
      </c>
      <c r="O844" s="4" t="str">
        <f t="shared" si="13"/>
        <v>Good</v>
      </c>
      <c r="P844" s="6">
        <v>65</v>
      </c>
    </row>
    <row r="845" spans="1:16" x14ac:dyDescent="0.3">
      <c r="A845" s="6" t="s">
        <v>1742</v>
      </c>
      <c r="B845" s="6">
        <v>64</v>
      </c>
      <c r="C845" s="6" t="s">
        <v>62</v>
      </c>
      <c r="D845" s="6" t="s">
        <v>17</v>
      </c>
      <c r="E845" s="6" t="s">
        <v>34</v>
      </c>
      <c r="F845" s="6">
        <v>1844</v>
      </c>
      <c r="G845" s="6">
        <v>130090.45</v>
      </c>
      <c r="H845" s="7">
        <v>39318</v>
      </c>
      <c r="I845" s="6" t="s">
        <v>41</v>
      </c>
      <c r="J845" s="6" t="s">
        <v>1743</v>
      </c>
      <c r="K845" s="6" t="s">
        <v>43</v>
      </c>
      <c r="L845" s="6" t="s">
        <v>44</v>
      </c>
      <c r="M845" s="6" t="s">
        <v>45</v>
      </c>
      <c r="N845" s="6">
        <v>2.68</v>
      </c>
      <c r="O845" s="4" t="str">
        <f t="shared" si="13"/>
        <v>Average</v>
      </c>
      <c r="P845" s="6">
        <v>150</v>
      </c>
    </row>
    <row r="846" spans="1:16" x14ac:dyDescent="0.3">
      <c r="A846" s="6" t="s">
        <v>1744</v>
      </c>
      <c r="B846" s="6">
        <v>52</v>
      </c>
      <c r="C846" s="6" t="s">
        <v>25</v>
      </c>
      <c r="D846" s="6" t="s">
        <v>47</v>
      </c>
      <c r="E846" s="6" t="s">
        <v>18</v>
      </c>
      <c r="F846" s="6">
        <v>1845</v>
      </c>
      <c r="G846" s="6">
        <v>100934.97</v>
      </c>
      <c r="H846" s="7">
        <v>36922</v>
      </c>
      <c r="I846" s="6" t="s">
        <v>49</v>
      </c>
      <c r="J846" s="6" t="s">
        <v>1745</v>
      </c>
      <c r="K846" s="6" t="s">
        <v>51</v>
      </c>
      <c r="L846" s="6" t="s">
        <v>52</v>
      </c>
      <c r="M846" s="6" t="s">
        <v>53</v>
      </c>
      <c r="N846" s="6">
        <v>2.59</v>
      </c>
      <c r="O846" s="4" t="str">
        <f t="shared" si="13"/>
        <v>Average</v>
      </c>
      <c r="P846" s="6">
        <v>49</v>
      </c>
    </row>
    <row r="847" spans="1:16" x14ac:dyDescent="0.3">
      <c r="A847" s="6" t="s">
        <v>1746</v>
      </c>
      <c r="B847" s="6">
        <v>51</v>
      </c>
      <c r="C847" s="6" t="s">
        <v>62</v>
      </c>
      <c r="D847" s="6" t="s">
        <v>69</v>
      </c>
      <c r="E847" s="6" t="s">
        <v>80</v>
      </c>
      <c r="F847" s="6">
        <v>1846</v>
      </c>
      <c r="G847" s="6">
        <v>163114.59</v>
      </c>
      <c r="H847" s="7">
        <v>43072</v>
      </c>
      <c r="I847" s="6" t="s">
        <v>56</v>
      </c>
      <c r="J847" s="6" t="s">
        <v>1747</v>
      </c>
      <c r="K847" s="6" t="s">
        <v>21</v>
      </c>
      <c r="L847" s="6" t="s">
        <v>22</v>
      </c>
      <c r="M847" s="6" t="s">
        <v>23</v>
      </c>
      <c r="N847" s="6">
        <v>4.95</v>
      </c>
      <c r="O847" s="4" t="str">
        <f t="shared" si="13"/>
        <v>Excellent</v>
      </c>
      <c r="P847" s="6">
        <v>77</v>
      </c>
    </row>
    <row r="848" spans="1:16" x14ac:dyDescent="0.3">
      <c r="A848" s="6" t="s">
        <v>1748</v>
      </c>
      <c r="B848" s="6">
        <v>55</v>
      </c>
      <c r="C848" s="6" t="s">
        <v>16</v>
      </c>
      <c r="D848" s="6" t="s">
        <v>17</v>
      </c>
      <c r="E848" s="6" t="s">
        <v>34</v>
      </c>
      <c r="F848" s="6">
        <v>1847</v>
      </c>
      <c r="G848" s="6">
        <v>164303.79999999999</v>
      </c>
      <c r="H848" s="7">
        <v>40457</v>
      </c>
      <c r="I848" s="6" t="s">
        <v>63</v>
      </c>
      <c r="J848" s="6" t="s">
        <v>1749</v>
      </c>
      <c r="K848" s="6" t="s">
        <v>30</v>
      </c>
      <c r="L848" s="6" t="s">
        <v>31</v>
      </c>
      <c r="M848" s="6" t="s">
        <v>32</v>
      </c>
      <c r="N848" s="6">
        <v>2.4700000000000002</v>
      </c>
      <c r="O848" s="4" t="str">
        <f t="shared" si="13"/>
        <v>Average</v>
      </c>
      <c r="P848" s="6">
        <v>148</v>
      </c>
    </row>
    <row r="849" spans="1:16" x14ac:dyDescent="0.3">
      <c r="A849" s="6" t="s">
        <v>1750</v>
      </c>
      <c r="B849" s="6">
        <v>52</v>
      </c>
      <c r="C849" s="6" t="s">
        <v>25</v>
      </c>
      <c r="D849" s="6" t="s">
        <v>55</v>
      </c>
      <c r="E849" s="6" t="s">
        <v>34</v>
      </c>
      <c r="F849" s="6">
        <v>1848</v>
      </c>
      <c r="G849" s="6">
        <v>91866.87</v>
      </c>
      <c r="H849" s="7">
        <v>44169</v>
      </c>
      <c r="I849" s="6" t="s">
        <v>66</v>
      </c>
      <c r="J849" s="6" t="s">
        <v>1751</v>
      </c>
      <c r="K849" s="6" t="s">
        <v>37</v>
      </c>
      <c r="L849" s="6" t="s">
        <v>38</v>
      </c>
      <c r="M849" s="6" t="s">
        <v>39</v>
      </c>
      <c r="N849" s="6">
        <v>1.4</v>
      </c>
      <c r="O849" s="4" t="str">
        <f t="shared" si="13"/>
        <v>Poor</v>
      </c>
      <c r="P849" s="6">
        <v>152</v>
      </c>
    </row>
    <row r="850" spans="1:16" x14ac:dyDescent="0.3">
      <c r="A850" s="6" t="s">
        <v>1752</v>
      </c>
      <c r="B850" s="6">
        <v>59</v>
      </c>
      <c r="C850" s="6" t="s">
        <v>16</v>
      </c>
      <c r="D850" s="6" t="s">
        <v>69</v>
      </c>
      <c r="E850" s="6" t="s">
        <v>34</v>
      </c>
      <c r="F850" s="6">
        <v>1849</v>
      </c>
      <c r="G850" s="6">
        <v>55525.42</v>
      </c>
      <c r="H850" s="7">
        <v>43715</v>
      </c>
      <c r="I850" s="6" t="s">
        <v>70</v>
      </c>
      <c r="J850" s="6" t="s">
        <v>1753</v>
      </c>
      <c r="K850" s="6" t="s">
        <v>43</v>
      </c>
      <c r="L850" s="6" t="s">
        <v>44</v>
      </c>
      <c r="M850" s="6" t="s">
        <v>45</v>
      </c>
      <c r="N850" s="6">
        <v>1.75</v>
      </c>
      <c r="O850" s="4" t="str">
        <f t="shared" si="13"/>
        <v>Poor</v>
      </c>
      <c r="P850" s="6">
        <v>51</v>
      </c>
    </row>
    <row r="851" spans="1:16" x14ac:dyDescent="0.3">
      <c r="A851" s="6" t="s">
        <v>1754</v>
      </c>
      <c r="B851" s="6">
        <v>46</v>
      </c>
      <c r="C851" s="6" t="s">
        <v>62</v>
      </c>
      <c r="D851" s="6" t="s">
        <v>26</v>
      </c>
      <c r="E851" s="6" t="s">
        <v>34</v>
      </c>
      <c r="F851" s="6">
        <v>1850</v>
      </c>
      <c r="G851" s="6">
        <v>178265.86</v>
      </c>
      <c r="H851" s="7">
        <v>36670</v>
      </c>
      <c r="I851" s="6" t="s">
        <v>73</v>
      </c>
      <c r="J851" s="6" t="s">
        <v>1755</v>
      </c>
      <c r="K851" s="6" t="s">
        <v>51</v>
      </c>
      <c r="L851" s="6" t="s">
        <v>52</v>
      </c>
      <c r="M851" s="6" t="s">
        <v>53</v>
      </c>
      <c r="N851" s="6">
        <v>3.51</v>
      </c>
      <c r="O851" s="4" t="str">
        <f t="shared" si="13"/>
        <v>Good</v>
      </c>
      <c r="P851" s="6">
        <v>117</v>
      </c>
    </row>
    <row r="852" spans="1:16" x14ac:dyDescent="0.3">
      <c r="A852" s="6" t="s">
        <v>1756</v>
      </c>
      <c r="B852" s="6">
        <v>38</v>
      </c>
      <c r="C852" s="6" t="s">
        <v>16</v>
      </c>
      <c r="D852" s="6" t="s">
        <v>55</v>
      </c>
      <c r="E852" s="6" t="s">
        <v>48</v>
      </c>
      <c r="F852" s="6">
        <v>1851</v>
      </c>
      <c r="G852" s="6">
        <v>62914.79</v>
      </c>
      <c r="H852" s="7">
        <v>42324</v>
      </c>
      <c r="I852" s="6" t="s">
        <v>19</v>
      </c>
      <c r="J852" s="6" t="s">
        <v>1757</v>
      </c>
      <c r="K852" s="6" t="s">
        <v>21</v>
      </c>
      <c r="L852" s="6" t="s">
        <v>22</v>
      </c>
      <c r="M852" s="6" t="s">
        <v>23</v>
      </c>
      <c r="N852" s="6">
        <v>3.94</v>
      </c>
      <c r="O852" s="4" t="str">
        <f t="shared" si="13"/>
        <v>Good</v>
      </c>
      <c r="P852" s="6">
        <v>98</v>
      </c>
    </row>
    <row r="853" spans="1:16" x14ac:dyDescent="0.3">
      <c r="A853" s="6" t="s">
        <v>1758</v>
      </c>
      <c r="B853" s="6">
        <v>57</v>
      </c>
      <c r="C853" s="6" t="s">
        <v>25</v>
      </c>
      <c r="D853" s="6" t="s">
        <v>47</v>
      </c>
      <c r="E853" s="6" t="s">
        <v>48</v>
      </c>
      <c r="F853" s="6">
        <v>1852</v>
      </c>
      <c r="G853" s="6">
        <v>116353.74</v>
      </c>
      <c r="H853" s="7">
        <v>37746</v>
      </c>
      <c r="I853" s="6" t="s">
        <v>28</v>
      </c>
      <c r="J853" s="6" t="s">
        <v>1759</v>
      </c>
      <c r="K853" s="6" t="s">
        <v>30</v>
      </c>
      <c r="L853" s="6" t="s">
        <v>31</v>
      </c>
      <c r="M853" s="6" t="s">
        <v>32</v>
      </c>
      <c r="N853" s="6">
        <v>3.46</v>
      </c>
      <c r="O853" s="4" t="str">
        <f t="shared" si="13"/>
        <v>Good</v>
      </c>
      <c r="P853" s="6">
        <v>109</v>
      </c>
    </row>
    <row r="854" spans="1:16" x14ac:dyDescent="0.3">
      <c r="A854" s="6" t="s">
        <v>1760</v>
      </c>
      <c r="B854" s="6">
        <v>61</v>
      </c>
      <c r="C854" s="6" t="s">
        <v>62</v>
      </c>
      <c r="D854" s="6" t="s">
        <v>17</v>
      </c>
      <c r="E854" s="6" t="s">
        <v>34</v>
      </c>
      <c r="F854" s="6">
        <v>1853</v>
      </c>
      <c r="G854" s="6">
        <v>114631.21</v>
      </c>
      <c r="H854" s="7">
        <v>44485</v>
      </c>
      <c r="I854" s="6" t="s">
        <v>35</v>
      </c>
      <c r="J854" s="6" t="s">
        <v>1761</v>
      </c>
      <c r="K854" s="6" t="s">
        <v>37</v>
      </c>
      <c r="L854" s="6" t="s">
        <v>38</v>
      </c>
      <c r="M854" s="6" t="s">
        <v>39</v>
      </c>
      <c r="N854" s="6">
        <v>4.0199999999999996</v>
      </c>
      <c r="O854" s="4" t="str">
        <f t="shared" si="13"/>
        <v>Excellent</v>
      </c>
      <c r="P854" s="6">
        <v>95</v>
      </c>
    </row>
    <row r="855" spans="1:16" x14ac:dyDescent="0.3">
      <c r="A855" s="6" t="s">
        <v>1762</v>
      </c>
      <c r="B855" s="6">
        <v>51</v>
      </c>
      <c r="C855" s="6" t="s">
        <v>25</v>
      </c>
      <c r="D855" s="6" t="s">
        <v>17</v>
      </c>
      <c r="E855" s="6" t="s">
        <v>80</v>
      </c>
      <c r="F855" s="6">
        <v>1854</v>
      </c>
      <c r="G855" s="6">
        <v>106970.71</v>
      </c>
      <c r="H855" s="7">
        <v>37437</v>
      </c>
      <c r="I855" s="6" t="s">
        <v>41</v>
      </c>
      <c r="J855" s="6" t="s">
        <v>1763</v>
      </c>
      <c r="K855" s="6" t="s">
        <v>43</v>
      </c>
      <c r="L855" s="6" t="s">
        <v>44</v>
      </c>
      <c r="M855" s="6" t="s">
        <v>45</v>
      </c>
      <c r="N855" s="6">
        <v>3.01</v>
      </c>
      <c r="O855" s="4" t="str">
        <f t="shared" si="13"/>
        <v>Good</v>
      </c>
      <c r="P855" s="6">
        <v>141</v>
      </c>
    </row>
    <row r="856" spans="1:16" x14ac:dyDescent="0.3">
      <c r="A856" s="6" t="s">
        <v>1764</v>
      </c>
      <c r="B856" s="6">
        <v>23</v>
      </c>
      <c r="C856" s="6" t="s">
        <v>62</v>
      </c>
      <c r="D856" s="6" t="s">
        <v>55</v>
      </c>
      <c r="E856" s="6" t="s">
        <v>18</v>
      </c>
      <c r="F856" s="6">
        <v>1855</v>
      </c>
      <c r="G856" s="6">
        <v>105845.15</v>
      </c>
      <c r="H856" s="7">
        <v>36634</v>
      </c>
      <c r="I856" s="6" t="s">
        <v>49</v>
      </c>
      <c r="J856" s="6" t="s">
        <v>1765</v>
      </c>
      <c r="K856" s="6" t="s">
        <v>51</v>
      </c>
      <c r="L856" s="6" t="s">
        <v>52</v>
      </c>
      <c r="M856" s="6" t="s">
        <v>53</v>
      </c>
      <c r="N856" s="6">
        <v>3.54</v>
      </c>
      <c r="O856" s="4" t="str">
        <f t="shared" si="13"/>
        <v>Good</v>
      </c>
      <c r="P856" s="6">
        <v>36</v>
      </c>
    </row>
    <row r="857" spans="1:16" x14ac:dyDescent="0.3">
      <c r="A857" s="6" t="s">
        <v>1766</v>
      </c>
      <c r="B857" s="6">
        <v>45</v>
      </c>
      <c r="C857" s="6" t="s">
        <v>16</v>
      </c>
      <c r="D857" s="6" t="s">
        <v>26</v>
      </c>
      <c r="E857" s="6" t="s">
        <v>34</v>
      </c>
      <c r="F857" s="6">
        <v>1856</v>
      </c>
      <c r="G857" s="6">
        <v>171312.66</v>
      </c>
      <c r="H857" s="7">
        <v>39033</v>
      </c>
      <c r="I857" s="6" t="s">
        <v>56</v>
      </c>
      <c r="J857" s="6" t="s">
        <v>1767</v>
      </c>
      <c r="K857" s="6" t="s">
        <v>21</v>
      </c>
      <c r="L857" s="6" t="s">
        <v>22</v>
      </c>
      <c r="M857" s="6" t="s">
        <v>23</v>
      </c>
      <c r="N857" s="6">
        <v>1.01</v>
      </c>
      <c r="O857" s="4" t="str">
        <f t="shared" si="13"/>
        <v>Poor</v>
      </c>
      <c r="P857" s="6">
        <v>48</v>
      </c>
    </row>
    <row r="858" spans="1:16" x14ac:dyDescent="0.3">
      <c r="A858" s="6" t="s">
        <v>1768</v>
      </c>
      <c r="B858" s="6">
        <v>30</v>
      </c>
      <c r="C858" s="6" t="s">
        <v>16</v>
      </c>
      <c r="D858" s="6" t="s">
        <v>17</v>
      </c>
      <c r="E858" s="6" t="s">
        <v>34</v>
      </c>
      <c r="F858" s="6">
        <v>1857</v>
      </c>
      <c r="G858" s="6">
        <v>58341.03</v>
      </c>
      <c r="H858" s="7">
        <v>42538</v>
      </c>
      <c r="I858" s="6" t="s">
        <v>63</v>
      </c>
      <c r="J858" s="6" t="s">
        <v>1769</v>
      </c>
      <c r="K858" s="6" t="s">
        <v>30</v>
      </c>
      <c r="L858" s="6" t="s">
        <v>31</v>
      </c>
      <c r="M858" s="6" t="s">
        <v>32</v>
      </c>
      <c r="N858" s="6">
        <v>1.1000000000000001</v>
      </c>
      <c r="O858" s="4" t="str">
        <f t="shared" si="13"/>
        <v>Poor</v>
      </c>
      <c r="P858" s="6">
        <v>161</v>
      </c>
    </row>
    <row r="859" spans="1:16" x14ac:dyDescent="0.3">
      <c r="A859" s="6" t="s">
        <v>1770</v>
      </c>
      <c r="B859" s="6">
        <v>22</v>
      </c>
      <c r="C859" s="6" t="s">
        <v>25</v>
      </c>
      <c r="D859" s="6" t="s">
        <v>26</v>
      </c>
      <c r="E859" s="6" t="s">
        <v>18</v>
      </c>
      <c r="F859" s="6">
        <v>1858</v>
      </c>
      <c r="G859" s="6">
        <v>176387.28</v>
      </c>
      <c r="H859" s="7">
        <v>38351</v>
      </c>
      <c r="I859" s="6" t="s">
        <v>66</v>
      </c>
      <c r="J859" s="6" t="s">
        <v>1771</v>
      </c>
      <c r="K859" s="6" t="s">
        <v>37</v>
      </c>
      <c r="L859" s="6" t="s">
        <v>38</v>
      </c>
      <c r="M859" s="6" t="s">
        <v>39</v>
      </c>
      <c r="N859" s="6">
        <v>2.34</v>
      </c>
      <c r="O859" s="4" t="str">
        <f t="shared" si="13"/>
        <v>Average</v>
      </c>
      <c r="P859" s="6">
        <v>111</v>
      </c>
    </row>
    <row r="860" spans="1:16" x14ac:dyDescent="0.3">
      <c r="A860" s="6" t="s">
        <v>1772</v>
      </c>
      <c r="B860" s="6">
        <v>45</v>
      </c>
      <c r="C860" s="6" t="s">
        <v>25</v>
      </c>
      <c r="D860" s="6" t="s">
        <v>26</v>
      </c>
      <c r="E860" s="6" t="s">
        <v>48</v>
      </c>
      <c r="F860" s="6">
        <v>1859</v>
      </c>
      <c r="G860" s="6">
        <v>181097.3</v>
      </c>
      <c r="H860" s="7">
        <v>42051</v>
      </c>
      <c r="I860" s="6" t="s">
        <v>70</v>
      </c>
      <c r="J860" s="6" t="s">
        <v>1773</v>
      </c>
      <c r="K860" s="6" t="s">
        <v>43</v>
      </c>
      <c r="L860" s="6" t="s">
        <v>44</v>
      </c>
      <c r="M860" s="6" t="s">
        <v>45</v>
      </c>
      <c r="N860" s="6">
        <v>2.0699999999999998</v>
      </c>
      <c r="O860" s="4" t="str">
        <f t="shared" si="13"/>
        <v>Average</v>
      </c>
      <c r="P860" s="6">
        <v>158</v>
      </c>
    </row>
    <row r="861" spans="1:16" x14ac:dyDescent="0.3">
      <c r="A861" s="6" t="s">
        <v>1774</v>
      </c>
      <c r="B861" s="6">
        <v>59</v>
      </c>
      <c r="C861" s="6" t="s">
        <v>62</v>
      </c>
      <c r="D861" s="6" t="s">
        <v>69</v>
      </c>
      <c r="E861" s="6" t="s">
        <v>34</v>
      </c>
      <c r="F861" s="6">
        <v>1860</v>
      </c>
      <c r="G861" s="6">
        <v>163590.92000000001</v>
      </c>
      <c r="H861" s="7">
        <v>40956</v>
      </c>
      <c r="I861" s="6" t="s">
        <v>73</v>
      </c>
      <c r="J861" s="6" t="s">
        <v>1775</v>
      </c>
      <c r="K861" s="6" t="s">
        <v>51</v>
      </c>
      <c r="L861" s="6" t="s">
        <v>52</v>
      </c>
      <c r="M861" s="6" t="s">
        <v>53</v>
      </c>
      <c r="N861" s="6">
        <v>2.65</v>
      </c>
      <c r="O861" s="4" t="str">
        <f t="shared" si="13"/>
        <v>Average</v>
      </c>
      <c r="P861" s="6">
        <v>158</v>
      </c>
    </row>
    <row r="862" spans="1:16" x14ac:dyDescent="0.3">
      <c r="A862" s="6" t="s">
        <v>1776</v>
      </c>
      <c r="B862" s="6">
        <v>48</v>
      </c>
      <c r="C862" s="6" t="s">
        <v>25</v>
      </c>
      <c r="D862" s="6" t="s">
        <v>55</v>
      </c>
      <c r="E862" s="6" t="s">
        <v>34</v>
      </c>
      <c r="F862" s="6">
        <v>1861</v>
      </c>
      <c r="G862" s="6">
        <v>145321.82999999999</v>
      </c>
      <c r="H862" s="7">
        <v>44159</v>
      </c>
      <c r="I862" s="6" t="s">
        <v>19</v>
      </c>
      <c r="J862" s="6" t="s">
        <v>1777</v>
      </c>
      <c r="K862" s="6" t="s">
        <v>21</v>
      </c>
      <c r="L862" s="6" t="s">
        <v>22</v>
      </c>
      <c r="M862" s="6" t="s">
        <v>23</v>
      </c>
      <c r="N862" s="6">
        <v>3.08</v>
      </c>
      <c r="O862" s="4" t="str">
        <f t="shared" si="13"/>
        <v>Good</v>
      </c>
      <c r="P862" s="6">
        <v>37</v>
      </c>
    </row>
    <row r="863" spans="1:16" x14ac:dyDescent="0.3">
      <c r="A863" s="6" t="s">
        <v>1778</v>
      </c>
      <c r="B863" s="6">
        <v>47</v>
      </c>
      <c r="C863" s="6" t="s">
        <v>25</v>
      </c>
      <c r="D863" s="6" t="s">
        <v>55</v>
      </c>
      <c r="E863" s="6" t="s">
        <v>34</v>
      </c>
      <c r="F863" s="6">
        <v>1862</v>
      </c>
      <c r="G863" s="6">
        <v>156035.82</v>
      </c>
      <c r="H863" s="7">
        <v>40850</v>
      </c>
      <c r="I863" s="6" t="s">
        <v>28</v>
      </c>
      <c r="J863" s="6" t="s">
        <v>1779</v>
      </c>
      <c r="K863" s="6" t="s">
        <v>30</v>
      </c>
      <c r="L863" s="6" t="s">
        <v>31</v>
      </c>
      <c r="M863" s="6" t="s">
        <v>32</v>
      </c>
      <c r="N863" s="6">
        <v>1.76</v>
      </c>
      <c r="O863" s="4" t="str">
        <f t="shared" si="13"/>
        <v>Poor</v>
      </c>
      <c r="P863" s="6">
        <v>43</v>
      </c>
    </row>
    <row r="864" spans="1:16" x14ac:dyDescent="0.3">
      <c r="A864" s="6" t="s">
        <v>1780</v>
      </c>
      <c r="B864" s="6">
        <v>47</v>
      </c>
      <c r="C864" s="6" t="s">
        <v>16</v>
      </c>
      <c r="D864" s="6" t="s">
        <v>55</v>
      </c>
      <c r="E864" s="6" t="s">
        <v>34</v>
      </c>
      <c r="F864" s="6">
        <v>1863</v>
      </c>
      <c r="G864" s="6">
        <v>150672.26999999999</v>
      </c>
      <c r="H864" s="7">
        <v>43163</v>
      </c>
      <c r="I864" s="6" t="s">
        <v>35</v>
      </c>
      <c r="J864" s="6" t="s">
        <v>1781</v>
      </c>
      <c r="K864" s="6" t="s">
        <v>37</v>
      </c>
      <c r="L864" s="6" t="s">
        <v>38</v>
      </c>
      <c r="M864" s="6" t="s">
        <v>39</v>
      </c>
      <c r="N864" s="6">
        <v>4.5199999999999996</v>
      </c>
      <c r="O864" s="4" t="str">
        <f t="shared" si="13"/>
        <v>Excellent</v>
      </c>
      <c r="P864" s="6">
        <v>185</v>
      </c>
    </row>
    <row r="865" spans="1:16" x14ac:dyDescent="0.3">
      <c r="A865" s="6" t="s">
        <v>1782</v>
      </c>
      <c r="B865" s="6">
        <v>28</v>
      </c>
      <c r="C865" s="6" t="s">
        <v>25</v>
      </c>
      <c r="D865" s="6" t="s">
        <v>47</v>
      </c>
      <c r="E865" s="6" t="s">
        <v>18</v>
      </c>
      <c r="F865" s="6">
        <v>1864</v>
      </c>
      <c r="G865" s="6">
        <v>154618.39000000001</v>
      </c>
      <c r="H865" s="7">
        <v>38168</v>
      </c>
      <c r="I865" s="6" t="s">
        <v>41</v>
      </c>
      <c r="J865" s="6" t="s">
        <v>1783</v>
      </c>
      <c r="K865" s="6" t="s">
        <v>43</v>
      </c>
      <c r="L865" s="6" t="s">
        <v>44</v>
      </c>
      <c r="M865" s="6" t="s">
        <v>45</v>
      </c>
      <c r="N865" s="6">
        <v>2.76</v>
      </c>
      <c r="O865" s="4" t="str">
        <f t="shared" si="13"/>
        <v>Average</v>
      </c>
      <c r="P865" s="6">
        <v>181</v>
      </c>
    </row>
    <row r="866" spans="1:16" x14ac:dyDescent="0.3">
      <c r="A866" s="6" t="s">
        <v>1784</v>
      </c>
      <c r="B866" s="6">
        <v>46</v>
      </c>
      <c r="C866" s="6" t="s">
        <v>25</v>
      </c>
      <c r="D866" s="6" t="s">
        <v>55</v>
      </c>
      <c r="E866" s="6" t="s">
        <v>48</v>
      </c>
      <c r="F866" s="6">
        <v>1865</v>
      </c>
      <c r="G866" s="6">
        <v>134842.67000000001</v>
      </c>
      <c r="H866" s="7">
        <v>37011</v>
      </c>
      <c r="I866" s="6" t="s">
        <v>49</v>
      </c>
      <c r="J866" s="6" t="s">
        <v>1785</v>
      </c>
      <c r="K866" s="6" t="s">
        <v>51</v>
      </c>
      <c r="L866" s="6" t="s">
        <v>52</v>
      </c>
      <c r="M866" s="6" t="s">
        <v>53</v>
      </c>
      <c r="N866" s="6">
        <v>2.96</v>
      </c>
      <c r="O866" s="4" t="str">
        <f t="shared" si="13"/>
        <v>Average</v>
      </c>
      <c r="P866" s="6">
        <v>30</v>
      </c>
    </row>
    <row r="867" spans="1:16" x14ac:dyDescent="0.3">
      <c r="A867" s="6" t="s">
        <v>1786</v>
      </c>
      <c r="B867" s="6">
        <v>37</v>
      </c>
      <c r="C867" s="6" t="s">
        <v>62</v>
      </c>
      <c r="D867" s="6" t="s">
        <v>17</v>
      </c>
      <c r="E867" s="6" t="s">
        <v>80</v>
      </c>
      <c r="F867" s="6">
        <v>1866</v>
      </c>
      <c r="G867" s="6">
        <v>99548.75</v>
      </c>
      <c r="H867" s="7">
        <v>43979</v>
      </c>
      <c r="I867" s="6" t="s">
        <v>56</v>
      </c>
      <c r="J867" s="6" t="s">
        <v>1787</v>
      </c>
      <c r="K867" s="6" t="s">
        <v>21</v>
      </c>
      <c r="L867" s="6" t="s">
        <v>22</v>
      </c>
      <c r="M867" s="6" t="s">
        <v>23</v>
      </c>
      <c r="N867" s="6">
        <v>1.35</v>
      </c>
      <c r="O867" s="4" t="str">
        <f t="shared" si="13"/>
        <v>Poor</v>
      </c>
      <c r="P867" s="6">
        <v>179</v>
      </c>
    </row>
    <row r="868" spans="1:16" x14ac:dyDescent="0.3">
      <c r="A868" s="6" t="s">
        <v>1788</v>
      </c>
      <c r="B868" s="6">
        <v>59</v>
      </c>
      <c r="C868" s="6" t="s">
        <v>16</v>
      </c>
      <c r="D868" s="6" t="s">
        <v>17</v>
      </c>
      <c r="E868" s="6" t="s">
        <v>18</v>
      </c>
      <c r="F868" s="6">
        <v>1867</v>
      </c>
      <c r="G868" s="6">
        <v>196144.01</v>
      </c>
      <c r="H868" s="7">
        <v>39056</v>
      </c>
      <c r="I868" s="6" t="s">
        <v>63</v>
      </c>
      <c r="J868" s="6" t="s">
        <v>1789</v>
      </c>
      <c r="K868" s="6" t="s">
        <v>30</v>
      </c>
      <c r="L868" s="6" t="s">
        <v>31</v>
      </c>
      <c r="M868" s="6" t="s">
        <v>32</v>
      </c>
      <c r="N868" s="6">
        <v>1.99</v>
      </c>
      <c r="O868" s="4" t="str">
        <f t="shared" si="13"/>
        <v>Poor</v>
      </c>
      <c r="P868" s="6">
        <v>71</v>
      </c>
    </row>
    <row r="869" spans="1:16" x14ac:dyDescent="0.3">
      <c r="A869" s="6" t="s">
        <v>1790</v>
      </c>
      <c r="B869" s="6">
        <v>63</v>
      </c>
      <c r="C869" s="6" t="s">
        <v>16</v>
      </c>
      <c r="D869" s="6" t="s">
        <v>55</v>
      </c>
      <c r="E869" s="6" t="s">
        <v>80</v>
      </c>
      <c r="F869" s="6">
        <v>1868</v>
      </c>
      <c r="G869" s="6">
        <v>138349.20000000001</v>
      </c>
      <c r="H869" s="7">
        <v>38641</v>
      </c>
      <c r="I869" s="6" t="s">
        <v>66</v>
      </c>
      <c r="J869" s="6" t="s">
        <v>1791</v>
      </c>
      <c r="K869" s="6" t="s">
        <v>37</v>
      </c>
      <c r="L869" s="6" t="s">
        <v>38</v>
      </c>
      <c r="M869" s="6" t="s">
        <v>39</v>
      </c>
      <c r="N869" s="6">
        <v>4.17</v>
      </c>
      <c r="O869" s="4" t="str">
        <f t="shared" si="13"/>
        <v>Excellent</v>
      </c>
      <c r="P869" s="6">
        <v>85</v>
      </c>
    </row>
    <row r="870" spans="1:16" x14ac:dyDescent="0.3">
      <c r="A870" s="6" t="s">
        <v>1792</v>
      </c>
      <c r="B870" s="6">
        <v>39</v>
      </c>
      <c r="C870" s="6" t="s">
        <v>62</v>
      </c>
      <c r="D870" s="6" t="s">
        <v>17</v>
      </c>
      <c r="E870" s="6" t="s">
        <v>80</v>
      </c>
      <c r="F870" s="6">
        <v>1869</v>
      </c>
      <c r="G870" s="6">
        <v>92001.43</v>
      </c>
      <c r="H870" s="7">
        <v>42298</v>
      </c>
      <c r="I870" s="6" t="s">
        <v>70</v>
      </c>
      <c r="J870" s="6" t="s">
        <v>1793</v>
      </c>
      <c r="K870" s="6" t="s">
        <v>43</v>
      </c>
      <c r="L870" s="6" t="s">
        <v>44</v>
      </c>
      <c r="M870" s="6" t="s">
        <v>45</v>
      </c>
      <c r="N870" s="6">
        <v>2.95</v>
      </c>
      <c r="O870" s="4" t="str">
        <f t="shared" si="13"/>
        <v>Average</v>
      </c>
      <c r="P870" s="6">
        <v>83</v>
      </c>
    </row>
    <row r="871" spans="1:16" x14ac:dyDescent="0.3">
      <c r="A871" s="6" t="s">
        <v>1794</v>
      </c>
      <c r="B871" s="6">
        <v>38</v>
      </c>
      <c r="C871" s="6" t="s">
        <v>16</v>
      </c>
      <c r="D871" s="6" t="s">
        <v>69</v>
      </c>
      <c r="E871" s="6" t="s">
        <v>18</v>
      </c>
      <c r="F871" s="6">
        <v>1870</v>
      </c>
      <c r="G871" s="6">
        <v>144647.49</v>
      </c>
      <c r="H871" s="7">
        <v>38801</v>
      </c>
      <c r="I871" s="6" t="s">
        <v>73</v>
      </c>
      <c r="J871" s="6" t="s">
        <v>1795</v>
      </c>
      <c r="K871" s="6" t="s">
        <v>51</v>
      </c>
      <c r="L871" s="6" t="s">
        <v>52</v>
      </c>
      <c r="M871" s="6" t="s">
        <v>53</v>
      </c>
      <c r="N871" s="6">
        <v>2.0299999999999998</v>
      </c>
      <c r="O871" s="4" t="str">
        <f t="shared" si="13"/>
        <v>Average</v>
      </c>
      <c r="P871" s="6">
        <v>68</v>
      </c>
    </row>
    <row r="872" spans="1:16" x14ac:dyDescent="0.3">
      <c r="A872" s="6" t="s">
        <v>1796</v>
      </c>
      <c r="B872" s="6">
        <v>27</v>
      </c>
      <c r="C872" s="6" t="s">
        <v>62</v>
      </c>
      <c r="D872" s="6" t="s">
        <v>47</v>
      </c>
      <c r="E872" s="6" t="s">
        <v>48</v>
      </c>
      <c r="F872" s="6">
        <v>1871</v>
      </c>
      <c r="G872" s="6">
        <v>159695.98000000001</v>
      </c>
      <c r="H872" s="7">
        <v>40148</v>
      </c>
      <c r="I872" s="6" t="s">
        <v>19</v>
      </c>
      <c r="J872" s="6" t="s">
        <v>1797</v>
      </c>
      <c r="K872" s="6" t="s">
        <v>21</v>
      </c>
      <c r="L872" s="6" t="s">
        <v>22</v>
      </c>
      <c r="M872" s="6" t="s">
        <v>23</v>
      </c>
      <c r="N872" s="6">
        <v>1.34</v>
      </c>
      <c r="O872" s="4" t="str">
        <f t="shared" si="13"/>
        <v>Poor</v>
      </c>
      <c r="P872" s="6">
        <v>74</v>
      </c>
    </row>
    <row r="873" spans="1:16" x14ac:dyDescent="0.3">
      <c r="A873" s="6" t="s">
        <v>1798</v>
      </c>
      <c r="B873" s="6">
        <v>41</v>
      </c>
      <c r="C873" s="6" t="s">
        <v>62</v>
      </c>
      <c r="D873" s="6" t="s">
        <v>47</v>
      </c>
      <c r="E873" s="6" t="s">
        <v>48</v>
      </c>
      <c r="F873" s="6">
        <v>1872</v>
      </c>
      <c r="G873" s="6">
        <v>187138.26</v>
      </c>
      <c r="H873" s="7">
        <v>40996</v>
      </c>
      <c r="I873" s="6" t="s">
        <v>28</v>
      </c>
      <c r="J873" s="6" t="s">
        <v>1799</v>
      </c>
      <c r="K873" s="6" t="s">
        <v>30</v>
      </c>
      <c r="L873" s="6" t="s">
        <v>31</v>
      </c>
      <c r="M873" s="6" t="s">
        <v>32</v>
      </c>
      <c r="N873" s="6">
        <v>4.32</v>
      </c>
      <c r="O873" s="4" t="str">
        <f t="shared" si="13"/>
        <v>Excellent</v>
      </c>
      <c r="P873" s="6">
        <v>76</v>
      </c>
    </row>
    <row r="874" spans="1:16" x14ac:dyDescent="0.3">
      <c r="A874" s="6" t="s">
        <v>1800</v>
      </c>
      <c r="B874" s="6">
        <v>44</v>
      </c>
      <c r="C874" s="6" t="s">
        <v>25</v>
      </c>
      <c r="D874" s="6" t="s">
        <v>26</v>
      </c>
      <c r="E874" s="6" t="s">
        <v>48</v>
      </c>
      <c r="F874" s="6">
        <v>1873</v>
      </c>
      <c r="G874" s="6">
        <v>171734.08</v>
      </c>
      <c r="H874" s="7">
        <v>41434</v>
      </c>
      <c r="I874" s="6" t="s">
        <v>35</v>
      </c>
      <c r="J874" s="6" t="s">
        <v>1801</v>
      </c>
      <c r="K874" s="6" t="s">
        <v>37</v>
      </c>
      <c r="L874" s="6" t="s">
        <v>38</v>
      </c>
      <c r="M874" s="6" t="s">
        <v>39</v>
      </c>
      <c r="N874" s="6">
        <v>4.26</v>
      </c>
      <c r="O874" s="4" t="str">
        <f t="shared" si="13"/>
        <v>Excellent</v>
      </c>
      <c r="P874" s="6">
        <v>188</v>
      </c>
    </row>
    <row r="875" spans="1:16" x14ac:dyDescent="0.3">
      <c r="A875" s="6" t="s">
        <v>1802</v>
      </c>
      <c r="B875" s="6">
        <v>33</v>
      </c>
      <c r="C875" s="6" t="s">
        <v>25</v>
      </c>
      <c r="D875" s="6" t="s">
        <v>26</v>
      </c>
      <c r="E875" s="6" t="s">
        <v>18</v>
      </c>
      <c r="F875" s="6">
        <v>1874</v>
      </c>
      <c r="G875" s="6">
        <v>142592.78</v>
      </c>
      <c r="H875" s="7">
        <v>36736</v>
      </c>
      <c r="I875" s="6" t="s">
        <v>41</v>
      </c>
      <c r="J875" s="6" t="s">
        <v>1803</v>
      </c>
      <c r="K875" s="6" t="s">
        <v>43</v>
      </c>
      <c r="L875" s="6" t="s">
        <v>44</v>
      </c>
      <c r="M875" s="6" t="s">
        <v>45</v>
      </c>
      <c r="N875" s="6">
        <v>2.63</v>
      </c>
      <c r="O875" s="4" t="str">
        <f t="shared" si="13"/>
        <v>Average</v>
      </c>
      <c r="P875" s="6">
        <v>107</v>
      </c>
    </row>
    <row r="876" spans="1:16" x14ac:dyDescent="0.3">
      <c r="A876" s="6" t="s">
        <v>1804</v>
      </c>
      <c r="B876" s="6">
        <v>33</v>
      </c>
      <c r="C876" s="6" t="s">
        <v>62</v>
      </c>
      <c r="D876" s="6" t="s">
        <v>47</v>
      </c>
      <c r="E876" s="6" t="s">
        <v>18</v>
      </c>
      <c r="F876" s="6">
        <v>1875</v>
      </c>
      <c r="G876" s="6">
        <v>182155.17</v>
      </c>
      <c r="H876" s="7">
        <v>44799</v>
      </c>
      <c r="I876" s="6" t="s">
        <v>49</v>
      </c>
      <c r="J876" s="6" t="s">
        <v>1805</v>
      </c>
      <c r="K876" s="6" t="s">
        <v>51</v>
      </c>
      <c r="L876" s="6" t="s">
        <v>52</v>
      </c>
      <c r="M876" s="6" t="s">
        <v>53</v>
      </c>
      <c r="N876" s="6">
        <v>1.71</v>
      </c>
      <c r="O876" s="4" t="str">
        <f t="shared" si="13"/>
        <v>Poor</v>
      </c>
      <c r="P876" s="6">
        <v>13</v>
      </c>
    </row>
    <row r="877" spans="1:16" x14ac:dyDescent="0.3">
      <c r="A877" s="6" t="s">
        <v>1806</v>
      </c>
      <c r="B877" s="6">
        <v>55</v>
      </c>
      <c r="C877" s="6" t="s">
        <v>25</v>
      </c>
      <c r="D877" s="6" t="s">
        <v>55</v>
      </c>
      <c r="E877" s="6" t="s">
        <v>27</v>
      </c>
      <c r="F877" s="6">
        <v>1876</v>
      </c>
      <c r="G877" s="6">
        <v>148784.79</v>
      </c>
      <c r="H877" s="7">
        <v>39503</v>
      </c>
      <c r="I877" s="6" t="s">
        <v>56</v>
      </c>
      <c r="J877" s="6" t="s">
        <v>1807</v>
      </c>
      <c r="K877" s="6" t="s">
        <v>21</v>
      </c>
      <c r="L877" s="6" t="s">
        <v>22</v>
      </c>
      <c r="M877" s="6" t="s">
        <v>23</v>
      </c>
      <c r="N877" s="6">
        <v>2.81</v>
      </c>
      <c r="O877" s="4" t="str">
        <f t="shared" si="13"/>
        <v>Average</v>
      </c>
      <c r="P877" s="6">
        <v>120</v>
      </c>
    </row>
    <row r="878" spans="1:16" x14ac:dyDescent="0.3">
      <c r="A878" s="6" t="s">
        <v>1808</v>
      </c>
      <c r="B878" s="6">
        <v>29</v>
      </c>
      <c r="C878" s="6" t="s">
        <v>25</v>
      </c>
      <c r="D878" s="6" t="s">
        <v>55</v>
      </c>
      <c r="E878" s="6" t="s">
        <v>18</v>
      </c>
      <c r="F878" s="6">
        <v>1877</v>
      </c>
      <c r="G878" s="6">
        <v>71435.12</v>
      </c>
      <c r="H878" s="7">
        <v>40343</v>
      </c>
      <c r="I878" s="6" t="s">
        <v>63</v>
      </c>
      <c r="J878" s="6" t="s">
        <v>1809</v>
      </c>
      <c r="K878" s="6" t="s">
        <v>30</v>
      </c>
      <c r="L878" s="6" t="s">
        <v>31</v>
      </c>
      <c r="M878" s="6" t="s">
        <v>32</v>
      </c>
      <c r="N878" s="6">
        <v>2.15</v>
      </c>
      <c r="O878" s="4" t="str">
        <f t="shared" si="13"/>
        <v>Average</v>
      </c>
      <c r="P878" s="6">
        <v>56</v>
      </c>
    </row>
    <row r="879" spans="1:16" x14ac:dyDescent="0.3">
      <c r="A879" s="6" t="s">
        <v>1810</v>
      </c>
      <c r="B879" s="6">
        <v>48</v>
      </c>
      <c r="C879" s="6" t="s">
        <v>16</v>
      </c>
      <c r="D879" s="6" t="s">
        <v>69</v>
      </c>
      <c r="E879" s="6" t="s">
        <v>27</v>
      </c>
      <c r="F879" s="6">
        <v>1878</v>
      </c>
      <c r="G879" s="6">
        <v>95157.73</v>
      </c>
      <c r="H879" s="7">
        <v>39655</v>
      </c>
      <c r="I879" s="6" t="s">
        <v>66</v>
      </c>
      <c r="J879" s="6" t="s">
        <v>1811</v>
      </c>
      <c r="K879" s="6" t="s">
        <v>37</v>
      </c>
      <c r="L879" s="6" t="s">
        <v>38</v>
      </c>
      <c r="M879" s="6" t="s">
        <v>39</v>
      </c>
      <c r="N879" s="6">
        <v>3.04</v>
      </c>
      <c r="O879" s="4" t="str">
        <f t="shared" si="13"/>
        <v>Good</v>
      </c>
      <c r="P879" s="6">
        <v>42</v>
      </c>
    </row>
    <row r="880" spans="1:16" x14ac:dyDescent="0.3">
      <c r="A880" s="6" t="s">
        <v>1812</v>
      </c>
      <c r="B880" s="6">
        <v>29</v>
      </c>
      <c r="C880" s="6" t="s">
        <v>16</v>
      </c>
      <c r="D880" s="6" t="s">
        <v>47</v>
      </c>
      <c r="E880" s="6" t="s">
        <v>80</v>
      </c>
      <c r="F880" s="6">
        <v>1879</v>
      </c>
      <c r="G880" s="6">
        <v>72172.27</v>
      </c>
      <c r="H880" s="7">
        <v>42810</v>
      </c>
      <c r="I880" s="6" t="s">
        <v>70</v>
      </c>
      <c r="J880" s="6" t="s">
        <v>1813</v>
      </c>
      <c r="K880" s="6" t="s">
        <v>43</v>
      </c>
      <c r="L880" s="6" t="s">
        <v>44</v>
      </c>
      <c r="M880" s="6" t="s">
        <v>45</v>
      </c>
      <c r="N880" s="6">
        <v>2.68</v>
      </c>
      <c r="O880" s="4" t="str">
        <f t="shared" si="13"/>
        <v>Average</v>
      </c>
      <c r="P880" s="6">
        <v>51</v>
      </c>
    </row>
    <row r="881" spans="1:16" x14ac:dyDescent="0.3">
      <c r="A881" s="6" t="s">
        <v>1814</v>
      </c>
      <c r="B881" s="6">
        <v>54</v>
      </c>
      <c r="C881" s="6" t="s">
        <v>25</v>
      </c>
      <c r="D881" s="6" t="s">
        <v>17</v>
      </c>
      <c r="E881" s="6" t="s">
        <v>18</v>
      </c>
      <c r="F881" s="6">
        <v>1880</v>
      </c>
      <c r="G881" s="6">
        <v>65759.850000000006</v>
      </c>
      <c r="H881" s="7">
        <v>36731</v>
      </c>
      <c r="I881" s="6" t="s">
        <v>73</v>
      </c>
      <c r="J881" s="6" t="s">
        <v>1815</v>
      </c>
      <c r="K881" s="6" t="s">
        <v>51</v>
      </c>
      <c r="L881" s="6" t="s">
        <v>52</v>
      </c>
      <c r="M881" s="6" t="s">
        <v>53</v>
      </c>
      <c r="N881" s="6">
        <v>3.2</v>
      </c>
      <c r="O881" s="4" t="str">
        <f t="shared" si="13"/>
        <v>Good</v>
      </c>
      <c r="P881" s="6">
        <v>120</v>
      </c>
    </row>
    <row r="882" spans="1:16" x14ac:dyDescent="0.3">
      <c r="A882" s="6" t="s">
        <v>1816</v>
      </c>
      <c r="B882" s="6">
        <v>58</v>
      </c>
      <c r="C882" s="6" t="s">
        <v>62</v>
      </c>
      <c r="D882" s="6" t="s">
        <v>17</v>
      </c>
      <c r="E882" s="6" t="s">
        <v>27</v>
      </c>
      <c r="F882" s="6">
        <v>1881</v>
      </c>
      <c r="G882" s="6">
        <v>140162.28</v>
      </c>
      <c r="H882" s="7">
        <v>38576</v>
      </c>
      <c r="I882" s="6" t="s">
        <v>19</v>
      </c>
      <c r="J882" s="6" t="s">
        <v>1817</v>
      </c>
      <c r="K882" s="6" t="s">
        <v>21</v>
      </c>
      <c r="L882" s="6" t="s">
        <v>22</v>
      </c>
      <c r="M882" s="6" t="s">
        <v>23</v>
      </c>
      <c r="N882" s="6">
        <v>3.58</v>
      </c>
      <c r="O882" s="4" t="str">
        <f t="shared" si="13"/>
        <v>Good</v>
      </c>
      <c r="P882" s="6">
        <v>155</v>
      </c>
    </row>
    <row r="883" spans="1:16" x14ac:dyDescent="0.3">
      <c r="A883" s="6" t="s">
        <v>1818</v>
      </c>
      <c r="B883" s="6">
        <v>40</v>
      </c>
      <c r="C883" s="6" t="s">
        <v>62</v>
      </c>
      <c r="D883" s="6" t="s">
        <v>26</v>
      </c>
      <c r="E883" s="6" t="s">
        <v>48</v>
      </c>
      <c r="F883" s="6">
        <v>1882</v>
      </c>
      <c r="G883" s="6">
        <v>78631.05</v>
      </c>
      <c r="H883" s="7">
        <v>40713</v>
      </c>
      <c r="I883" s="6" t="s">
        <v>28</v>
      </c>
      <c r="J883" s="6" t="s">
        <v>1819</v>
      </c>
      <c r="K883" s="6" t="s">
        <v>30</v>
      </c>
      <c r="L883" s="6" t="s">
        <v>31</v>
      </c>
      <c r="M883" s="6" t="s">
        <v>32</v>
      </c>
      <c r="N883" s="6">
        <v>2.0099999999999998</v>
      </c>
      <c r="O883" s="4" t="str">
        <f t="shared" si="13"/>
        <v>Average</v>
      </c>
      <c r="P883" s="6">
        <v>91</v>
      </c>
    </row>
    <row r="884" spans="1:16" x14ac:dyDescent="0.3">
      <c r="A884" s="6" t="s">
        <v>1820</v>
      </c>
      <c r="B884" s="6">
        <v>45</v>
      </c>
      <c r="C884" s="6" t="s">
        <v>25</v>
      </c>
      <c r="D884" s="6" t="s">
        <v>47</v>
      </c>
      <c r="E884" s="6" t="s">
        <v>80</v>
      </c>
      <c r="F884" s="6">
        <v>1883</v>
      </c>
      <c r="G884" s="6">
        <v>188938.2</v>
      </c>
      <c r="H884" s="7">
        <v>39790</v>
      </c>
      <c r="I884" s="6" t="s">
        <v>35</v>
      </c>
      <c r="J884" s="6" t="s">
        <v>1821</v>
      </c>
      <c r="K884" s="6" t="s">
        <v>37</v>
      </c>
      <c r="L884" s="6" t="s">
        <v>38</v>
      </c>
      <c r="M884" s="6" t="s">
        <v>39</v>
      </c>
      <c r="N884" s="6">
        <v>2.74</v>
      </c>
      <c r="O884" s="4" t="str">
        <f t="shared" si="13"/>
        <v>Average</v>
      </c>
      <c r="P884" s="6">
        <v>138</v>
      </c>
    </row>
    <row r="885" spans="1:16" x14ac:dyDescent="0.3">
      <c r="A885" s="6" t="s">
        <v>1822</v>
      </c>
      <c r="B885" s="6">
        <v>43</v>
      </c>
      <c r="C885" s="6" t="s">
        <v>25</v>
      </c>
      <c r="D885" s="6" t="s">
        <v>26</v>
      </c>
      <c r="E885" s="6" t="s">
        <v>18</v>
      </c>
      <c r="F885" s="6">
        <v>1884</v>
      </c>
      <c r="G885" s="6">
        <v>137858.46</v>
      </c>
      <c r="H885" s="7">
        <v>43414</v>
      </c>
      <c r="I885" s="6" t="s">
        <v>41</v>
      </c>
      <c r="J885" s="6" t="s">
        <v>1823</v>
      </c>
      <c r="K885" s="6" t="s">
        <v>43</v>
      </c>
      <c r="L885" s="6" t="s">
        <v>44</v>
      </c>
      <c r="M885" s="6" t="s">
        <v>45</v>
      </c>
      <c r="N885" s="6">
        <v>3.17</v>
      </c>
      <c r="O885" s="4" t="str">
        <f t="shared" si="13"/>
        <v>Good</v>
      </c>
      <c r="P885" s="6">
        <v>132</v>
      </c>
    </row>
    <row r="886" spans="1:16" x14ac:dyDescent="0.3">
      <c r="A886" s="6" t="s">
        <v>1824</v>
      </c>
      <c r="B886" s="6">
        <v>24</v>
      </c>
      <c r="C886" s="6" t="s">
        <v>62</v>
      </c>
      <c r="D886" s="6" t="s">
        <v>69</v>
      </c>
      <c r="E886" s="6" t="s">
        <v>34</v>
      </c>
      <c r="F886" s="6">
        <v>1885</v>
      </c>
      <c r="G886" s="6">
        <v>88089.32</v>
      </c>
      <c r="H886" s="7">
        <v>39832</v>
      </c>
      <c r="I886" s="6" t="s">
        <v>49</v>
      </c>
      <c r="J886" s="6" t="s">
        <v>1825</v>
      </c>
      <c r="K886" s="6" t="s">
        <v>51</v>
      </c>
      <c r="L886" s="6" t="s">
        <v>52</v>
      </c>
      <c r="M886" s="6" t="s">
        <v>53</v>
      </c>
      <c r="N886" s="6">
        <v>1.62</v>
      </c>
      <c r="O886" s="4" t="str">
        <f t="shared" si="13"/>
        <v>Poor</v>
      </c>
      <c r="P886" s="6">
        <v>145</v>
      </c>
    </row>
    <row r="887" spans="1:16" x14ac:dyDescent="0.3">
      <c r="A887" s="6" t="s">
        <v>1826</v>
      </c>
      <c r="B887" s="6">
        <v>30</v>
      </c>
      <c r="C887" s="6" t="s">
        <v>16</v>
      </c>
      <c r="D887" s="6" t="s">
        <v>26</v>
      </c>
      <c r="E887" s="6" t="s">
        <v>80</v>
      </c>
      <c r="F887" s="6">
        <v>1886</v>
      </c>
      <c r="G887" s="6">
        <v>133587.35999999999</v>
      </c>
      <c r="H887" s="7">
        <v>41667</v>
      </c>
      <c r="I887" s="6" t="s">
        <v>56</v>
      </c>
      <c r="J887" s="6" t="s">
        <v>1827</v>
      </c>
      <c r="K887" s="6" t="s">
        <v>21</v>
      </c>
      <c r="L887" s="6" t="s">
        <v>22</v>
      </c>
      <c r="M887" s="6" t="s">
        <v>23</v>
      </c>
      <c r="N887" s="6">
        <v>2.77</v>
      </c>
      <c r="O887" s="4" t="str">
        <f t="shared" si="13"/>
        <v>Average</v>
      </c>
      <c r="P887" s="6">
        <v>194</v>
      </c>
    </row>
    <row r="888" spans="1:16" x14ac:dyDescent="0.3">
      <c r="A888" s="6" t="s">
        <v>1828</v>
      </c>
      <c r="B888" s="6">
        <v>32</v>
      </c>
      <c r="C888" s="6" t="s">
        <v>16</v>
      </c>
      <c r="D888" s="6" t="s">
        <v>69</v>
      </c>
      <c r="E888" s="6" t="s">
        <v>80</v>
      </c>
      <c r="F888" s="6">
        <v>1887</v>
      </c>
      <c r="G888" s="6">
        <v>156218.07999999999</v>
      </c>
      <c r="H888" s="7">
        <v>36899</v>
      </c>
      <c r="I888" s="6" t="s">
        <v>63</v>
      </c>
      <c r="J888" s="6" t="s">
        <v>1829</v>
      </c>
      <c r="K888" s="6" t="s">
        <v>30</v>
      </c>
      <c r="L888" s="6" t="s">
        <v>31</v>
      </c>
      <c r="M888" s="6" t="s">
        <v>32</v>
      </c>
      <c r="N888" s="6">
        <v>2.2999999999999998</v>
      </c>
      <c r="O888" s="4" t="str">
        <f t="shared" si="13"/>
        <v>Average</v>
      </c>
      <c r="P888" s="6">
        <v>110</v>
      </c>
    </row>
    <row r="889" spans="1:16" x14ac:dyDescent="0.3">
      <c r="A889" s="6" t="s">
        <v>1830</v>
      </c>
      <c r="B889" s="6">
        <v>27</v>
      </c>
      <c r="C889" s="6" t="s">
        <v>62</v>
      </c>
      <c r="D889" s="6" t="s">
        <v>47</v>
      </c>
      <c r="E889" s="6" t="s">
        <v>27</v>
      </c>
      <c r="F889" s="6">
        <v>1888</v>
      </c>
      <c r="G889" s="6">
        <v>120260.5</v>
      </c>
      <c r="H889" s="7">
        <v>40133</v>
      </c>
      <c r="I889" s="6" t="s">
        <v>66</v>
      </c>
      <c r="J889" s="6" t="s">
        <v>1831</v>
      </c>
      <c r="K889" s="6" t="s">
        <v>37</v>
      </c>
      <c r="L889" s="6" t="s">
        <v>38</v>
      </c>
      <c r="M889" s="6" t="s">
        <v>39</v>
      </c>
      <c r="N889" s="6">
        <v>4.03</v>
      </c>
      <c r="O889" s="4" t="str">
        <f t="shared" si="13"/>
        <v>Excellent</v>
      </c>
      <c r="P889" s="6">
        <v>170</v>
      </c>
    </row>
    <row r="890" spans="1:16" x14ac:dyDescent="0.3">
      <c r="A890" s="6" t="s">
        <v>1832</v>
      </c>
      <c r="B890" s="6">
        <v>60</v>
      </c>
      <c r="C890" s="6" t="s">
        <v>25</v>
      </c>
      <c r="D890" s="6" t="s">
        <v>69</v>
      </c>
      <c r="E890" s="6" t="s">
        <v>18</v>
      </c>
      <c r="F890" s="6">
        <v>1889</v>
      </c>
      <c r="G890" s="6">
        <v>185773.04</v>
      </c>
      <c r="H890" s="7">
        <v>41727</v>
      </c>
      <c r="I890" s="6" t="s">
        <v>70</v>
      </c>
      <c r="J890" s="6" t="s">
        <v>1833</v>
      </c>
      <c r="K890" s="6" t="s">
        <v>43</v>
      </c>
      <c r="L890" s="6" t="s">
        <v>44</v>
      </c>
      <c r="M890" s="6" t="s">
        <v>45</v>
      </c>
      <c r="N890" s="6">
        <v>2.4700000000000002</v>
      </c>
      <c r="O890" s="4" t="str">
        <f t="shared" si="13"/>
        <v>Average</v>
      </c>
      <c r="P890" s="6">
        <v>161</v>
      </c>
    </row>
    <row r="891" spans="1:16" x14ac:dyDescent="0.3">
      <c r="A891" s="6" t="s">
        <v>1834</v>
      </c>
      <c r="B891" s="6">
        <v>60</v>
      </c>
      <c r="C891" s="6" t="s">
        <v>16</v>
      </c>
      <c r="D891" s="6" t="s">
        <v>26</v>
      </c>
      <c r="E891" s="6" t="s">
        <v>27</v>
      </c>
      <c r="F891" s="6">
        <v>1890</v>
      </c>
      <c r="G891" s="6">
        <v>135617.43</v>
      </c>
      <c r="H891" s="7">
        <v>44363</v>
      </c>
      <c r="I891" s="6" t="s">
        <v>73</v>
      </c>
      <c r="J891" s="6" t="s">
        <v>1835</v>
      </c>
      <c r="K891" s="6" t="s">
        <v>51</v>
      </c>
      <c r="L891" s="6" t="s">
        <v>52</v>
      </c>
      <c r="M891" s="6" t="s">
        <v>53</v>
      </c>
      <c r="N891" s="6">
        <v>1.79</v>
      </c>
      <c r="O891" s="4" t="str">
        <f t="shared" si="13"/>
        <v>Poor</v>
      </c>
      <c r="P891" s="6">
        <v>186</v>
      </c>
    </row>
    <row r="892" spans="1:16" x14ac:dyDescent="0.3">
      <c r="A892" s="6" t="s">
        <v>1836</v>
      </c>
      <c r="B892" s="6">
        <v>58</v>
      </c>
      <c r="C892" s="6" t="s">
        <v>62</v>
      </c>
      <c r="D892" s="6" t="s">
        <v>47</v>
      </c>
      <c r="E892" s="6" t="s">
        <v>80</v>
      </c>
      <c r="F892" s="6">
        <v>1891</v>
      </c>
      <c r="G892" s="6">
        <v>134543.37</v>
      </c>
      <c r="H892" s="7">
        <v>41360</v>
      </c>
      <c r="I892" s="6" t="s">
        <v>19</v>
      </c>
      <c r="J892" s="6" t="s">
        <v>1837</v>
      </c>
      <c r="K892" s="6" t="s">
        <v>21</v>
      </c>
      <c r="L892" s="6" t="s">
        <v>22</v>
      </c>
      <c r="M892" s="6" t="s">
        <v>23</v>
      </c>
      <c r="N892" s="6">
        <v>1.87</v>
      </c>
      <c r="O892" s="4" t="str">
        <f t="shared" si="13"/>
        <v>Poor</v>
      </c>
      <c r="P892" s="6">
        <v>173</v>
      </c>
    </row>
    <row r="893" spans="1:16" x14ac:dyDescent="0.3">
      <c r="A893" s="6" t="s">
        <v>1838</v>
      </c>
      <c r="B893" s="6">
        <v>23</v>
      </c>
      <c r="C893" s="6" t="s">
        <v>25</v>
      </c>
      <c r="D893" s="6" t="s">
        <v>26</v>
      </c>
      <c r="E893" s="6" t="s">
        <v>48</v>
      </c>
      <c r="F893" s="6">
        <v>1892</v>
      </c>
      <c r="G893" s="6">
        <v>81548.740000000005</v>
      </c>
      <c r="H893" s="7">
        <v>38729</v>
      </c>
      <c r="I893" s="6" t="s">
        <v>28</v>
      </c>
      <c r="J893" s="6" t="s">
        <v>1839</v>
      </c>
      <c r="K893" s="6" t="s">
        <v>30</v>
      </c>
      <c r="L893" s="6" t="s">
        <v>31</v>
      </c>
      <c r="M893" s="6" t="s">
        <v>32</v>
      </c>
      <c r="N893" s="6">
        <v>2.57</v>
      </c>
      <c r="O893" s="4" t="str">
        <f t="shared" si="13"/>
        <v>Average</v>
      </c>
      <c r="P893" s="6">
        <v>116</v>
      </c>
    </row>
    <row r="894" spans="1:16" x14ac:dyDescent="0.3">
      <c r="A894" s="6" t="s">
        <v>1840</v>
      </c>
      <c r="B894" s="6">
        <v>58</v>
      </c>
      <c r="C894" s="6" t="s">
        <v>25</v>
      </c>
      <c r="D894" s="6" t="s">
        <v>17</v>
      </c>
      <c r="E894" s="6" t="s">
        <v>18</v>
      </c>
      <c r="F894" s="6">
        <v>1893</v>
      </c>
      <c r="G894" s="6">
        <v>63105.98</v>
      </c>
      <c r="H894" s="7">
        <v>38228</v>
      </c>
      <c r="I894" s="6" t="s">
        <v>35</v>
      </c>
      <c r="J894" s="6" t="s">
        <v>1841</v>
      </c>
      <c r="K894" s="6" t="s">
        <v>37</v>
      </c>
      <c r="L894" s="6" t="s">
        <v>38</v>
      </c>
      <c r="M894" s="6" t="s">
        <v>39</v>
      </c>
      <c r="N894" s="6">
        <v>3.1</v>
      </c>
      <c r="O894" s="4" t="str">
        <f t="shared" si="13"/>
        <v>Good</v>
      </c>
      <c r="P894" s="6">
        <v>87</v>
      </c>
    </row>
    <row r="895" spans="1:16" x14ac:dyDescent="0.3">
      <c r="A895" s="6" t="s">
        <v>1842</v>
      </c>
      <c r="B895" s="6">
        <v>27</v>
      </c>
      <c r="C895" s="6" t="s">
        <v>16</v>
      </c>
      <c r="D895" s="6" t="s">
        <v>55</v>
      </c>
      <c r="E895" s="6" t="s">
        <v>18</v>
      </c>
      <c r="F895" s="6">
        <v>1894</v>
      </c>
      <c r="G895" s="6">
        <v>165066.71</v>
      </c>
      <c r="H895" s="7">
        <v>43940</v>
      </c>
      <c r="I895" s="6" t="s">
        <v>41</v>
      </c>
      <c r="J895" s="6" t="s">
        <v>1843</v>
      </c>
      <c r="K895" s="6" t="s">
        <v>43</v>
      </c>
      <c r="L895" s="6" t="s">
        <v>44</v>
      </c>
      <c r="M895" s="6" t="s">
        <v>45</v>
      </c>
      <c r="N895" s="6">
        <v>3.06</v>
      </c>
      <c r="O895" s="4" t="str">
        <f t="shared" si="13"/>
        <v>Good</v>
      </c>
      <c r="P895" s="6">
        <v>185</v>
      </c>
    </row>
    <row r="896" spans="1:16" x14ac:dyDescent="0.3">
      <c r="A896" s="6" t="s">
        <v>1844</v>
      </c>
      <c r="B896" s="6">
        <v>27</v>
      </c>
      <c r="C896" s="6" t="s">
        <v>25</v>
      </c>
      <c r="D896" s="6" t="s">
        <v>69</v>
      </c>
      <c r="E896" s="6" t="s">
        <v>18</v>
      </c>
      <c r="F896" s="6">
        <v>1895</v>
      </c>
      <c r="G896" s="6">
        <v>128947.09</v>
      </c>
      <c r="H896" s="7">
        <v>40119</v>
      </c>
      <c r="I896" s="6" t="s">
        <v>49</v>
      </c>
      <c r="J896" s="6" t="s">
        <v>1845</v>
      </c>
      <c r="K896" s="6" t="s">
        <v>51</v>
      </c>
      <c r="L896" s="6" t="s">
        <v>52</v>
      </c>
      <c r="M896" s="6" t="s">
        <v>53</v>
      </c>
      <c r="N896" s="6">
        <v>2.78</v>
      </c>
      <c r="O896" s="4" t="str">
        <f t="shared" si="13"/>
        <v>Average</v>
      </c>
      <c r="P896" s="6">
        <v>108</v>
      </c>
    </row>
    <row r="897" spans="1:16" x14ac:dyDescent="0.3">
      <c r="A897" s="6" t="s">
        <v>1846</v>
      </c>
      <c r="B897" s="6">
        <v>60</v>
      </c>
      <c r="C897" s="6" t="s">
        <v>62</v>
      </c>
      <c r="D897" s="6" t="s">
        <v>69</v>
      </c>
      <c r="E897" s="6" t="s">
        <v>48</v>
      </c>
      <c r="F897" s="6">
        <v>1896</v>
      </c>
      <c r="G897" s="6">
        <v>113975.28</v>
      </c>
      <c r="H897" s="7">
        <v>41555</v>
      </c>
      <c r="I897" s="6" t="s">
        <v>56</v>
      </c>
      <c r="J897" s="6" t="s">
        <v>1847</v>
      </c>
      <c r="K897" s="6" t="s">
        <v>21</v>
      </c>
      <c r="L897" s="6" t="s">
        <v>22</v>
      </c>
      <c r="M897" s="6" t="s">
        <v>23</v>
      </c>
      <c r="N897" s="6">
        <v>3.82</v>
      </c>
      <c r="O897" s="4" t="str">
        <f t="shared" si="13"/>
        <v>Good</v>
      </c>
      <c r="P897" s="6">
        <v>6</v>
      </c>
    </row>
    <row r="898" spans="1:16" x14ac:dyDescent="0.3">
      <c r="A898" s="6" t="s">
        <v>1848</v>
      </c>
      <c r="B898" s="6">
        <v>57</v>
      </c>
      <c r="C898" s="6" t="s">
        <v>62</v>
      </c>
      <c r="D898" s="6" t="s">
        <v>55</v>
      </c>
      <c r="E898" s="6" t="s">
        <v>80</v>
      </c>
      <c r="F898" s="6">
        <v>1897</v>
      </c>
      <c r="G898" s="6">
        <v>167239.96</v>
      </c>
      <c r="H898" s="7">
        <v>44700</v>
      </c>
      <c r="I898" s="6" t="s">
        <v>63</v>
      </c>
      <c r="J898" s="6" t="s">
        <v>1849</v>
      </c>
      <c r="K898" s="6" t="s">
        <v>30</v>
      </c>
      <c r="L898" s="6" t="s">
        <v>31</v>
      </c>
      <c r="M898" s="6" t="s">
        <v>32</v>
      </c>
      <c r="N898" s="6">
        <v>2.64</v>
      </c>
      <c r="O898" s="4" t="str">
        <f t="shared" si="13"/>
        <v>Average</v>
      </c>
      <c r="P898" s="6">
        <v>158</v>
      </c>
    </row>
    <row r="899" spans="1:16" x14ac:dyDescent="0.3">
      <c r="A899" s="6" t="s">
        <v>1850</v>
      </c>
      <c r="B899" s="6">
        <v>46</v>
      </c>
      <c r="C899" s="6" t="s">
        <v>62</v>
      </c>
      <c r="D899" s="6" t="s">
        <v>69</v>
      </c>
      <c r="E899" s="6" t="s">
        <v>34</v>
      </c>
      <c r="F899" s="6">
        <v>1898</v>
      </c>
      <c r="G899" s="6">
        <v>110217.22</v>
      </c>
      <c r="H899" s="7">
        <v>38605</v>
      </c>
      <c r="I899" s="6" t="s">
        <v>66</v>
      </c>
      <c r="J899" s="6" t="s">
        <v>1851</v>
      </c>
      <c r="K899" s="6" t="s">
        <v>37</v>
      </c>
      <c r="L899" s="6" t="s">
        <v>38</v>
      </c>
      <c r="M899" s="6" t="s">
        <v>39</v>
      </c>
      <c r="N899" s="6">
        <v>1.52</v>
      </c>
      <c r="O899" s="4" t="str">
        <f t="shared" ref="O899:O962" si="14">IF(N899&gt;=4,"Excellent",IF(N899&gt;=3,"Good",IF(N899&gt;=2,"Average","Poor")))</f>
        <v>Poor</v>
      </c>
      <c r="P899" s="6">
        <v>107</v>
      </c>
    </row>
    <row r="900" spans="1:16" x14ac:dyDescent="0.3">
      <c r="A900" s="6" t="s">
        <v>1852</v>
      </c>
      <c r="B900" s="6">
        <v>37</v>
      </c>
      <c r="C900" s="6" t="s">
        <v>62</v>
      </c>
      <c r="D900" s="6" t="s">
        <v>69</v>
      </c>
      <c r="E900" s="6" t="s">
        <v>80</v>
      </c>
      <c r="F900" s="6">
        <v>1899</v>
      </c>
      <c r="G900" s="6">
        <v>138160.42000000001</v>
      </c>
      <c r="H900" s="7">
        <v>37218</v>
      </c>
      <c r="I900" s="6" t="s">
        <v>70</v>
      </c>
      <c r="J900" s="6" t="s">
        <v>1853</v>
      </c>
      <c r="K900" s="6" t="s">
        <v>43</v>
      </c>
      <c r="L900" s="6" t="s">
        <v>44</v>
      </c>
      <c r="M900" s="6" t="s">
        <v>45</v>
      </c>
      <c r="N900" s="6">
        <v>1.58</v>
      </c>
      <c r="O900" s="4" t="str">
        <f t="shared" si="14"/>
        <v>Poor</v>
      </c>
      <c r="P900" s="6">
        <v>89</v>
      </c>
    </row>
    <row r="901" spans="1:16" x14ac:dyDescent="0.3">
      <c r="A901" s="6" t="s">
        <v>1854</v>
      </c>
      <c r="B901" s="6">
        <v>42</v>
      </c>
      <c r="C901" s="6" t="s">
        <v>25</v>
      </c>
      <c r="D901" s="6" t="s">
        <v>17</v>
      </c>
      <c r="E901" s="6" t="s">
        <v>48</v>
      </c>
      <c r="F901" s="6">
        <v>1900</v>
      </c>
      <c r="G901" s="6">
        <v>67064.23</v>
      </c>
      <c r="H901" s="7">
        <v>43714</v>
      </c>
      <c r="I901" s="6" t="s">
        <v>73</v>
      </c>
      <c r="J901" s="6" t="s">
        <v>1855</v>
      </c>
      <c r="K901" s="6" t="s">
        <v>51</v>
      </c>
      <c r="L901" s="6" t="s">
        <v>52</v>
      </c>
      <c r="M901" s="6" t="s">
        <v>53</v>
      </c>
      <c r="N901" s="6">
        <v>3.7</v>
      </c>
      <c r="O901" s="4" t="str">
        <f t="shared" si="14"/>
        <v>Good</v>
      </c>
      <c r="P901" s="6">
        <v>146</v>
      </c>
    </row>
    <row r="902" spans="1:16" x14ac:dyDescent="0.3">
      <c r="A902" s="6" t="s">
        <v>1856</v>
      </c>
      <c r="B902" s="6">
        <v>31</v>
      </c>
      <c r="C902" s="6" t="s">
        <v>62</v>
      </c>
      <c r="D902" s="6" t="s">
        <v>47</v>
      </c>
      <c r="E902" s="6" t="s">
        <v>27</v>
      </c>
      <c r="F902" s="6">
        <v>1901</v>
      </c>
      <c r="G902" s="6">
        <v>197991.14</v>
      </c>
      <c r="H902" s="7">
        <v>43838</v>
      </c>
      <c r="I902" s="6" t="s">
        <v>19</v>
      </c>
      <c r="J902" s="6" t="s">
        <v>1857</v>
      </c>
      <c r="K902" s="6" t="s">
        <v>21</v>
      </c>
      <c r="L902" s="6" t="s">
        <v>22</v>
      </c>
      <c r="M902" s="6" t="s">
        <v>23</v>
      </c>
      <c r="N902" s="6">
        <v>3.55</v>
      </c>
      <c r="O902" s="4" t="str">
        <f t="shared" si="14"/>
        <v>Good</v>
      </c>
      <c r="P902" s="6">
        <v>36</v>
      </c>
    </row>
    <row r="903" spans="1:16" x14ac:dyDescent="0.3">
      <c r="A903" s="6" t="s">
        <v>1858</v>
      </c>
      <c r="B903" s="6">
        <v>26</v>
      </c>
      <c r="C903" s="6" t="s">
        <v>16</v>
      </c>
      <c r="D903" s="6" t="s">
        <v>69</v>
      </c>
      <c r="E903" s="6" t="s">
        <v>27</v>
      </c>
      <c r="F903" s="6">
        <v>1902</v>
      </c>
      <c r="G903" s="6">
        <v>74654.539999999994</v>
      </c>
      <c r="H903" s="7">
        <v>36572</v>
      </c>
      <c r="I903" s="6" t="s">
        <v>28</v>
      </c>
      <c r="J903" s="6" t="s">
        <v>1859</v>
      </c>
      <c r="K903" s="6" t="s">
        <v>30</v>
      </c>
      <c r="L903" s="6" t="s">
        <v>31</v>
      </c>
      <c r="M903" s="6" t="s">
        <v>32</v>
      </c>
      <c r="N903" s="6">
        <v>3.79</v>
      </c>
      <c r="O903" s="4" t="str">
        <f t="shared" si="14"/>
        <v>Good</v>
      </c>
      <c r="P903" s="6">
        <v>44</v>
      </c>
    </row>
    <row r="904" spans="1:16" x14ac:dyDescent="0.3">
      <c r="A904" s="6" t="s">
        <v>1860</v>
      </c>
      <c r="B904" s="6">
        <v>46</v>
      </c>
      <c r="C904" s="6" t="s">
        <v>25</v>
      </c>
      <c r="D904" s="6" t="s">
        <v>17</v>
      </c>
      <c r="E904" s="6" t="s">
        <v>34</v>
      </c>
      <c r="F904" s="6">
        <v>1903</v>
      </c>
      <c r="G904" s="6">
        <v>75358.789999999994</v>
      </c>
      <c r="H904" s="7">
        <v>36609</v>
      </c>
      <c r="I904" s="6" t="s">
        <v>35</v>
      </c>
      <c r="J904" s="6" t="s">
        <v>1861</v>
      </c>
      <c r="K904" s="6" t="s">
        <v>37</v>
      </c>
      <c r="L904" s="6" t="s">
        <v>38</v>
      </c>
      <c r="M904" s="6" t="s">
        <v>39</v>
      </c>
      <c r="N904" s="6">
        <v>1.79</v>
      </c>
      <c r="O904" s="4" t="str">
        <f t="shared" si="14"/>
        <v>Poor</v>
      </c>
      <c r="P904" s="6">
        <v>180</v>
      </c>
    </row>
    <row r="905" spans="1:16" x14ac:dyDescent="0.3">
      <c r="A905" s="6" t="s">
        <v>1862</v>
      </c>
      <c r="B905" s="6">
        <v>52</v>
      </c>
      <c r="C905" s="6" t="s">
        <v>25</v>
      </c>
      <c r="D905" s="6" t="s">
        <v>69</v>
      </c>
      <c r="E905" s="6" t="s">
        <v>27</v>
      </c>
      <c r="F905" s="6">
        <v>1904</v>
      </c>
      <c r="G905" s="6">
        <v>116063.57</v>
      </c>
      <c r="H905" s="7">
        <v>38462</v>
      </c>
      <c r="I905" s="6" t="s">
        <v>41</v>
      </c>
      <c r="J905" s="6" t="s">
        <v>1863</v>
      </c>
      <c r="K905" s="6" t="s">
        <v>43</v>
      </c>
      <c r="L905" s="6" t="s">
        <v>44</v>
      </c>
      <c r="M905" s="6" t="s">
        <v>45</v>
      </c>
      <c r="N905" s="6">
        <v>2.7</v>
      </c>
      <c r="O905" s="4" t="str">
        <f t="shared" si="14"/>
        <v>Average</v>
      </c>
      <c r="P905" s="6">
        <v>76</v>
      </c>
    </row>
    <row r="906" spans="1:16" x14ac:dyDescent="0.3">
      <c r="A906" s="6" t="s">
        <v>1864</v>
      </c>
      <c r="B906" s="6">
        <v>24</v>
      </c>
      <c r="C906" s="6" t="s">
        <v>25</v>
      </c>
      <c r="D906" s="6" t="s">
        <v>47</v>
      </c>
      <c r="E906" s="6" t="s">
        <v>48</v>
      </c>
      <c r="F906" s="6">
        <v>1905</v>
      </c>
      <c r="G906" s="6">
        <v>88789.759999999995</v>
      </c>
      <c r="H906" s="7">
        <v>37619</v>
      </c>
      <c r="I906" s="6" t="s">
        <v>49</v>
      </c>
      <c r="J906" s="6" t="s">
        <v>1865</v>
      </c>
      <c r="K906" s="6" t="s">
        <v>51</v>
      </c>
      <c r="L906" s="6" t="s">
        <v>52</v>
      </c>
      <c r="M906" s="6" t="s">
        <v>53</v>
      </c>
      <c r="N906" s="6">
        <v>1.78</v>
      </c>
      <c r="O906" s="4" t="str">
        <f t="shared" si="14"/>
        <v>Poor</v>
      </c>
      <c r="P906" s="6">
        <v>192</v>
      </c>
    </row>
    <row r="907" spans="1:16" x14ac:dyDescent="0.3">
      <c r="A907" s="6" t="s">
        <v>1866</v>
      </c>
      <c r="B907" s="6">
        <v>41</v>
      </c>
      <c r="C907" s="6" t="s">
        <v>62</v>
      </c>
      <c r="D907" s="6" t="s">
        <v>17</v>
      </c>
      <c r="E907" s="6" t="s">
        <v>34</v>
      </c>
      <c r="F907" s="6">
        <v>1906</v>
      </c>
      <c r="G907" s="6">
        <v>144437.32</v>
      </c>
      <c r="H907" s="7">
        <v>44480</v>
      </c>
      <c r="I907" s="6" t="s">
        <v>56</v>
      </c>
      <c r="J907" s="6" t="s">
        <v>1867</v>
      </c>
      <c r="K907" s="6" t="s">
        <v>21</v>
      </c>
      <c r="L907" s="6" t="s">
        <v>22</v>
      </c>
      <c r="M907" s="6" t="s">
        <v>23</v>
      </c>
      <c r="N907" s="6">
        <v>2.23</v>
      </c>
      <c r="O907" s="4" t="str">
        <f t="shared" si="14"/>
        <v>Average</v>
      </c>
      <c r="P907" s="6">
        <v>185</v>
      </c>
    </row>
    <row r="908" spans="1:16" x14ac:dyDescent="0.3">
      <c r="A908" s="6" t="s">
        <v>1868</v>
      </c>
      <c r="B908" s="6">
        <v>25</v>
      </c>
      <c r="C908" s="6" t="s">
        <v>25</v>
      </c>
      <c r="D908" s="6" t="s">
        <v>69</v>
      </c>
      <c r="E908" s="6" t="s">
        <v>48</v>
      </c>
      <c r="F908" s="6">
        <v>1907</v>
      </c>
      <c r="G908" s="6">
        <v>51943.85</v>
      </c>
      <c r="H908" s="7">
        <v>37095</v>
      </c>
      <c r="I908" s="6" t="s">
        <v>63</v>
      </c>
      <c r="J908" s="6" t="s">
        <v>1869</v>
      </c>
      <c r="K908" s="6" t="s">
        <v>30</v>
      </c>
      <c r="L908" s="6" t="s">
        <v>31</v>
      </c>
      <c r="M908" s="6" t="s">
        <v>32</v>
      </c>
      <c r="N908" s="6">
        <v>1.93</v>
      </c>
      <c r="O908" s="4" t="str">
        <f t="shared" si="14"/>
        <v>Poor</v>
      </c>
      <c r="P908" s="6">
        <v>148</v>
      </c>
    </row>
    <row r="909" spans="1:16" x14ac:dyDescent="0.3">
      <c r="A909" s="6" t="s">
        <v>1870</v>
      </c>
      <c r="B909" s="6">
        <v>35</v>
      </c>
      <c r="C909" s="6" t="s">
        <v>62</v>
      </c>
      <c r="D909" s="6" t="s">
        <v>17</v>
      </c>
      <c r="E909" s="6" t="s">
        <v>18</v>
      </c>
      <c r="F909" s="6">
        <v>1908</v>
      </c>
      <c r="G909" s="6">
        <v>129375.61</v>
      </c>
      <c r="H909" s="7">
        <v>40184</v>
      </c>
      <c r="I909" s="6" t="s">
        <v>66</v>
      </c>
      <c r="J909" s="6" t="s">
        <v>1871</v>
      </c>
      <c r="K909" s="6" t="s">
        <v>37</v>
      </c>
      <c r="L909" s="6" t="s">
        <v>38</v>
      </c>
      <c r="M909" s="6" t="s">
        <v>39</v>
      </c>
      <c r="N909" s="6">
        <v>1.1200000000000001</v>
      </c>
      <c r="O909" s="4" t="str">
        <f t="shared" si="14"/>
        <v>Poor</v>
      </c>
      <c r="P909" s="6">
        <v>95</v>
      </c>
    </row>
    <row r="910" spans="1:16" x14ac:dyDescent="0.3">
      <c r="A910" s="6" t="s">
        <v>1872</v>
      </c>
      <c r="B910" s="6">
        <v>33</v>
      </c>
      <c r="C910" s="6" t="s">
        <v>62</v>
      </c>
      <c r="D910" s="6" t="s">
        <v>55</v>
      </c>
      <c r="E910" s="6" t="s">
        <v>27</v>
      </c>
      <c r="F910" s="6">
        <v>1909</v>
      </c>
      <c r="G910" s="6">
        <v>172244.81</v>
      </c>
      <c r="H910" s="7">
        <v>40436</v>
      </c>
      <c r="I910" s="6" t="s">
        <v>70</v>
      </c>
      <c r="J910" s="6" t="s">
        <v>1873</v>
      </c>
      <c r="K910" s="6" t="s">
        <v>43</v>
      </c>
      <c r="L910" s="6" t="s">
        <v>44</v>
      </c>
      <c r="M910" s="6" t="s">
        <v>45</v>
      </c>
      <c r="N910" s="6">
        <v>2.93</v>
      </c>
      <c r="O910" s="4" t="str">
        <f t="shared" si="14"/>
        <v>Average</v>
      </c>
      <c r="P910" s="6">
        <v>149</v>
      </c>
    </row>
    <row r="911" spans="1:16" x14ac:dyDescent="0.3">
      <c r="A911" s="6" t="s">
        <v>1874</v>
      </c>
      <c r="B911" s="6">
        <v>35</v>
      </c>
      <c r="C911" s="6" t="s">
        <v>25</v>
      </c>
      <c r="D911" s="6" t="s">
        <v>69</v>
      </c>
      <c r="E911" s="6" t="s">
        <v>18</v>
      </c>
      <c r="F911" s="6">
        <v>1910</v>
      </c>
      <c r="G911" s="6">
        <v>192453.8</v>
      </c>
      <c r="H911" s="7">
        <v>42964</v>
      </c>
      <c r="I911" s="6" t="s">
        <v>73</v>
      </c>
      <c r="J911" s="6" t="s">
        <v>1875</v>
      </c>
      <c r="K911" s="6" t="s">
        <v>51</v>
      </c>
      <c r="L911" s="6" t="s">
        <v>52</v>
      </c>
      <c r="M911" s="6" t="s">
        <v>53</v>
      </c>
      <c r="N911" s="6">
        <v>2.92</v>
      </c>
      <c r="O911" s="4" t="str">
        <f t="shared" si="14"/>
        <v>Average</v>
      </c>
      <c r="P911" s="6">
        <v>168</v>
      </c>
    </row>
    <row r="912" spans="1:16" x14ac:dyDescent="0.3">
      <c r="A912" s="6" t="s">
        <v>1876</v>
      </c>
      <c r="B912" s="6">
        <v>58</v>
      </c>
      <c r="C912" s="6" t="s">
        <v>25</v>
      </c>
      <c r="D912" s="6" t="s">
        <v>26</v>
      </c>
      <c r="E912" s="6" t="s">
        <v>80</v>
      </c>
      <c r="F912" s="6">
        <v>1911</v>
      </c>
      <c r="G912" s="6">
        <v>160984.26999999999</v>
      </c>
      <c r="H912" s="7">
        <v>38185</v>
      </c>
      <c r="I912" s="6" t="s">
        <v>19</v>
      </c>
      <c r="J912" s="6" t="s">
        <v>1877</v>
      </c>
      <c r="K912" s="6" t="s">
        <v>21</v>
      </c>
      <c r="L912" s="6" t="s">
        <v>22</v>
      </c>
      <c r="M912" s="6" t="s">
        <v>23</v>
      </c>
      <c r="N912" s="6">
        <v>2.5499999999999998</v>
      </c>
      <c r="O912" s="4" t="str">
        <f t="shared" si="14"/>
        <v>Average</v>
      </c>
      <c r="P912" s="6">
        <v>145</v>
      </c>
    </row>
    <row r="913" spans="1:16" x14ac:dyDescent="0.3">
      <c r="A913" s="6" t="s">
        <v>1878</v>
      </c>
      <c r="B913" s="6">
        <v>39</v>
      </c>
      <c r="C913" s="6" t="s">
        <v>62</v>
      </c>
      <c r="D913" s="6" t="s">
        <v>47</v>
      </c>
      <c r="E913" s="6" t="s">
        <v>18</v>
      </c>
      <c r="F913" s="6">
        <v>1912</v>
      </c>
      <c r="G913" s="6">
        <v>78085.679999999993</v>
      </c>
      <c r="H913" s="7">
        <v>39698</v>
      </c>
      <c r="I913" s="6" t="s">
        <v>28</v>
      </c>
      <c r="J913" s="6" t="s">
        <v>1879</v>
      </c>
      <c r="K913" s="6" t="s">
        <v>30</v>
      </c>
      <c r="L913" s="6" t="s">
        <v>31</v>
      </c>
      <c r="M913" s="6" t="s">
        <v>32</v>
      </c>
      <c r="N913" s="6">
        <v>1.39</v>
      </c>
      <c r="O913" s="4" t="str">
        <f t="shared" si="14"/>
        <v>Poor</v>
      </c>
      <c r="P913" s="6">
        <v>37</v>
      </c>
    </row>
    <row r="914" spans="1:16" x14ac:dyDescent="0.3">
      <c r="A914" s="6" t="s">
        <v>1880</v>
      </c>
      <c r="B914" s="6">
        <v>48</v>
      </c>
      <c r="C914" s="6" t="s">
        <v>25</v>
      </c>
      <c r="D914" s="6" t="s">
        <v>69</v>
      </c>
      <c r="E914" s="6" t="s">
        <v>27</v>
      </c>
      <c r="F914" s="6">
        <v>1913</v>
      </c>
      <c r="G914" s="6">
        <v>150329.75</v>
      </c>
      <c r="H914" s="7">
        <v>42419</v>
      </c>
      <c r="I914" s="6" t="s">
        <v>35</v>
      </c>
      <c r="J914" s="6" t="s">
        <v>1881</v>
      </c>
      <c r="K914" s="6" t="s">
        <v>37</v>
      </c>
      <c r="L914" s="6" t="s">
        <v>38</v>
      </c>
      <c r="M914" s="6" t="s">
        <v>39</v>
      </c>
      <c r="N914" s="6">
        <v>2.87</v>
      </c>
      <c r="O914" s="4" t="str">
        <f t="shared" si="14"/>
        <v>Average</v>
      </c>
      <c r="P914" s="6">
        <v>86</v>
      </c>
    </row>
    <row r="915" spans="1:16" x14ac:dyDescent="0.3">
      <c r="A915" s="6" t="s">
        <v>1882</v>
      </c>
      <c r="B915" s="6">
        <v>28</v>
      </c>
      <c r="C915" s="6" t="s">
        <v>25</v>
      </c>
      <c r="D915" s="6" t="s">
        <v>69</v>
      </c>
      <c r="E915" s="6" t="s">
        <v>80</v>
      </c>
      <c r="F915" s="6">
        <v>1914</v>
      </c>
      <c r="G915" s="6">
        <v>151829.70000000001</v>
      </c>
      <c r="H915" s="7">
        <v>41374</v>
      </c>
      <c r="I915" s="6" t="s">
        <v>41</v>
      </c>
      <c r="J915" s="6" t="s">
        <v>1883</v>
      </c>
      <c r="K915" s="6" t="s">
        <v>43</v>
      </c>
      <c r="L915" s="6" t="s">
        <v>44</v>
      </c>
      <c r="M915" s="6" t="s">
        <v>45</v>
      </c>
      <c r="N915" s="6">
        <v>3.29</v>
      </c>
      <c r="O915" s="4" t="str">
        <f t="shared" si="14"/>
        <v>Good</v>
      </c>
      <c r="P915" s="6">
        <v>127</v>
      </c>
    </row>
    <row r="916" spans="1:16" x14ac:dyDescent="0.3">
      <c r="A916" s="6" t="s">
        <v>1884</v>
      </c>
      <c r="B916" s="6">
        <v>56</v>
      </c>
      <c r="C916" s="6" t="s">
        <v>62</v>
      </c>
      <c r="D916" s="6" t="s">
        <v>26</v>
      </c>
      <c r="E916" s="6" t="s">
        <v>27</v>
      </c>
      <c r="F916" s="6">
        <v>1915</v>
      </c>
      <c r="G916" s="6">
        <v>123716.51</v>
      </c>
      <c r="H916" s="7">
        <v>43009</v>
      </c>
      <c r="I916" s="6" t="s">
        <v>49</v>
      </c>
      <c r="J916" s="6" t="s">
        <v>1885</v>
      </c>
      <c r="K916" s="6" t="s">
        <v>51</v>
      </c>
      <c r="L916" s="6" t="s">
        <v>52</v>
      </c>
      <c r="M916" s="6" t="s">
        <v>53</v>
      </c>
      <c r="N916" s="6">
        <v>2.12</v>
      </c>
      <c r="O916" s="4" t="str">
        <f t="shared" si="14"/>
        <v>Average</v>
      </c>
      <c r="P916" s="6">
        <v>171</v>
      </c>
    </row>
    <row r="917" spans="1:16" x14ac:dyDescent="0.3">
      <c r="A917" s="6" t="s">
        <v>1886</v>
      </c>
      <c r="B917" s="6">
        <v>43</v>
      </c>
      <c r="C917" s="6" t="s">
        <v>62</v>
      </c>
      <c r="D917" s="6" t="s">
        <v>17</v>
      </c>
      <c r="E917" s="6" t="s">
        <v>27</v>
      </c>
      <c r="F917" s="6">
        <v>1916</v>
      </c>
      <c r="G917" s="6">
        <v>164482.20000000001</v>
      </c>
      <c r="H917" s="7">
        <v>38056</v>
      </c>
      <c r="I917" s="6" t="s">
        <v>56</v>
      </c>
      <c r="J917" s="6" t="s">
        <v>1887</v>
      </c>
      <c r="K917" s="6" t="s">
        <v>21</v>
      </c>
      <c r="L917" s="6" t="s">
        <v>22</v>
      </c>
      <c r="M917" s="6" t="s">
        <v>23</v>
      </c>
      <c r="N917" s="6">
        <v>4.8499999999999996</v>
      </c>
      <c r="O917" s="4" t="str">
        <f t="shared" si="14"/>
        <v>Excellent</v>
      </c>
      <c r="P917" s="6">
        <v>65</v>
      </c>
    </row>
    <row r="918" spans="1:16" x14ac:dyDescent="0.3">
      <c r="A918" s="6" t="s">
        <v>1888</v>
      </c>
      <c r="B918" s="6">
        <v>42</v>
      </c>
      <c r="C918" s="6" t="s">
        <v>25</v>
      </c>
      <c r="D918" s="6" t="s">
        <v>47</v>
      </c>
      <c r="E918" s="6" t="s">
        <v>27</v>
      </c>
      <c r="F918" s="6">
        <v>1917</v>
      </c>
      <c r="G918" s="6">
        <v>166000.63</v>
      </c>
      <c r="H918" s="7">
        <v>42132</v>
      </c>
      <c r="I918" s="6" t="s">
        <v>63</v>
      </c>
      <c r="J918" s="6" t="s">
        <v>1889</v>
      </c>
      <c r="K918" s="6" t="s">
        <v>30</v>
      </c>
      <c r="L918" s="6" t="s">
        <v>31</v>
      </c>
      <c r="M918" s="6" t="s">
        <v>32</v>
      </c>
      <c r="N918" s="6">
        <v>2.37</v>
      </c>
      <c r="O918" s="4" t="str">
        <f t="shared" si="14"/>
        <v>Average</v>
      </c>
      <c r="P918" s="6">
        <v>83</v>
      </c>
    </row>
    <row r="919" spans="1:16" x14ac:dyDescent="0.3">
      <c r="A919" s="6" t="s">
        <v>1890</v>
      </c>
      <c r="B919" s="6">
        <v>64</v>
      </c>
      <c r="C919" s="6" t="s">
        <v>62</v>
      </c>
      <c r="D919" s="6" t="s">
        <v>26</v>
      </c>
      <c r="E919" s="6" t="s">
        <v>48</v>
      </c>
      <c r="F919" s="6">
        <v>1918</v>
      </c>
      <c r="G919" s="6">
        <v>155768.04999999999</v>
      </c>
      <c r="H919" s="7">
        <v>43917</v>
      </c>
      <c r="I919" s="6" t="s">
        <v>66</v>
      </c>
      <c r="J919" s="6" t="s">
        <v>1891</v>
      </c>
      <c r="K919" s="6" t="s">
        <v>37</v>
      </c>
      <c r="L919" s="6" t="s">
        <v>38</v>
      </c>
      <c r="M919" s="6" t="s">
        <v>39</v>
      </c>
      <c r="N919" s="6">
        <v>1.47</v>
      </c>
      <c r="O919" s="4" t="str">
        <f t="shared" si="14"/>
        <v>Poor</v>
      </c>
      <c r="P919" s="6">
        <v>20</v>
      </c>
    </row>
    <row r="920" spans="1:16" x14ac:dyDescent="0.3">
      <c r="A920" s="6" t="s">
        <v>1892</v>
      </c>
      <c r="B920" s="6">
        <v>39</v>
      </c>
      <c r="C920" s="6" t="s">
        <v>62</v>
      </c>
      <c r="D920" s="6" t="s">
        <v>47</v>
      </c>
      <c r="E920" s="6" t="s">
        <v>27</v>
      </c>
      <c r="F920" s="6">
        <v>1919</v>
      </c>
      <c r="G920" s="6">
        <v>88581.45</v>
      </c>
      <c r="H920" s="7">
        <v>39675</v>
      </c>
      <c r="I920" s="6" t="s">
        <v>70</v>
      </c>
      <c r="J920" s="6" t="s">
        <v>1893</v>
      </c>
      <c r="K920" s="6" t="s">
        <v>43</v>
      </c>
      <c r="L920" s="6" t="s">
        <v>44</v>
      </c>
      <c r="M920" s="6" t="s">
        <v>45</v>
      </c>
      <c r="N920" s="6">
        <v>1.84</v>
      </c>
      <c r="O920" s="4" t="str">
        <f t="shared" si="14"/>
        <v>Poor</v>
      </c>
      <c r="P920" s="6">
        <v>187</v>
      </c>
    </row>
    <row r="921" spans="1:16" x14ac:dyDescent="0.3">
      <c r="A921" s="6" t="s">
        <v>1894</v>
      </c>
      <c r="B921" s="6">
        <v>59</v>
      </c>
      <c r="C921" s="6" t="s">
        <v>16</v>
      </c>
      <c r="D921" s="6" t="s">
        <v>69</v>
      </c>
      <c r="E921" s="6" t="s">
        <v>80</v>
      </c>
      <c r="F921" s="6">
        <v>1920</v>
      </c>
      <c r="G921" s="6">
        <v>188972.29</v>
      </c>
      <c r="H921" s="7">
        <v>37307</v>
      </c>
      <c r="I921" s="6" t="s">
        <v>73</v>
      </c>
      <c r="J921" s="6" t="s">
        <v>1895</v>
      </c>
      <c r="K921" s="6" t="s">
        <v>51</v>
      </c>
      <c r="L921" s="6" t="s">
        <v>52</v>
      </c>
      <c r="M921" s="6" t="s">
        <v>53</v>
      </c>
      <c r="N921" s="6">
        <v>4.63</v>
      </c>
      <c r="O921" s="4" t="str">
        <f t="shared" si="14"/>
        <v>Excellent</v>
      </c>
      <c r="P921" s="6">
        <v>13</v>
      </c>
    </row>
    <row r="922" spans="1:16" x14ac:dyDescent="0.3">
      <c r="A922" s="6" t="s">
        <v>1896</v>
      </c>
      <c r="B922" s="6">
        <v>47</v>
      </c>
      <c r="C922" s="6" t="s">
        <v>25</v>
      </c>
      <c r="D922" s="6" t="s">
        <v>47</v>
      </c>
      <c r="E922" s="6" t="s">
        <v>80</v>
      </c>
      <c r="F922" s="6">
        <v>1921</v>
      </c>
      <c r="G922" s="6">
        <v>56917.11</v>
      </c>
      <c r="H922" s="7">
        <v>40174</v>
      </c>
      <c r="I922" s="6" t="s">
        <v>19</v>
      </c>
      <c r="J922" s="6" t="s">
        <v>1897</v>
      </c>
      <c r="K922" s="6" t="s">
        <v>21</v>
      </c>
      <c r="L922" s="6" t="s">
        <v>22</v>
      </c>
      <c r="M922" s="6" t="s">
        <v>23</v>
      </c>
      <c r="N922" s="6">
        <v>3.04</v>
      </c>
      <c r="O922" s="4" t="str">
        <f t="shared" si="14"/>
        <v>Good</v>
      </c>
      <c r="P922" s="6">
        <v>94</v>
      </c>
    </row>
    <row r="923" spans="1:16" x14ac:dyDescent="0.3">
      <c r="A923" s="6" t="s">
        <v>1898</v>
      </c>
      <c r="B923" s="6">
        <v>43</v>
      </c>
      <c r="C923" s="6" t="s">
        <v>25</v>
      </c>
      <c r="D923" s="6" t="s">
        <v>17</v>
      </c>
      <c r="E923" s="6" t="s">
        <v>34</v>
      </c>
      <c r="F923" s="6">
        <v>1922</v>
      </c>
      <c r="G923" s="6">
        <v>195655.31</v>
      </c>
      <c r="H923" s="7">
        <v>42490</v>
      </c>
      <c r="I923" s="6" t="s">
        <v>28</v>
      </c>
      <c r="J923" s="6" t="s">
        <v>1899</v>
      </c>
      <c r="K923" s="6" t="s">
        <v>30</v>
      </c>
      <c r="L923" s="6" t="s">
        <v>31</v>
      </c>
      <c r="M923" s="6" t="s">
        <v>32</v>
      </c>
      <c r="N923" s="6">
        <v>4.99</v>
      </c>
      <c r="O923" s="4" t="str">
        <f t="shared" si="14"/>
        <v>Excellent</v>
      </c>
      <c r="P923" s="6">
        <v>129</v>
      </c>
    </row>
    <row r="924" spans="1:16" x14ac:dyDescent="0.3">
      <c r="A924" s="6" t="s">
        <v>1900</v>
      </c>
      <c r="B924" s="6">
        <v>58</v>
      </c>
      <c r="C924" s="6" t="s">
        <v>25</v>
      </c>
      <c r="D924" s="6" t="s">
        <v>55</v>
      </c>
      <c r="E924" s="6" t="s">
        <v>27</v>
      </c>
      <c r="F924" s="6">
        <v>1923</v>
      </c>
      <c r="G924" s="6">
        <v>129769.32</v>
      </c>
      <c r="H924" s="7">
        <v>37751</v>
      </c>
      <c r="I924" s="6" t="s">
        <v>35</v>
      </c>
      <c r="J924" s="6" t="s">
        <v>1901</v>
      </c>
      <c r="K924" s="6" t="s">
        <v>37</v>
      </c>
      <c r="L924" s="6" t="s">
        <v>38</v>
      </c>
      <c r="M924" s="6" t="s">
        <v>39</v>
      </c>
      <c r="N924" s="6">
        <v>4.92</v>
      </c>
      <c r="O924" s="4" t="str">
        <f t="shared" si="14"/>
        <v>Excellent</v>
      </c>
      <c r="P924" s="6">
        <v>199</v>
      </c>
    </row>
    <row r="925" spans="1:16" x14ac:dyDescent="0.3">
      <c r="A925" s="6" t="s">
        <v>1902</v>
      </c>
      <c r="B925" s="6">
        <v>26</v>
      </c>
      <c r="C925" s="6" t="s">
        <v>25</v>
      </c>
      <c r="D925" s="6" t="s">
        <v>47</v>
      </c>
      <c r="E925" s="6" t="s">
        <v>48</v>
      </c>
      <c r="F925" s="6">
        <v>1924</v>
      </c>
      <c r="G925" s="6">
        <v>147907.04</v>
      </c>
      <c r="H925" s="7">
        <v>43785</v>
      </c>
      <c r="I925" s="6" t="s">
        <v>41</v>
      </c>
      <c r="J925" s="6" t="s">
        <v>1903</v>
      </c>
      <c r="K925" s="6" t="s">
        <v>43</v>
      </c>
      <c r="L925" s="6" t="s">
        <v>44</v>
      </c>
      <c r="M925" s="6" t="s">
        <v>45</v>
      </c>
      <c r="N925" s="6">
        <v>3.01</v>
      </c>
      <c r="O925" s="4" t="str">
        <f t="shared" si="14"/>
        <v>Good</v>
      </c>
      <c r="P925" s="6">
        <v>107</v>
      </c>
    </row>
    <row r="926" spans="1:16" x14ac:dyDescent="0.3">
      <c r="A926" s="6" t="s">
        <v>1904</v>
      </c>
      <c r="B926" s="6">
        <v>56</v>
      </c>
      <c r="C926" s="6" t="s">
        <v>25</v>
      </c>
      <c r="D926" s="6" t="s">
        <v>55</v>
      </c>
      <c r="E926" s="6" t="s">
        <v>27</v>
      </c>
      <c r="F926" s="6">
        <v>1925</v>
      </c>
      <c r="G926" s="6">
        <v>174755.69</v>
      </c>
      <c r="H926" s="7">
        <v>44192</v>
      </c>
      <c r="I926" s="6" t="s">
        <v>49</v>
      </c>
      <c r="J926" s="6" t="s">
        <v>1905</v>
      </c>
      <c r="K926" s="6" t="s">
        <v>51</v>
      </c>
      <c r="L926" s="6" t="s">
        <v>52</v>
      </c>
      <c r="M926" s="6" t="s">
        <v>53</v>
      </c>
      <c r="N926" s="6">
        <v>3.54</v>
      </c>
      <c r="O926" s="4" t="str">
        <f t="shared" si="14"/>
        <v>Good</v>
      </c>
      <c r="P926" s="6">
        <v>20</v>
      </c>
    </row>
    <row r="927" spans="1:16" x14ac:dyDescent="0.3">
      <c r="A927" s="6" t="s">
        <v>1906</v>
      </c>
      <c r="B927" s="6">
        <v>33</v>
      </c>
      <c r="C927" s="6" t="s">
        <v>62</v>
      </c>
      <c r="D927" s="6" t="s">
        <v>17</v>
      </c>
      <c r="E927" s="6" t="s">
        <v>80</v>
      </c>
      <c r="F927" s="6">
        <v>1926</v>
      </c>
      <c r="G927" s="6">
        <v>74382.259999999995</v>
      </c>
      <c r="H927" s="7">
        <v>43093</v>
      </c>
      <c r="I927" s="6" t="s">
        <v>56</v>
      </c>
      <c r="J927" s="6" t="s">
        <v>1907</v>
      </c>
      <c r="K927" s="6" t="s">
        <v>21</v>
      </c>
      <c r="L927" s="6" t="s">
        <v>22</v>
      </c>
      <c r="M927" s="6" t="s">
        <v>23</v>
      </c>
      <c r="N927" s="6">
        <v>2.4300000000000002</v>
      </c>
      <c r="O927" s="4" t="str">
        <f t="shared" si="14"/>
        <v>Average</v>
      </c>
      <c r="P927" s="6">
        <v>138</v>
      </c>
    </row>
    <row r="928" spans="1:16" x14ac:dyDescent="0.3">
      <c r="A928" s="6" t="s">
        <v>1908</v>
      </c>
      <c r="B928" s="6">
        <v>56</v>
      </c>
      <c r="C928" s="6" t="s">
        <v>25</v>
      </c>
      <c r="D928" s="6" t="s">
        <v>26</v>
      </c>
      <c r="E928" s="6" t="s">
        <v>18</v>
      </c>
      <c r="F928" s="6">
        <v>1927</v>
      </c>
      <c r="G928" s="6">
        <v>184481.52</v>
      </c>
      <c r="H928" s="7">
        <v>42472</v>
      </c>
      <c r="I928" s="6" t="s">
        <v>63</v>
      </c>
      <c r="J928" s="6" t="s">
        <v>1909</v>
      </c>
      <c r="K928" s="6" t="s">
        <v>30</v>
      </c>
      <c r="L928" s="6" t="s">
        <v>31</v>
      </c>
      <c r="M928" s="6" t="s">
        <v>32</v>
      </c>
      <c r="N928" s="6">
        <v>4.13</v>
      </c>
      <c r="O928" s="4" t="str">
        <f t="shared" si="14"/>
        <v>Excellent</v>
      </c>
      <c r="P928" s="6">
        <v>145</v>
      </c>
    </row>
    <row r="929" spans="1:16" x14ac:dyDescent="0.3">
      <c r="A929" s="6" t="s">
        <v>1910</v>
      </c>
      <c r="B929" s="6">
        <v>55</v>
      </c>
      <c r="C929" s="6" t="s">
        <v>25</v>
      </c>
      <c r="D929" s="6" t="s">
        <v>47</v>
      </c>
      <c r="E929" s="6" t="s">
        <v>27</v>
      </c>
      <c r="F929" s="6">
        <v>1928</v>
      </c>
      <c r="G929" s="6">
        <v>51421.52</v>
      </c>
      <c r="H929" s="7">
        <v>40613</v>
      </c>
      <c r="I929" s="6" t="s">
        <v>66</v>
      </c>
      <c r="J929" s="6" t="s">
        <v>1911</v>
      </c>
      <c r="K929" s="6" t="s">
        <v>37</v>
      </c>
      <c r="L929" s="6" t="s">
        <v>38</v>
      </c>
      <c r="M929" s="6" t="s">
        <v>39</v>
      </c>
      <c r="N929" s="6">
        <v>3.02</v>
      </c>
      <c r="O929" s="4" t="str">
        <f t="shared" si="14"/>
        <v>Good</v>
      </c>
      <c r="P929" s="6">
        <v>143</v>
      </c>
    </row>
    <row r="930" spans="1:16" x14ac:dyDescent="0.3">
      <c r="A930" s="6" t="s">
        <v>1912</v>
      </c>
      <c r="B930" s="6">
        <v>41</v>
      </c>
      <c r="C930" s="6" t="s">
        <v>16</v>
      </c>
      <c r="D930" s="6" t="s">
        <v>47</v>
      </c>
      <c r="E930" s="6" t="s">
        <v>48</v>
      </c>
      <c r="F930" s="6">
        <v>1929</v>
      </c>
      <c r="G930" s="6">
        <v>189466.05</v>
      </c>
      <c r="H930" s="7">
        <v>41661</v>
      </c>
      <c r="I930" s="6" t="s">
        <v>70</v>
      </c>
      <c r="J930" s="6" t="s">
        <v>1913</v>
      </c>
      <c r="K930" s="6" t="s">
        <v>43</v>
      </c>
      <c r="L930" s="6" t="s">
        <v>44</v>
      </c>
      <c r="M930" s="6" t="s">
        <v>45</v>
      </c>
      <c r="N930" s="6">
        <v>3.26</v>
      </c>
      <c r="O930" s="4" t="str">
        <f t="shared" si="14"/>
        <v>Good</v>
      </c>
      <c r="P930" s="6">
        <v>62</v>
      </c>
    </row>
    <row r="931" spans="1:16" x14ac:dyDescent="0.3">
      <c r="A931" s="6" t="s">
        <v>1914</v>
      </c>
      <c r="B931" s="6">
        <v>33</v>
      </c>
      <c r="C931" s="6" t="s">
        <v>62</v>
      </c>
      <c r="D931" s="6" t="s">
        <v>47</v>
      </c>
      <c r="E931" s="6" t="s">
        <v>80</v>
      </c>
      <c r="F931" s="6">
        <v>1930</v>
      </c>
      <c r="G931" s="6">
        <v>111711.1</v>
      </c>
      <c r="H931" s="7">
        <v>44805</v>
      </c>
      <c r="I931" s="6" t="s">
        <v>73</v>
      </c>
      <c r="J931" s="6" t="s">
        <v>1915</v>
      </c>
      <c r="K931" s="6" t="s">
        <v>51</v>
      </c>
      <c r="L931" s="6" t="s">
        <v>52</v>
      </c>
      <c r="M931" s="6" t="s">
        <v>53</v>
      </c>
      <c r="N931" s="6">
        <v>3.63</v>
      </c>
      <c r="O931" s="4" t="str">
        <f t="shared" si="14"/>
        <v>Good</v>
      </c>
      <c r="P931" s="6">
        <v>115</v>
      </c>
    </row>
    <row r="932" spans="1:16" x14ac:dyDescent="0.3">
      <c r="A932" s="6" t="s">
        <v>1916</v>
      </c>
      <c r="B932" s="6">
        <v>55</v>
      </c>
      <c r="C932" s="6" t="s">
        <v>25</v>
      </c>
      <c r="D932" s="6" t="s">
        <v>47</v>
      </c>
      <c r="E932" s="6" t="s">
        <v>27</v>
      </c>
      <c r="F932" s="6">
        <v>1931</v>
      </c>
      <c r="G932" s="6">
        <v>199315.04</v>
      </c>
      <c r="H932" s="7">
        <v>38413</v>
      </c>
      <c r="I932" s="6" t="s">
        <v>19</v>
      </c>
      <c r="J932" s="6" t="s">
        <v>1917</v>
      </c>
      <c r="K932" s="6" t="s">
        <v>21</v>
      </c>
      <c r="L932" s="6" t="s">
        <v>22</v>
      </c>
      <c r="M932" s="6" t="s">
        <v>23</v>
      </c>
      <c r="N932" s="6">
        <v>3.37</v>
      </c>
      <c r="O932" s="4" t="str">
        <f t="shared" si="14"/>
        <v>Good</v>
      </c>
      <c r="P932" s="6">
        <v>194</v>
      </c>
    </row>
    <row r="933" spans="1:16" x14ac:dyDescent="0.3">
      <c r="A933" s="6" t="s">
        <v>1918</v>
      </c>
      <c r="B933" s="6">
        <v>47</v>
      </c>
      <c r="C933" s="6" t="s">
        <v>25</v>
      </c>
      <c r="D933" s="6" t="s">
        <v>55</v>
      </c>
      <c r="E933" s="6" t="s">
        <v>34</v>
      </c>
      <c r="F933" s="6">
        <v>1932</v>
      </c>
      <c r="G933" s="6">
        <v>84616.37</v>
      </c>
      <c r="H933" s="7">
        <v>40281</v>
      </c>
      <c r="I933" s="6" t="s">
        <v>28</v>
      </c>
      <c r="J933" s="6" t="s">
        <v>1919</v>
      </c>
      <c r="K933" s="6" t="s">
        <v>30</v>
      </c>
      <c r="L933" s="6" t="s">
        <v>31</v>
      </c>
      <c r="M933" s="6" t="s">
        <v>32</v>
      </c>
      <c r="N933" s="6">
        <v>2.2999999999999998</v>
      </c>
      <c r="O933" s="4" t="str">
        <f t="shared" si="14"/>
        <v>Average</v>
      </c>
      <c r="P933" s="6">
        <v>30</v>
      </c>
    </row>
    <row r="934" spans="1:16" x14ac:dyDescent="0.3">
      <c r="A934" s="6" t="s">
        <v>1920</v>
      </c>
      <c r="B934" s="6">
        <v>55</v>
      </c>
      <c r="C934" s="6" t="s">
        <v>25</v>
      </c>
      <c r="D934" s="6" t="s">
        <v>17</v>
      </c>
      <c r="E934" s="6" t="s">
        <v>18</v>
      </c>
      <c r="F934" s="6">
        <v>1933</v>
      </c>
      <c r="G934" s="6">
        <v>149897.43</v>
      </c>
      <c r="H934" s="7">
        <v>39040</v>
      </c>
      <c r="I934" s="6" t="s">
        <v>35</v>
      </c>
      <c r="J934" s="6" t="s">
        <v>1921</v>
      </c>
      <c r="K934" s="6" t="s">
        <v>37</v>
      </c>
      <c r="L934" s="6" t="s">
        <v>38</v>
      </c>
      <c r="M934" s="6" t="s">
        <v>39</v>
      </c>
      <c r="N934" s="6">
        <v>1.99</v>
      </c>
      <c r="O934" s="4" t="str">
        <f t="shared" si="14"/>
        <v>Poor</v>
      </c>
      <c r="P934" s="6">
        <v>50</v>
      </c>
    </row>
    <row r="935" spans="1:16" x14ac:dyDescent="0.3">
      <c r="A935" s="6" t="s">
        <v>1922</v>
      </c>
      <c r="B935" s="6">
        <v>53</v>
      </c>
      <c r="C935" s="6" t="s">
        <v>25</v>
      </c>
      <c r="D935" s="6" t="s">
        <v>55</v>
      </c>
      <c r="E935" s="6" t="s">
        <v>80</v>
      </c>
      <c r="F935" s="6">
        <v>1934</v>
      </c>
      <c r="G935" s="6">
        <v>177377.03</v>
      </c>
      <c r="H935" s="7">
        <v>37092</v>
      </c>
      <c r="I935" s="6" t="s">
        <v>41</v>
      </c>
      <c r="J935" s="6" t="s">
        <v>1923</v>
      </c>
      <c r="K935" s="6" t="s">
        <v>43</v>
      </c>
      <c r="L935" s="6" t="s">
        <v>44</v>
      </c>
      <c r="M935" s="6" t="s">
        <v>45</v>
      </c>
      <c r="N935" s="6">
        <v>1.7</v>
      </c>
      <c r="O935" s="4" t="str">
        <f t="shared" si="14"/>
        <v>Poor</v>
      </c>
      <c r="P935" s="6">
        <v>148</v>
      </c>
    </row>
    <row r="936" spans="1:16" x14ac:dyDescent="0.3">
      <c r="A936" s="6" t="s">
        <v>1924</v>
      </c>
      <c r="B936" s="6">
        <v>28</v>
      </c>
      <c r="C936" s="6" t="s">
        <v>62</v>
      </c>
      <c r="D936" s="6" t="s">
        <v>69</v>
      </c>
      <c r="E936" s="6" t="s">
        <v>34</v>
      </c>
      <c r="F936" s="6">
        <v>1935</v>
      </c>
      <c r="G936" s="6">
        <v>53354.68</v>
      </c>
      <c r="H936" s="7">
        <v>40365</v>
      </c>
      <c r="I936" s="6" t="s">
        <v>49</v>
      </c>
      <c r="J936" s="6" t="s">
        <v>1925</v>
      </c>
      <c r="K936" s="6" t="s">
        <v>51</v>
      </c>
      <c r="L936" s="6" t="s">
        <v>52</v>
      </c>
      <c r="M936" s="6" t="s">
        <v>53</v>
      </c>
      <c r="N936" s="6">
        <v>4.0999999999999996</v>
      </c>
      <c r="O936" s="4" t="str">
        <f t="shared" si="14"/>
        <v>Excellent</v>
      </c>
      <c r="P936" s="6">
        <v>22</v>
      </c>
    </row>
    <row r="937" spans="1:16" x14ac:dyDescent="0.3">
      <c r="A937" s="6" t="s">
        <v>1926</v>
      </c>
      <c r="B937" s="6">
        <v>47</v>
      </c>
      <c r="C937" s="6" t="s">
        <v>16</v>
      </c>
      <c r="D937" s="6" t="s">
        <v>69</v>
      </c>
      <c r="E937" s="6" t="s">
        <v>80</v>
      </c>
      <c r="F937" s="6">
        <v>1936</v>
      </c>
      <c r="G937" s="6">
        <v>53603.86</v>
      </c>
      <c r="H937" s="7">
        <v>39956</v>
      </c>
      <c r="I937" s="6" t="s">
        <v>56</v>
      </c>
      <c r="J937" s="6" t="s">
        <v>1927</v>
      </c>
      <c r="K937" s="6" t="s">
        <v>21</v>
      </c>
      <c r="L937" s="6" t="s">
        <v>22</v>
      </c>
      <c r="M937" s="6" t="s">
        <v>23</v>
      </c>
      <c r="N937" s="6">
        <v>1.68</v>
      </c>
      <c r="O937" s="4" t="str">
        <f t="shared" si="14"/>
        <v>Poor</v>
      </c>
      <c r="P937" s="6">
        <v>59</v>
      </c>
    </row>
    <row r="938" spans="1:16" x14ac:dyDescent="0.3">
      <c r="A938" s="6" t="s">
        <v>1928</v>
      </c>
      <c r="B938" s="6">
        <v>46</v>
      </c>
      <c r="C938" s="6" t="s">
        <v>16</v>
      </c>
      <c r="D938" s="6" t="s">
        <v>26</v>
      </c>
      <c r="E938" s="6" t="s">
        <v>18</v>
      </c>
      <c r="F938" s="6">
        <v>1937</v>
      </c>
      <c r="G938" s="6">
        <v>54969.1</v>
      </c>
      <c r="H938" s="7">
        <v>37392</v>
      </c>
      <c r="I938" s="6" t="s">
        <v>63</v>
      </c>
      <c r="J938" s="6" t="s">
        <v>1929</v>
      </c>
      <c r="K938" s="6" t="s">
        <v>30</v>
      </c>
      <c r="L938" s="6" t="s">
        <v>31</v>
      </c>
      <c r="M938" s="6" t="s">
        <v>32</v>
      </c>
      <c r="N938" s="6">
        <v>2.92</v>
      </c>
      <c r="O938" s="4" t="str">
        <f t="shared" si="14"/>
        <v>Average</v>
      </c>
      <c r="P938" s="6">
        <v>153</v>
      </c>
    </row>
    <row r="939" spans="1:16" x14ac:dyDescent="0.3">
      <c r="A939" s="6" t="s">
        <v>1930</v>
      </c>
      <c r="B939" s="6">
        <v>60</v>
      </c>
      <c r="C939" s="6" t="s">
        <v>25</v>
      </c>
      <c r="D939" s="6" t="s">
        <v>26</v>
      </c>
      <c r="E939" s="6" t="s">
        <v>34</v>
      </c>
      <c r="F939" s="6">
        <v>1938</v>
      </c>
      <c r="G939" s="6">
        <v>50894.73</v>
      </c>
      <c r="H939" s="7">
        <v>38890</v>
      </c>
      <c r="I939" s="6" t="s">
        <v>66</v>
      </c>
      <c r="J939" s="6" t="s">
        <v>1931</v>
      </c>
      <c r="K939" s="6" t="s">
        <v>37</v>
      </c>
      <c r="L939" s="6" t="s">
        <v>38</v>
      </c>
      <c r="M939" s="6" t="s">
        <v>39</v>
      </c>
      <c r="N939" s="6">
        <v>2.3199999999999998</v>
      </c>
      <c r="O939" s="4" t="str">
        <f t="shared" si="14"/>
        <v>Average</v>
      </c>
      <c r="P939" s="6">
        <v>109</v>
      </c>
    </row>
    <row r="940" spans="1:16" x14ac:dyDescent="0.3">
      <c r="A940" s="6" t="s">
        <v>1932</v>
      </c>
      <c r="B940" s="6">
        <v>38</v>
      </c>
      <c r="C940" s="6" t="s">
        <v>16</v>
      </c>
      <c r="D940" s="6" t="s">
        <v>47</v>
      </c>
      <c r="E940" s="6" t="s">
        <v>34</v>
      </c>
      <c r="F940" s="6">
        <v>1939</v>
      </c>
      <c r="G940" s="6">
        <v>82031.460000000006</v>
      </c>
      <c r="H940" s="7">
        <v>38959</v>
      </c>
      <c r="I940" s="6" t="s">
        <v>70</v>
      </c>
      <c r="J940" s="6" t="s">
        <v>1933</v>
      </c>
      <c r="K940" s="6" t="s">
        <v>43</v>
      </c>
      <c r="L940" s="6" t="s">
        <v>44</v>
      </c>
      <c r="M940" s="6" t="s">
        <v>45</v>
      </c>
      <c r="N940" s="6">
        <v>2.21</v>
      </c>
      <c r="O940" s="4" t="str">
        <f t="shared" si="14"/>
        <v>Average</v>
      </c>
      <c r="P940" s="6">
        <v>85</v>
      </c>
    </row>
    <row r="941" spans="1:16" x14ac:dyDescent="0.3">
      <c r="A941" s="6" t="s">
        <v>1934</v>
      </c>
      <c r="B941" s="6">
        <v>45</v>
      </c>
      <c r="C941" s="6" t="s">
        <v>16</v>
      </c>
      <c r="D941" s="6" t="s">
        <v>69</v>
      </c>
      <c r="E941" s="6" t="s">
        <v>18</v>
      </c>
      <c r="F941" s="6">
        <v>1940</v>
      </c>
      <c r="G941" s="6">
        <v>170644.28</v>
      </c>
      <c r="H941" s="7">
        <v>40870</v>
      </c>
      <c r="I941" s="6" t="s">
        <v>73</v>
      </c>
      <c r="J941" s="6" t="s">
        <v>1935</v>
      </c>
      <c r="K941" s="6" t="s">
        <v>51</v>
      </c>
      <c r="L941" s="6" t="s">
        <v>52</v>
      </c>
      <c r="M941" s="6" t="s">
        <v>53</v>
      </c>
      <c r="N941" s="6">
        <v>1.95</v>
      </c>
      <c r="O941" s="4" t="str">
        <f t="shared" si="14"/>
        <v>Poor</v>
      </c>
      <c r="P941" s="6">
        <v>116</v>
      </c>
    </row>
    <row r="942" spans="1:16" x14ac:dyDescent="0.3">
      <c r="A942" s="6" t="s">
        <v>1936</v>
      </c>
      <c r="B942" s="6">
        <v>48</v>
      </c>
      <c r="C942" s="6" t="s">
        <v>16</v>
      </c>
      <c r="D942" s="6" t="s">
        <v>55</v>
      </c>
      <c r="E942" s="6" t="s">
        <v>18</v>
      </c>
      <c r="F942" s="6">
        <v>1941</v>
      </c>
      <c r="G942" s="6">
        <v>83062.09</v>
      </c>
      <c r="H942" s="7">
        <v>44753</v>
      </c>
      <c r="I942" s="6" t="s">
        <v>19</v>
      </c>
      <c r="J942" s="6" t="s">
        <v>1937</v>
      </c>
      <c r="K942" s="6" t="s">
        <v>21</v>
      </c>
      <c r="L942" s="6" t="s">
        <v>22</v>
      </c>
      <c r="M942" s="6" t="s">
        <v>23</v>
      </c>
      <c r="N942" s="6">
        <v>1.08</v>
      </c>
      <c r="O942" s="4" t="str">
        <f t="shared" si="14"/>
        <v>Poor</v>
      </c>
      <c r="P942" s="6">
        <v>39</v>
      </c>
    </row>
    <row r="943" spans="1:16" x14ac:dyDescent="0.3">
      <c r="A943" s="6" t="s">
        <v>1938</v>
      </c>
      <c r="B943" s="6">
        <v>25</v>
      </c>
      <c r="C943" s="6" t="s">
        <v>16</v>
      </c>
      <c r="D943" s="6" t="s">
        <v>17</v>
      </c>
      <c r="E943" s="6" t="s">
        <v>18</v>
      </c>
      <c r="F943" s="6">
        <v>1942</v>
      </c>
      <c r="G943" s="6">
        <v>103291.95</v>
      </c>
      <c r="H943" s="7">
        <v>43502</v>
      </c>
      <c r="I943" s="6" t="s">
        <v>28</v>
      </c>
      <c r="J943" s="6" t="s">
        <v>1939</v>
      </c>
      <c r="K943" s="6" t="s">
        <v>30</v>
      </c>
      <c r="L943" s="6" t="s">
        <v>31</v>
      </c>
      <c r="M943" s="6" t="s">
        <v>32</v>
      </c>
      <c r="N943" s="6">
        <v>2.87</v>
      </c>
      <c r="O943" s="4" t="str">
        <f t="shared" si="14"/>
        <v>Average</v>
      </c>
      <c r="P943" s="6">
        <v>70</v>
      </c>
    </row>
    <row r="944" spans="1:16" x14ac:dyDescent="0.3">
      <c r="A944" s="6" t="s">
        <v>1940</v>
      </c>
      <c r="B944" s="6">
        <v>48</v>
      </c>
      <c r="C944" s="6" t="s">
        <v>16</v>
      </c>
      <c r="D944" s="6" t="s">
        <v>69</v>
      </c>
      <c r="E944" s="6" t="s">
        <v>80</v>
      </c>
      <c r="F944" s="6">
        <v>1943</v>
      </c>
      <c r="G944" s="6">
        <v>56986.21</v>
      </c>
      <c r="H944" s="7">
        <v>39369</v>
      </c>
      <c r="I944" s="6" t="s">
        <v>35</v>
      </c>
      <c r="J944" s="6" t="s">
        <v>1941</v>
      </c>
      <c r="K944" s="6" t="s">
        <v>37</v>
      </c>
      <c r="L944" s="6" t="s">
        <v>38</v>
      </c>
      <c r="M944" s="6" t="s">
        <v>39</v>
      </c>
      <c r="N944" s="6">
        <v>1.91</v>
      </c>
      <c r="O944" s="4" t="str">
        <f t="shared" si="14"/>
        <v>Poor</v>
      </c>
      <c r="P944" s="6">
        <v>82</v>
      </c>
    </row>
    <row r="945" spans="1:16" x14ac:dyDescent="0.3">
      <c r="A945" s="6" t="s">
        <v>1942</v>
      </c>
      <c r="B945" s="6">
        <v>51</v>
      </c>
      <c r="C945" s="6" t="s">
        <v>62</v>
      </c>
      <c r="D945" s="6" t="s">
        <v>69</v>
      </c>
      <c r="E945" s="6" t="s">
        <v>80</v>
      </c>
      <c r="F945" s="6">
        <v>1944</v>
      </c>
      <c r="G945" s="6">
        <v>95924.43</v>
      </c>
      <c r="H945" s="7">
        <v>44348</v>
      </c>
      <c r="I945" s="6" t="s">
        <v>41</v>
      </c>
      <c r="J945" s="6" t="s">
        <v>1943</v>
      </c>
      <c r="K945" s="6" t="s">
        <v>43</v>
      </c>
      <c r="L945" s="6" t="s">
        <v>44</v>
      </c>
      <c r="M945" s="6" t="s">
        <v>45</v>
      </c>
      <c r="N945" s="6">
        <v>3.93</v>
      </c>
      <c r="O945" s="4" t="str">
        <f t="shared" si="14"/>
        <v>Good</v>
      </c>
      <c r="P945" s="6">
        <v>137</v>
      </c>
    </row>
    <row r="946" spans="1:16" x14ac:dyDescent="0.3">
      <c r="A946" s="6" t="s">
        <v>1944</v>
      </c>
      <c r="B946" s="6">
        <v>24</v>
      </c>
      <c r="C946" s="6" t="s">
        <v>62</v>
      </c>
      <c r="D946" s="6" t="s">
        <v>55</v>
      </c>
      <c r="E946" s="6" t="s">
        <v>48</v>
      </c>
      <c r="F946" s="6">
        <v>1945</v>
      </c>
      <c r="G946" s="6">
        <v>61971.86</v>
      </c>
      <c r="H946" s="7">
        <v>38668</v>
      </c>
      <c r="I946" s="6" t="s">
        <v>49</v>
      </c>
      <c r="J946" s="6" t="s">
        <v>1945</v>
      </c>
      <c r="K946" s="6" t="s">
        <v>51</v>
      </c>
      <c r="L946" s="6" t="s">
        <v>52</v>
      </c>
      <c r="M946" s="6" t="s">
        <v>53</v>
      </c>
      <c r="N946" s="6">
        <v>4.99</v>
      </c>
      <c r="O946" s="4" t="str">
        <f t="shared" si="14"/>
        <v>Excellent</v>
      </c>
      <c r="P946" s="6">
        <v>175</v>
      </c>
    </row>
    <row r="947" spans="1:16" x14ac:dyDescent="0.3">
      <c r="A947" s="6" t="s">
        <v>1946</v>
      </c>
      <c r="B947" s="6">
        <v>27</v>
      </c>
      <c r="C947" s="6" t="s">
        <v>62</v>
      </c>
      <c r="D947" s="6" t="s">
        <v>69</v>
      </c>
      <c r="E947" s="6" t="s">
        <v>34</v>
      </c>
      <c r="F947" s="6">
        <v>1946</v>
      </c>
      <c r="G947" s="6">
        <v>92700.92</v>
      </c>
      <c r="H947" s="7">
        <v>42295</v>
      </c>
      <c r="I947" s="6" t="s">
        <v>56</v>
      </c>
      <c r="J947" s="6" t="s">
        <v>1947</v>
      </c>
      <c r="K947" s="6" t="s">
        <v>21</v>
      </c>
      <c r="L947" s="6" t="s">
        <v>22</v>
      </c>
      <c r="M947" s="6" t="s">
        <v>23</v>
      </c>
      <c r="N947" s="6">
        <v>3.51</v>
      </c>
      <c r="O947" s="4" t="str">
        <f t="shared" si="14"/>
        <v>Good</v>
      </c>
      <c r="P947" s="6">
        <v>96</v>
      </c>
    </row>
    <row r="948" spans="1:16" x14ac:dyDescent="0.3">
      <c r="A948" s="6" t="s">
        <v>1948</v>
      </c>
      <c r="B948" s="6">
        <v>29</v>
      </c>
      <c r="C948" s="6" t="s">
        <v>16</v>
      </c>
      <c r="D948" s="6" t="s">
        <v>55</v>
      </c>
      <c r="E948" s="6" t="s">
        <v>34</v>
      </c>
      <c r="F948" s="6">
        <v>1947</v>
      </c>
      <c r="G948" s="6">
        <v>136291.26</v>
      </c>
      <c r="H948" s="7">
        <v>37433</v>
      </c>
      <c r="I948" s="6" t="s">
        <v>63</v>
      </c>
      <c r="J948" s="6" t="s">
        <v>1949</v>
      </c>
      <c r="K948" s="6" t="s">
        <v>30</v>
      </c>
      <c r="L948" s="6" t="s">
        <v>31</v>
      </c>
      <c r="M948" s="6" t="s">
        <v>32</v>
      </c>
      <c r="N948" s="6">
        <v>3.28</v>
      </c>
      <c r="O948" s="4" t="str">
        <f t="shared" si="14"/>
        <v>Good</v>
      </c>
      <c r="P948" s="6">
        <v>108</v>
      </c>
    </row>
    <row r="949" spans="1:16" x14ac:dyDescent="0.3">
      <c r="A949" s="6" t="s">
        <v>1950</v>
      </c>
      <c r="B949" s="6">
        <v>37</v>
      </c>
      <c r="C949" s="6" t="s">
        <v>62</v>
      </c>
      <c r="D949" s="6" t="s">
        <v>55</v>
      </c>
      <c r="E949" s="6" t="s">
        <v>27</v>
      </c>
      <c r="F949" s="6">
        <v>1948</v>
      </c>
      <c r="G949" s="6">
        <v>89416.53</v>
      </c>
      <c r="H949" s="7">
        <v>37511</v>
      </c>
      <c r="I949" s="6" t="s">
        <v>66</v>
      </c>
      <c r="J949" s="6" t="s">
        <v>1951</v>
      </c>
      <c r="K949" s="6" t="s">
        <v>37</v>
      </c>
      <c r="L949" s="6" t="s">
        <v>38</v>
      </c>
      <c r="M949" s="6" t="s">
        <v>39</v>
      </c>
      <c r="N949" s="6">
        <v>4.1500000000000004</v>
      </c>
      <c r="O949" s="4" t="str">
        <f t="shared" si="14"/>
        <v>Excellent</v>
      </c>
      <c r="P949" s="6">
        <v>95</v>
      </c>
    </row>
    <row r="950" spans="1:16" x14ac:dyDescent="0.3">
      <c r="A950" s="6" t="s">
        <v>1952</v>
      </c>
      <c r="B950" s="6">
        <v>36</v>
      </c>
      <c r="C950" s="6" t="s">
        <v>16</v>
      </c>
      <c r="D950" s="6" t="s">
        <v>55</v>
      </c>
      <c r="E950" s="6" t="s">
        <v>34</v>
      </c>
      <c r="F950" s="6">
        <v>1949</v>
      </c>
      <c r="G950" s="6">
        <v>143808.74</v>
      </c>
      <c r="H950" s="7">
        <v>36613</v>
      </c>
      <c r="I950" s="6" t="s">
        <v>70</v>
      </c>
      <c r="J950" s="6" t="s">
        <v>1953</v>
      </c>
      <c r="K950" s="6" t="s">
        <v>43</v>
      </c>
      <c r="L950" s="6" t="s">
        <v>44</v>
      </c>
      <c r="M950" s="6" t="s">
        <v>45</v>
      </c>
      <c r="N950" s="6">
        <v>1.23</v>
      </c>
      <c r="O950" s="4" t="str">
        <f t="shared" si="14"/>
        <v>Poor</v>
      </c>
      <c r="P950" s="6">
        <v>86</v>
      </c>
    </row>
    <row r="951" spans="1:16" x14ac:dyDescent="0.3">
      <c r="A951" s="6" t="s">
        <v>1954</v>
      </c>
      <c r="B951" s="6">
        <v>57</v>
      </c>
      <c r="C951" s="6" t="s">
        <v>16</v>
      </c>
      <c r="D951" s="6" t="s">
        <v>55</v>
      </c>
      <c r="E951" s="6" t="s">
        <v>48</v>
      </c>
      <c r="F951" s="6">
        <v>1950</v>
      </c>
      <c r="G951" s="6">
        <v>147998.56</v>
      </c>
      <c r="H951" s="7">
        <v>38434</v>
      </c>
      <c r="I951" s="6" t="s">
        <v>73</v>
      </c>
      <c r="J951" s="6" t="s">
        <v>1955</v>
      </c>
      <c r="K951" s="6" t="s">
        <v>51</v>
      </c>
      <c r="L951" s="6" t="s">
        <v>52</v>
      </c>
      <c r="M951" s="6" t="s">
        <v>53</v>
      </c>
      <c r="N951" s="6">
        <v>2.66</v>
      </c>
      <c r="O951" s="4" t="str">
        <f t="shared" si="14"/>
        <v>Average</v>
      </c>
      <c r="P951" s="6">
        <v>166</v>
      </c>
    </row>
    <row r="952" spans="1:16" x14ac:dyDescent="0.3">
      <c r="A952" s="6" t="s">
        <v>1956</v>
      </c>
      <c r="B952" s="6">
        <v>61</v>
      </c>
      <c r="C952" s="6" t="s">
        <v>62</v>
      </c>
      <c r="D952" s="6" t="s">
        <v>69</v>
      </c>
      <c r="E952" s="6" t="s">
        <v>48</v>
      </c>
      <c r="F952" s="6">
        <v>1951</v>
      </c>
      <c r="G952" s="6">
        <v>136616.25</v>
      </c>
      <c r="H952" s="7">
        <v>41229</v>
      </c>
      <c r="I952" s="6" t="s">
        <v>19</v>
      </c>
      <c r="J952" s="6" t="s">
        <v>1957</v>
      </c>
      <c r="K952" s="6" t="s">
        <v>21</v>
      </c>
      <c r="L952" s="6" t="s">
        <v>22</v>
      </c>
      <c r="M952" s="6" t="s">
        <v>23</v>
      </c>
      <c r="N952" s="6">
        <v>2.46</v>
      </c>
      <c r="O952" s="4" t="str">
        <f t="shared" si="14"/>
        <v>Average</v>
      </c>
      <c r="P952" s="6">
        <v>48</v>
      </c>
    </row>
    <row r="953" spans="1:16" x14ac:dyDescent="0.3">
      <c r="A953" s="6" t="s">
        <v>1958</v>
      </c>
      <c r="B953" s="6">
        <v>29</v>
      </c>
      <c r="C953" s="6" t="s">
        <v>25</v>
      </c>
      <c r="D953" s="6" t="s">
        <v>69</v>
      </c>
      <c r="E953" s="6" t="s">
        <v>18</v>
      </c>
      <c r="F953" s="6">
        <v>1952</v>
      </c>
      <c r="G953" s="6">
        <v>117086.02</v>
      </c>
      <c r="H953" s="7">
        <v>44662</v>
      </c>
      <c r="I953" s="6" t="s">
        <v>28</v>
      </c>
      <c r="J953" s="6" t="s">
        <v>1959</v>
      </c>
      <c r="K953" s="6" t="s">
        <v>30</v>
      </c>
      <c r="L953" s="6" t="s">
        <v>31</v>
      </c>
      <c r="M953" s="6" t="s">
        <v>32</v>
      </c>
      <c r="N953" s="6">
        <v>4.99</v>
      </c>
      <c r="O953" s="4" t="str">
        <f t="shared" si="14"/>
        <v>Excellent</v>
      </c>
      <c r="P953" s="6">
        <v>119</v>
      </c>
    </row>
    <row r="954" spans="1:16" x14ac:dyDescent="0.3">
      <c r="A954" s="6" t="s">
        <v>1960</v>
      </c>
      <c r="B954" s="6">
        <v>60</v>
      </c>
      <c r="C954" s="6" t="s">
        <v>16</v>
      </c>
      <c r="D954" s="6" t="s">
        <v>17</v>
      </c>
      <c r="E954" s="6" t="s">
        <v>34</v>
      </c>
      <c r="F954" s="6">
        <v>1953</v>
      </c>
      <c r="G954" s="6">
        <v>89340.12</v>
      </c>
      <c r="H954" s="7">
        <v>38208</v>
      </c>
      <c r="I954" s="6" t="s">
        <v>35</v>
      </c>
      <c r="J954" s="6" t="s">
        <v>1961</v>
      </c>
      <c r="K954" s="6" t="s">
        <v>37</v>
      </c>
      <c r="L954" s="6" t="s">
        <v>38</v>
      </c>
      <c r="M954" s="6" t="s">
        <v>39</v>
      </c>
      <c r="N954" s="6">
        <v>3.79</v>
      </c>
      <c r="O954" s="4" t="str">
        <f t="shared" si="14"/>
        <v>Good</v>
      </c>
      <c r="P954" s="6">
        <v>55</v>
      </c>
    </row>
    <row r="955" spans="1:16" x14ac:dyDescent="0.3">
      <c r="A955" s="6" t="s">
        <v>1962</v>
      </c>
      <c r="B955" s="6">
        <v>51</v>
      </c>
      <c r="C955" s="6" t="s">
        <v>16</v>
      </c>
      <c r="D955" s="6" t="s">
        <v>26</v>
      </c>
      <c r="E955" s="6" t="s">
        <v>48</v>
      </c>
      <c r="F955" s="6">
        <v>1954</v>
      </c>
      <c r="G955" s="6">
        <v>72062.789999999994</v>
      </c>
      <c r="H955" s="7">
        <v>42302</v>
      </c>
      <c r="I955" s="6" t="s">
        <v>41</v>
      </c>
      <c r="J955" s="6" t="s">
        <v>1963</v>
      </c>
      <c r="K955" s="6" t="s">
        <v>43</v>
      </c>
      <c r="L955" s="6" t="s">
        <v>44</v>
      </c>
      <c r="M955" s="6" t="s">
        <v>45</v>
      </c>
      <c r="N955" s="6">
        <v>3.83</v>
      </c>
      <c r="O955" s="4" t="str">
        <f t="shared" si="14"/>
        <v>Good</v>
      </c>
      <c r="P955" s="6">
        <v>51</v>
      </c>
    </row>
    <row r="956" spans="1:16" x14ac:dyDescent="0.3">
      <c r="A956" s="6" t="s">
        <v>1964</v>
      </c>
      <c r="B956" s="6">
        <v>33</v>
      </c>
      <c r="C956" s="6" t="s">
        <v>62</v>
      </c>
      <c r="D956" s="6" t="s">
        <v>17</v>
      </c>
      <c r="E956" s="6" t="s">
        <v>18</v>
      </c>
      <c r="F956" s="6">
        <v>1955</v>
      </c>
      <c r="G956" s="6">
        <v>119140.06</v>
      </c>
      <c r="H956" s="7">
        <v>36924</v>
      </c>
      <c r="I956" s="6" t="s">
        <v>49</v>
      </c>
      <c r="J956" s="6" t="s">
        <v>1965</v>
      </c>
      <c r="K956" s="6" t="s">
        <v>51</v>
      </c>
      <c r="L956" s="6" t="s">
        <v>52</v>
      </c>
      <c r="M956" s="6" t="s">
        <v>53</v>
      </c>
      <c r="N956" s="6">
        <v>2.5</v>
      </c>
      <c r="O956" s="4" t="str">
        <f t="shared" si="14"/>
        <v>Average</v>
      </c>
      <c r="P956" s="6">
        <v>4</v>
      </c>
    </row>
    <row r="957" spans="1:16" x14ac:dyDescent="0.3">
      <c r="A957" s="6" t="s">
        <v>1966</v>
      </c>
      <c r="B957" s="6">
        <v>25</v>
      </c>
      <c r="C957" s="6" t="s">
        <v>16</v>
      </c>
      <c r="D957" s="6" t="s">
        <v>55</v>
      </c>
      <c r="E957" s="6" t="s">
        <v>48</v>
      </c>
      <c r="F957" s="6">
        <v>1956</v>
      </c>
      <c r="G957" s="6">
        <v>142279.82999999999</v>
      </c>
      <c r="H957" s="7">
        <v>40879</v>
      </c>
      <c r="I957" s="6" t="s">
        <v>56</v>
      </c>
      <c r="J957" s="6" t="s">
        <v>1967</v>
      </c>
      <c r="K957" s="6" t="s">
        <v>21</v>
      </c>
      <c r="L957" s="6" t="s">
        <v>22</v>
      </c>
      <c r="M957" s="6" t="s">
        <v>23</v>
      </c>
      <c r="N957" s="6">
        <v>4.29</v>
      </c>
      <c r="O957" s="4" t="str">
        <f t="shared" si="14"/>
        <v>Excellent</v>
      </c>
      <c r="P957" s="6">
        <v>140</v>
      </c>
    </row>
    <row r="958" spans="1:16" x14ac:dyDescent="0.3">
      <c r="A958" s="6" t="s">
        <v>1968</v>
      </c>
      <c r="B958" s="6">
        <v>35</v>
      </c>
      <c r="C958" s="6" t="s">
        <v>16</v>
      </c>
      <c r="D958" s="6" t="s">
        <v>47</v>
      </c>
      <c r="E958" s="6" t="s">
        <v>34</v>
      </c>
      <c r="F958" s="6">
        <v>1957</v>
      </c>
      <c r="G958" s="6">
        <v>67202.83</v>
      </c>
      <c r="H958" s="7">
        <v>40169</v>
      </c>
      <c r="I958" s="6" t="s">
        <v>63</v>
      </c>
      <c r="J958" s="6" t="s">
        <v>1969</v>
      </c>
      <c r="K958" s="6" t="s">
        <v>30</v>
      </c>
      <c r="L958" s="6" t="s">
        <v>31</v>
      </c>
      <c r="M958" s="6" t="s">
        <v>32</v>
      </c>
      <c r="N958" s="6">
        <v>2.41</v>
      </c>
      <c r="O958" s="4" t="str">
        <f t="shared" si="14"/>
        <v>Average</v>
      </c>
      <c r="P958" s="6">
        <v>128</v>
      </c>
    </row>
    <row r="959" spans="1:16" x14ac:dyDescent="0.3">
      <c r="A959" s="6" t="s">
        <v>1970</v>
      </c>
      <c r="B959" s="6">
        <v>46</v>
      </c>
      <c r="C959" s="6" t="s">
        <v>16</v>
      </c>
      <c r="D959" s="6" t="s">
        <v>17</v>
      </c>
      <c r="E959" s="6" t="s">
        <v>34</v>
      </c>
      <c r="F959" s="6">
        <v>1958</v>
      </c>
      <c r="G959" s="6">
        <v>82251.240000000005</v>
      </c>
      <c r="H959" s="7">
        <v>43136</v>
      </c>
      <c r="I959" s="6" t="s">
        <v>66</v>
      </c>
      <c r="J959" s="6" t="s">
        <v>1971</v>
      </c>
      <c r="K959" s="6" t="s">
        <v>37</v>
      </c>
      <c r="L959" s="6" t="s">
        <v>38</v>
      </c>
      <c r="M959" s="6" t="s">
        <v>39</v>
      </c>
      <c r="N959" s="6">
        <v>1.17</v>
      </c>
      <c r="O959" s="4" t="str">
        <f t="shared" si="14"/>
        <v>Poor</v>
      </c>
      <c r="P959" s="6">
        <v>160</v>
      </c>
    </row>
    <row r="960" spans="1:16" x14ac:dyDescent="0.3">
      <c r="A960" s="6" t="s">
        <v>1972</v>
      </c>
      <c r="B960" s="6">
        <v>26</v>
      </c>
      <c r="C960" s="6" t="s">
        <v>62</v>
      </c>
      <c r="D960" s="6" t="s">
        <v>47</v>
      </c>
      <c r="E960" s="6" t="s">
        <v>18</v>
      </c>
      <c r="F960" s="6">
        <v>1959</v>
      </c>
      <c r="G960" s="6">
        <v>76865.22</v>
      </c>
      <c r="H960" s="7">
        <v>41544</v>
      </c>
      <c r="I960" s="6" t="s">
        <v>70</v>
      </c>
      <c r="J960" s="6" t="s">
        <v>1973</v>
      </c>
      <c r="K960" s="6" t="s">
        <v>43</v>
      </c>
      <c r="L960" s="6" t="s">
        <v>44</v>
      </c>
      <c r="M960" s="6" t="s">
        <v>45</v>
      </c>
      <c r="N960" s="6">
        <v>2.3199999999999998</v>
      </c>
      <c r="O960" s="4" t="str">
        <f t="shared" si="14"/>
        <v>Average</v>
      </c>
      <c r="P960" s="6">
        <v>112</v>
      </c>
    </row>
    <row r="961" spans="1:16" x14ac:dyDescent="0.3">
      <c r="A961" s="6" t="s">
        <v>1974</v>
      </c>
      <c r="B961" s="6">
        <v>44</v>
      </c>
      <c r="C961" s="6" t="s">
        <v>25</v>
      </c>
      <c r="D961" s="6" t="s">
        <v>47</v>
      </c>
      <c r="E961" s="6" t="s">
        <v>34</v>
      </c>
      <c r="F961" s="6">
        <v>1960</v>
      </c>
      <c r="G961" s="6">
        <v>84546.02</v>
      </c>
      <c r="H961" s="7">
        <v>42019</v>
      </c>
      <c r="I961" s="6" t="s">
        <v>73</v>
      </c>
      <c r="J961" s="6" t="s">
        <v>1975</v>
      </c>
      <c r="K961" s="6" t="s">
        <v>51</v>
      </c>
      <c r="L961" s="6" t="s">
        <v>52</v>
      </c>
      <c r="M961" s="6" t="s">
        <v>53</v>
      </c>
      <c r="N961" s="6">
        <v>2.41</v>
      </c>
      <c r="O961" s="4" t="str">
        <f t="shared" si="14"/>
        <v>Average</v>
      </c>
      <c r="P961" s="6">
        <v>147</v>
      </c>
    </row>
    <row r="962" spans="1:16" x14ac:dyDescent="0.3">
      <c r="A962" s="6" t="s">
        <v>1976</v>
      </c>
      <c r="B962" s="6">
        <v>51</v>
      </c>
      <c r="C962" s="6" t="s">
        <v>25</v>
      </c>
      <c r="D962" s="6" t="s">
        <v>69</v>
      </c>
      <c r="E962" s="6" t="s">
        <v>18</v>
      </c>
      <c r="F962" s="6">
        <v>1961</v>
      </c>
      <c r="G962" s="6">
        <v>67489.210000000006</v>
      </c>
      <c r="H962" s="7">
        <v>39895</v>
      </c>
      <c r="I962" s="6" t="s">
        <v>19</v>
      </c>
      <c r="J962" s="6" t="s">
        <v>1977</v>
      </c>
      <c r="K962" s="6" t="s">
        <v>21</v>
      </c>
      <c r="L962" s="6" t="s">
        <v>22</v>
      </c>
      <c r="M962" s="6" t="s">
        <v>23</v>
      </c>
      <c r="N962" s="6">
        <v>3.95</v>
      </c>
      <c r="O962" s="4" t="str">
        <f t="shared" si="14"/>
        <v>Good</v>
      </c>
      <c r="P962" s="6">
        <v>27</v>
      </c>
    </row>
    <row r="963" spans="1:16" x14ac:dyDescent="0.3">
      <c r="A963" s="6" t="s">
        <v>1978</v>
      </c>
      <c r="B963" s="6">
        <v>60</v>
      </c>
      <c r="C963" s="6" t="s">
        <v>62</v>
      </c>
      <c r="D963" s="6" t="s">
        <v>55</v>
      </c>
      <c r="E963" s="6" t="s">
        <v>34</v>
      </c>
      <c r="F963" s="6">
        <v>1962</v>
      </c>
      <c r="G963" s="6">
        <v>113136.51</v>
      </c>
      <c r="H963" s="7">
        <v>41310</v>
      </c>
      <c r="I963" s="6" t="s">
        <v>28</v>
      </c>
      <c r="J963" s="6" t="s">
        <v>1979</v>
      </c>
      <c r="K963" s="6" t="s">
        <v>30</v>
      </c>
      <c r="L963" s="6" t="s">
        <v>31</v>
      </c>
      <c r="M963" s="6" t="s">
        <v>32</v>
      </c>
      <c r="N963" s="6">
        <v>4.57</v>
      </c>
      <c r="O963" s="4" t="str">
        <f t="shared" ref="O963:O1001" si="15">IF(N963&gt;=4,"Excellent",IF(N963&gt;=3,"Good",IF(N963&gt;=2,"Average","Poor")))</f>
        <v>Excellent</v>
      </c>
      <c r="P963" s="6">
        <v>165</v>
      </c>
    </row>
    <row r="964" spans="1:16" x14ac:dyDescent="0.3">
      <c r="A964" s="6" t="s">
        <v>1980</v>
      </c>
      <c r="B964" s="6">
        <v>33</v>
      </c>
      <c r="C964" s="6" t="s">
        <v>16</v>
      </c>
      <c r="D964" s="6" t="s">
        <v>26</v>
      </c>
      <c r="E964" s="6" t="s">
        <v>27</v>
      </c>
      <c r="F964" s="6">
        <v>1963</v>
      </c>
      <c r="G964" s="6">
        <v>98106.89</v>
      </c>
      <c r="H964" s="7">
        <v>38784</v>
      </c>
      <c r="I964" s="6" t="s">
        <v>35</v>
      </c>
      <c r="J964" s="6" t="s">
        <v>1981</v>
      </c>
      <c r="K964" s="6" t="s">
        <v>37</v>
      </c>
      <c r="L964" s="6" t="s">
        <v>38</v>
      </c>
      <c r="M964" s="6" t="s">
        <v>39</v>
      </c>
      <c r="N964" s="6">
        <v>3.2</v>
      </c>
      <c r="O964" s="4" t="str">
        <f t="shared" si="15"/>
        <v>Good</v>
      </c>
      <c r="P964" s="6">
        <v>123</v>
      </c>
    </row>
    <row r="965" spans="1:16" x14ac:dyDescent="0.3">
      <c r="A965" s="6" t="s">
        <v>1982</v>
      </c>
      <c r="B965" s="6">
        <v>36</v>
      </c>
      <c r="C965" s="6" t="s">
        <v>25</v>
      </c>
      <c r="D965" s="6" t="s">
        <v>26</v>
      </c>
      <c r="E965" s="6" t="s">
        <v>18</v>
      </c>
      <c r="F965" s="6">
        <v>1964</v>
      </c>
      <c r="G965" s="6">
        <v>141348.25</v>
      </c>
      <c r="H965" s="7">
        <v>43056</v>
      </c>
      <c r="I965" s="6" t="s">
        <v>41</v>
      </c>
      <c r="J965" s="6" t="s">
        <v>1983</v>
      </c>
      <c r="K965" s="6" t="s">
        <v>43</v>
      </c>
      <c r="L965" s="6" t="s">
        <v>44</v>
      </c>
      <c r="M965" s="6" t="s">
        <v>45</v>
      </c>
      <c r="N965" s="6">
        <v>1.68</v>
      </c>
      <c r="O965" s="4" t="str">
        <f t="shared" si="15"/>
        <v>Poor</v>
      </c>
      <c r="P965" s="6">
        <v>106</v>
      </c>
    </row>
    <row r="966" spans="1:16" x14ac:dyDescent="0.3">
      <c r="A966" s="6" t="s">
        <v>1984</v>
      </c>
      <c r="B966" s="6">
        <v>40</v>
      </c>
      <c r="C966" s="6" t="s">
        <v>62</v>
      </c>
      <c r="D966" s="6" t="s">
        <v>26</v>
      </c>
      <c r="E966" s="6" t="s">
        <v>27</v>
      </c>
      <c r="F966" s="6">
        <v>1965</v>
      </c>
      <c r="G966" s="6">
        <v>185568.84</v>
      </c>
      <c r="H966" s="7">
        <v>37060</v>
      </c>
      <c r="I966" s="6" t="s">
        <v>49</v>
      </c>
      <c r="J966" s="6" t="s">
        <v>1985</v>
      </c>
      <c r="K966" s="6" t="s">
        <v>51</v>
      </c>
      <c r="L966" s="6" t="s">
        <v>52</v>
      </c>
      <c r="M966" s="6" t="s">
        <v>53</v>
      </c>
      <c r="N966" s="6">
        <v>1.0900000000000001</v>
      </c>
      <c r="O966" s="4" t="str">
        <f t="shared" si="15"/>
        <v>Poor</v>
      </c>
      <c r="P966" s="6">
        <v>185</v>
      </c>
    </row>
    <row r="967" spans="1:16" x14ac:dyDescent="0.3">
      <c r="A967" s="6" t="s">
        <v>1986</v>
      </c>
      <c r="B967" s="6">
        <v>47</v>
      </c>
      <c r="C967" s="6" t="s">
        <v>62</v>
      </c>
      <c r="D967" s="6" t="s">
        <v>26</v>
      </c>
      <c r="E967" s="6" t="s">
        <v>34</v>
      </c>
      <c r="F967" s="6">
        <v>1966</v>
      </c>
      <c r="G967" s="6">
        <v>139735.85</v>
      </c>
      <c r="H967" s="7">
        <v>43179</v>
      </c>
      <c r="I967" s="6" t="s">
        <v>56</v>
      </c>
      <c r="J967" s="6" t="s">
        <v>1987</v>
      </c>
      <c r="K967" s="6" t="s">
        <v>21</v>
      </c>
      <c r="L967" s="6" t="s">
        <v>22</v>
      </c>
      <c r="M967" s="6" t="s">
        <v>23</v>
      </c>
      <c r="N967" s="6">
        <v>4.07</v>
      </c>
      <c r="O967" s="4" t="str">
        <f t="shared" si="15"/>
        <v>Excellent</v>
      </c>
      <c r="P967" s="6">
        <v>63</v>
      </c>
    </row>
    <row r="968" spans="1:16" x14ac:dyDescent="0.3">
      <c r="A968" s="6" t="s">
        <v>1988</v>
      </c>
      <c r="B968" s="6">
        <v>25</v>
      </c>
      <c r="C968" s="6" t="s">
        <v>16</v>
      </c>
      <c r="D968" s="6" t="s">
        <v>26</v>
      </c>
      <c r="E968" s="6" t="s">
        <v>80</v>
      </c>
      <c r="F968" s="6">
        <v>1967</v>
      </c>
      <c r="G968" s="6">
        <v>77152.42</v>
      </c>
      <c r="H968" s="7">
        <v>42680</v>
      </c>
      <c r="I968" s="6" t="s">
        <v>63</v>
      </c>
      <c r="J968" s="6" t="s">
        <v>1989</v>
      </c>
      <c r="K968" s="6" t="s">
        <v>30</v>
      </c>
      <c r="L968" s="6" t="s">
        <v>31</v>
      </c>
      <c r="M968" s="6" t="s">
        <v>32</v>
      </c>
      <c r="N968" s="6">
        <v>3.18</v>
      </c>
      <c r="O968" s="4" t="str">
        <f t="shared" si="15"/>
        <v>Good</v>
      </c>
      <c r="P968" s="6">
        <v>22</v>
      </c>
    </row>
    <row r="969" spans="1:16" x14ac:dyDescent="0.3">
      <c r="A969" s="6" t="s">
        <v>1990</v>
      </c>
      <c r="B969" s="6">
        <v>59</v>
      </c>
      <c r="C969" s="6" t="s">
        <v>16</v>
      </c>
      <c r="D969" s="6" t="s">
        <v>47</v>
      </c>
      <c r="E969" s="6" t="s">
        <v>34</v>
      </c>
      <c r="F969" s="6">
        <v>1968</v>
      </c>
      <c r="G969" s="6">
        <v>66707.75</v>
      </c>
      <c r="H969" s="7">
        <v>38234</v>
      </c>
      <c r="I969" s="6" t="s">
        <v>66</v>
      </c>
      <c r="J969" s="6" t="s">
        <v>1991</v>
      </c>
      <c r="K969" s="6" t="s">
        <v>37</v>
      </c>
      <c r="L969" s="6" t="s">
        <v>38</v>
      </c>
      <c r="M969" s="6" t="s">
        <v>39</v>
      </c>
      <c r="N969" s="6">
        <v>3.1</v>
      </c>
      <c r="O969" s="4" t="str">
        <f t="shared" si="15"/>
        <v>Good</v>
      </c>
      <c r="P969" s="6">
        <v>95</v>
      </c>
    </row>
    <row r="970" spans="1:16" x14ac:dyDescent="0.3">
      <c r="A970" s="6" t="s">
        <v>1992</v>
      </c>
      <c r="B970" s="6">
        <v>29</v>
      </c>
      <c r="C970" s="6" t="s">
        <v>62</v>
      </c>
      <c r="D970" s="6" t="s">
        <v>47</v>
      </c>
      <c r="E970" s="6" t="s">
        <v>80</v>
      </c>
      <c r="F970" s="6">
        <v>1969</v>
      </c>
      <c r="G970" s="6">
        <v>148180.19</v>
      </c>
      <c r="H970" s="7">
        <v>43811</v>
      </c>
      <c r="I970" s="6" t="s">
        <v>70</v>
      </c>
      <c r="J970" s="6" t="s">
        <v>1993</v>
      </c>
      <c r="K970" s="6" t="s">
        <v>43</v>
      </c>
      <c r="L970" s="6" t="s">
        <v>44</v>
      </c>
      <c r="M970" s="6" t="s">
        <v>45</v>
      </c>
      <c r="N970" s="6">
        <v>3.72</v>
      </c>
      <c r="O970" s="4" t="str">
        <f t="shared" si="15"/>
        <v>Good</v>
      </c>
      <c r="P970" s="6">
        <v>66</v>
      </c>
    </row>
    <row r="971" spans="1:16" x14ac:dyDescent="0.3">
      <c r="A971" s="6" t="s">
        <v>1994</v>
      </c>
      <c r="B971" s="6">
        <v>51</v>
      </c>
      <c r="C971" s="6" t="s">
        <v>62</v>
      </c>
      <c r="D971" s="6" t="s">
        <v>47</v>
      </c>
      <c r="E971" s="6" t="s">
        <v>34</v>
      </c>
      <c r="F971" s="6">
        <v>1970</v>
      </c>
      <c r="G971" s="6">
        <v>172973.51</v>
      </c>
      <c r="H971" s="7">
        <v>36627</v>
      </c>
      <c r="I971" s="6" t="s">
        <v>73</v>
      </c>
      <c r="J971" s="6" t="s">
        <v>1995</v>
      </c>
      <c r="K971" s="6" t="s">
        <v>51</v>
      </c>
      <c r="L971" s="6" t="s">
        <v>52</v>
      </c>
      <c r="M971" s="6" t="s">
        <v>53</v>
      </c>
      <c r="N971" s="6">
        <v>2.29</v>
      </c>
      <c r="O971" s="4" t="str">
        <f t="shared" si="15"/>
        <v>Average</v>
      </c>
      <c r="P971" s="6">
        <v>182</v>
      </c>
    </row>
    <row r="972" spans="1:16" x14ac:dyDescent="0.3">
      <c r="A972" s="6" t="s">
        <v>1996</v>
      </c>
      <c r="B972" s="6">
        <v>36</v>
      </c>
      <c r="C972" s="6" t="s">
        <v>62</v>
      </c>
      <c r="D972" s="6" t="s">
        <v>55</v>
      </c>
      <c r="E972" s="6" t="s">
        <v>18</v>
      </c>
      <c r="F972" s="6">
        <v>1971</v>
      </c>
      <c r="G972" s="6">
        <v>98320.76</v>
      </c>
      <c r="H972" s="7">
        <v>43347</v>
      </c>
      <c r="I972" s="6" t="s">
        <v>19</v>
      </c>
      <c r="J972" s="6" t="s">
        <v>1997</v>
      </c>
      <c r="K972" s="6" t="s">
        <v>21</v>
      </c>
      <c r="L972" s="6" t="s">
        <v>22</v>
      </c>
      <c r="M972" s="6" t="s">
        <v>23</v>
      </c>
      <c r="N972" s="6">
        <v>4.5599999999999996</v>
      </c>
      <c r="O972" s="4" t="str">
        <f t="shared" si="15"/>
        <v>Excellent</v>
      </c>
      <c r="P972" s="6">
        <v>156</v>
      </c>
    </row>
    <row r="973" spans="1:16" x14ac:dyDescent="0.3">
      <c r="A973" s="6" t="s">
        <v>1998</v>
      </c>
      <c r="B973" s="6">
        <v>33</v>
      </c>
      <c r="C973" s="6" t="s">
        <v>25</v>
      </c>
      <c r="D973" s="6" t="s">
        <v>17</v>
      </c>
      <c r="E973" s="6" t="s">
        <v>48</v>
      </c>
      <c r="F973" s="6">
        <v>1972</v>
      </c>
      <c r="G973" s="6">
        <v>126566.31</v>
      </c>
      <c r="H973" s="7">
        <v>37375</v>
      </c>
      <c r="I973" s="6" t="s">
        <v>28</v>
      </c>
      <c r="J973" s="6" t="s">
        <v>1999</v>
      </c>
      <c r="K973" s="6" t="s">
        <v>30</v>
      </c>
      <c r="L973" s="6" t="s">
        <v>31</v>
      </c>
      <c r="M973" s="6" t="s">
        <v>32</v>
      </c>
      <c r="N973" s="6">
        <v>1.46</v>
      </c>
      <c r="O973" s="4" t="str">
        <f t="shared" si="15"/>
        <v>Poor</v>
      </c>
      <c r="P973" s="6">
        <v>45</v>
      </c>
    </row>
    <row r="974" spans="1:16" x14ac:dyDescent="0.3">
      <c r="A974" s="6" t="s">
        <v>2000</v>
      </c>
      <c r="B974" s="6">
        <v>31</v>
      </c>
      <c r="C974" s="6" t="s">
        <v>16</v>
      </c>
      <c r="D974" s="6" t="s">
        <v>69</v>
      </c>
      <c r="E974" s="6" t="s">
        <v>18</v>
      </c>
      <c r="F974" s="6">
        <v>1973</v>
      </c>
      <c r="G974" s="6">
        <v>167987.33</v>
      </c>
      <c r="H974" s="7">
        <v>38127</v>
      </c>
      <c r="I974" s="6" t="s">
        <v>35</v>
      </c>
      <c r="J974" s="6" t="s">
        <v>2001</v>
      </c>
      <c r="K974" s="6" t="s">
        <v>37</v>
      </c>
      <c r="L974" s="6" t="s">
        <v>38</v>
      </c>
      <c r="M974" s="6" t="s">
        <v>39</v>
      </c>
      <c r="N974" s="6">
        <v>1.81</v>
      </c>
      <c r="O974" s="4" t="str">
        <f t="shared" si="15"/>
        <v>Poor</v>
      </c>
      <c r="P974" s="6">
        <v>14</v>
      </c>
    </row>
    <row r="975" spans="1:16" x14ac:dyDescent="0.3">
      <c r="A975" s="6" t="s">
        <v>2002</v>
      </c>
      <c r="B975" s="6">
        <v>33</v>
      </c>
      <c r="C975" s="6" t="s">
        <v>62</v>
      </c>
      <c r="D975" s="6" t="s">
        <v>47</v>
      </c>
      <c r="E975" s="6" t="s">
        <v>80</v>
      </c>
      <c r="F975" s="6">
        <v>1974</v>
      </c>
      <c r="G975" s="6">
        <v>52533.65</v>
      </c>
      <c r="H975" s="7">
        <v>39859</v>
      </c>
      <c r="I975" s="6" t="s">
        <v>41</v>
      </c>
      <c r="J975" s="6" t="s">
        <v>2003</v>
      </c>
      <c r="K975" s="6" t="s">
        <v>43</v>
      </c>
      <c r="L975" s="6" t="s">
        <v>44</v>
      </c>
      <c r="M975" s="6" t="s">
        <v>45</v>
      </c>
      <c r="N975" s="6">
        <v>4.24</v>
      </c>
      <c r="O975" s="4" t="str">
        <f t="shared" si="15"/>
        <v>Excellent</v>
      </c>
      <c r="P975" s="6">
        <v>147</v>
      </c>
    </row>
    <row r="976" spans="1:16" x14ac:dyDescent="0.3">
      <c r="A976" s="6" t="s">
        <v>2004</v>
      </c>
      <c r="B976" s="6">
        <v>38</v>
      </c>
      <c r="C976" s="6" t="s">
        <v>16</v>
      </c>
      <c r="D976" s="6" t="s">
        <v>55</v>
      </c>
      <c r="E976" s="6" t="s">
        <v>34</v>
      </c>
      <c r="F976" s="6">
        <v>1975</v>
      </c>
      <c r="G976" s="6">
        <v>154489.51999999999</v>
      </c>
      <c r="H976" s="7">
        <v>43574</v>
      </c>
      <c r="I976" s="6" t="s">
        <v>49</v>
      </c>
      <c r="J976" s="6" t="s">
        <v>2005</v>
      </c>
      <c r="K976" s="6" t="s">
        <v>51</v>
      </c>
      <c r="L976" s="6" t="s">
        <v>52</v>
      </c>
      <c r="M976" s="6" t="s">
        <v>53</v>
      </c>
      <c r="N976" s="6">
        <v>4.2699999999999996</v>
      </c>
      <c r="O976" s="4" t="str">
        <f t="shared" si="15"/>
        <v>Excellent</v>
      </c>
      <c r="P976" s="6">
        <v>118</v>
      </c>
    </row>
    <row r="977" spans="1:16" x14ac:dyDescent="0.3">
      <c r="A977" s="6" t="s">
        <v>2006</v>
      </c>
      <c r="B977" s="6">
        <v>61</v>
      </c>
      <c r="C977" s="6" t="s">
        <v>25</v>
      </c>
      <c r="D977" s="6" t="s">
        <v>55</v>
      </c>
      <c r="E977" s="6" t="s">
        <v>34</v>
      </c>
      <c r="F977" s="6">
        <v>1976</v>
      </c>
      <c r="G977" s="6">
        <v>126339.6</v>
      </c>
      <c r="H977" s="7">
        <v>38651</v>
      </c>
      <c r="I977" s="6" t="s">
        <v>56</v>
      </c>
      <c r="J977" s="6" t="s">
        <v>2007</v>
      </c>
      <c r="K977" s="6" t="s">
        <v>21</v>
      </c>
      <c r="L977" s="6" t="s">
        <v>22</v>
      </c>
      <c r="M977" s="6" t="s">
        <v>23</v>
      </c>
      <c r="N977" s="6">
        <v>1.1599999999999999</v>
      </c>
      <c r="O977" s="4" t="str">
        <f t="shared" si="15"/>
        <v>Poor</v>
      </c>
      <c r="P977" s="6">
        <v>68</v>
      </c>
    </row>
    <row r="978" spans="1:16" x14ac:dyDescent="0.3">
      <c r="A978" s="6" t="s">
        <v>2008</v>
      </c>
      <c r="B978" s="6">
        <v>23</v>
      </c>
      <c r="C978" s="6" t="s">
        <v>62</v>
      </c>
      <c r="D978" s="6" t="s">
        <v>69</v>
      </c>
      <c r="E978" s="6" t="s">
        <v>34</v>
      </c>
      <c r="F978" s="6">
        <v>1977</v>
      </c>
      <c r="G978" s="6">
        <v>158961.89000000001</v>
      </c>
      <c r="H978" s="7">
        <v>44486</v>
      </c>
      <c r="I978" s="6" t="s">
        <v>63</v>
      </c>
      <c r="J978" s="6" t="s">
        <v>2009</v>
      </c>
      <c r="K978" s="6" t="s">
        <v>30</v>
      </c>
      <c r="L978" s="6" t="s">
        <v>31</v>
      </c>
      <c r="M978" s="6" t="s">
        <v>32</v>
      </c>
      <c r="N978" s="6">
        <v>3.42</v>
      </c>
      <c r="O978" s="4" t="str">
        <f t="shared" si="15"/>
        <v>Good</v>
      </c>
      <c r="P978" s="6">
        <v>23</v>
      </c>
    </row>
    <row r="979" spans="1:16" x14ac:dyDescent="0.3">
      <c r="A979" s="6" t="s">
        <v>2010</v>
      </c>
      <c r="B979" s="6">
        <v>40</v>
      </c>
      <c r="C979" s="6" t="s">
        <v>16</v>
      </c>
      <c r="D979" s="6" t="s">
        <v>26</v>
      </c>
      <c r="E979" s="6" t="s">
        <v>48</v>
      </c>
      <c r="F979" s="6">
        <v>1978</v>
      </c>
      <c r="G979" s="6">
        <v>180855.63</v>
      </c>
      <c r="H979" s="7">
        <v>39715</v>
      </c>
      <c r="I979" s="6" t="s">
        <v>66</v>
      </c>
      <c r="J979" s="6" t="s">
        <v>2011</v>
      </c>
      <c r="K979" s="6" t="s">
        <v>37</v>
      </c>
      <c r="L979" s="6" t="s">
        <v>38</v>
      </c>
      <c r="M979" s="6" t="s">
        <v>39</v>
      </c>
      <c r="N979" s="6">
        <v>3.75</v>
      </c>
      <c r="O979" s="4" t="str">
        <f t="shared" si="15"/>
        <v>Good</v>
      </c>
      <c r="P979" s="6">
        <v>124</v>
      </c>
    </row>
    <row r="980" spans="1:16" x14ac:dyDescent="0.3">
      <c r="A980" s="6" t="s">
        <v>2012</v>
      </c>
      <c r="B980" s="6">
        <v>50</v>
      </c>
      <c r="C980" s="6" t="s">
        <v>25</v>
      </c>
      <c r="D980" s="6" t="s">
        <v>55</v>
      </c>
      <c r="E980" s="6" t="s">
        <v>48</v>
      </c>
      <c r="F980" s="6">
        <v>1979</v>
      </c>
      <c r="G980" s="6">
        <v>124186.42</v>
      </c>
      <c r="H980" s="7">
        <v>37628</v>
      </c>
      <c r="I980" s="6" t="s">
        <v>70</v>
      </c>
      <c r="J980" s="6" t="s">
        <v>2013</v>
      </c>
      <c r="K980" s="6" t="s">
        <v>43</v>
      </c>
      <c r="L980" s="6" t="s">
        <v>44</v>
      </c>
      <c r="M980" s="6" t="s">
        <v>45</v>
      </c>
      <c r="N980" s="6">
        <v>1.72</v>
      </c>
      <c r="O980" s="4" t="str">
        <f t="shared" si="15"/>
        <v>Poor</v>
      </c>
      <c r="P980" s="6">
        <v>112</v>
      </c>
    </row>
    <row r="981" spans="1:16" x14ac:dyDescent="0.3">
      <c r="A981" s="6" t="s">
        <v>2014</v>
      </c>
      <c r="B981" s="6">
        <v>22</v>
      </c>
      <c r="C981" s="6" t="s">
        <v>62</v>
      </c>
      <c r="D981" s="6" t="s">
        <v>17</v>
      </c>
      <c r="E981" s="6" t="s">
        <v>18</v>
      </c>
      <c r="F981" s="6">
        <v>1980</v>
      </c>
      <c r="G981" s="6">
        <v>178381.65</v>
      </c>
      <c r="H981" s="7">
        <v>37838</v>
      </c>
      <c r="I981" s="6" t="s">
        <v>73</v>
      </c>
      <c r="J981" s="6" t="s">
        <v>2015</v>
      </c>
      <c r="K981" s="6" t="s">
        <v>51</v>
      </c>
      <c r="L981" s="6" t="s">
        <v>52</v>
      </c>
      <c r="M981" s="6" t="s">
        <v>53</v>
      </c>
      <c r="N981" s="6">
        <v>2.61</v>
      </c>
      <c r="O981" s="4" t="str">
        <f t="shared" si="15"/>
        <v>Average</v>
      </c>
      <c r="P981" s="6">
        <v>20</v>
      </c>
    </row>
    <row r="982" spans="1:16" x14ac:dyDescent="0.3">
      <c r="A982" s="6" t="s">
        <v>2016</v>
      </c>
      <c r="B982" s="6">
        <v>43</v>
      </c>
      <c r="C982" s="6" t="s">
        <v>16</v>
      </c>
      <c r="D982" s="6" t="s">
        <v>17</v>
      </c>
      <c r="E982" s="6" t="s">
        <v>18</v>
      </c>
      <c r="F982" s="6">
        <v>1981</v>
      </c>
      <c r="G982" s="6">
        <v>51904.54</v>
      </c>
      <c r="H982" s="7">
        <v>40876</v>
      </c>
      <c r="I982" s="6" t="s">
        <v>19</v>
      </c>
      <c r="J982" s="6" t="s">
        <v>2017</v>
      </c>
      <c r="K982" s="6" t="s">
        <v>21</v>
      </c>
      <c r="L982" s="6" t="s">
        <v>22</v>
      </c>
      <c r="M982" s="6" t="s">
        <v>23</v>
      </c>
      <c r="N982" s="6">
        <v>3.56</v>
      </c>
      <c r="O982" s="4" t="str">
        <f t="shared" si="15"/>
        <v>Good</v>
      </c>
      <c r="P982" s="6">
        <v>120</v>
      </c>
    </row>
    <row r="983" spans="1:16" x14ac:dyDescent="0.3">
      <c r="A983" s="6" t="s">
        <v>2018</v>
      </c>
      <c r="B983" s="6">
        <v>46</v>
      </c>
      <c r="C983" s="6" t="s">
        <v>62</v>
      </c>
      <c r="D983" s="6" t="s">
        <v>17</v>
      </c>
      <c r="E983" s="6" t="s">
        <v>80</v>
      </c>
      <c r="F983" s="6">
        <v>1982</v>
      </c>
      <c r="G983" s="6">
        <v>144512.17000000001</v>
      </c>
      <c r="H983" s="7">
        <v>36841</v>
      </c>
      <c r="I983" s="6" t="s">
        <v>28</v>
      </c>
      <c r="J983" s="6" t="s">
        <v>2019</v>
      </c>
      <c r="K983" s="6" t="s">
        <v>30</v>
      </c>
      <c r="L983" s="6" t="s">
        <v>31</v>
      </c>
      <c r="M983" s="6" t="s">
        <v>32</v>
      </c>
      <c r="N983" s="6">
        <v>1.29</v>
      </c>
      <c r="O983" s="4" t="str">
        <f t="shared" si="15"/>
        <v>Poor</v>
      </c>
      <c r="P983" s="6">
        <v>55</v>
      </c>
    </row>
    <row r="984" spans="1:16" x14ac:dyDescent="0.3">
      <c r="A984" s="6" t="s">
        <v>2020</v>
      </c>
      <c r="B984" s="6">
        <v>31</v>
      </c>
      <c r="C984" s="6" t="s">
        <v>16</v>
      </c>
      <c r="D984" s="6" t="s">
        <v>55</v>
      </c>
      <c r="E984" s="6" t="s">
        <v>48</v>
      </c>
      <c r="F984" s="6">
        <v>1983</v>
      </c>
      <c r="G984" s="6">
        <v>198036.38</v>
      </c>
      <c r="H984" s="7">
        <v>38308</v>
      </c>
      <c r="I984" s="6" t="s">
        <v>35</v>
      </c>
      <c r="J984" s="6" t="s">
        <v>2021</v>
      </c>
      <c r="K984" s="6" t="s">
        <v>37</v>
      </c>
      <c r="L984" s="6" t="s">
        <v>38</v>
      </c>
      <c r="M984" s="6" t="s">
        <v>39</v>
      </c>
      <c r="N984" s="6">
        <v>3.23</v>
      </c>
      <c r="O984" s="4" t="str">
        <f t="shared" si="15"/>
        <v>Good</v>
      </c>
      <c r="P984" s="6">
        <v>145</v>
      </c>
    </row>
    <row r="985" spans="1:16" x14ac:dyDescent="0.3">
      <c r="A985" s="6" t="s">
        <v>2022</v>
      </c>
      <c r="B985" s="6">
        <v>30</v>
      </c>
      <c r="C985" s="6" t="s">
        <v>16</v>
      </c>
      <c r="D985" s="6" t="s">
        <v>55</v>
      </c>
      <c r="E985" s="6" t="s">
        <v>27</v>
      </c>
      <c r="F985" s="6">
        <v>1984</v>
      </c>
      <c r="G985" s="6">
        <v>94047.25</v>
      </c>
      <c r="H985" s="7">
        <v>37197</v>
      </c>
      <c r="I985" s="6" t="s">
        <v>41</v>
      </c>
      <c r="J985" s="6" t="s">
        <v>2023</v>
      </c>
      <c r="K985" s="6" t="s">
        <v>43</v>
      </c>
      <c r="L985" s="6" t="s">
        <v>44</v>
      </c>
      <c r="M985" s="6" t="s">
        <v>45</v>
      </c>
      <c r="N985" s="6">
        <v>2.78</v>
      </c>
      <c r="O985" s="4" t="str">
        <f t="shared" si="15"/>
        <v>Average</v>
      </c>
      <c r="P985" s="6">
        <v>144</v>
      </c>
    </row>
    <row r="986" spans="1:16" x14ac:dyDescent="0.3">
      <c r="A986" s="6" t="s">
        <v>2024</v>
      </c>
      <c r="B986" s="6">
        <v>40</v>
      </c>
      <c r="C986" s="6" t="s">
        <v>25</v>
      </c>
      <c r="D986" s="6" t="s">
        <v>55</v>
      </c>
      <c r="E986" s="6" t="s">
        <v>18</v>
      </c>
      <c r="F986" s="6">
        <v>1985</v>
      </c>
      <c r="G986" s="6">
        <v>158473.84</v>
      </c>
      <c r="H986" s="7">
        <v>37123</v>
      </c>
      <c r="I986" s="6" t="s">
        <v>49</v>
      </c>
      <c r="J986" s="6" t="s">
        <v>2025</v>
      </c>
      <c r="K986" s="6" t="s">
        <v>51</v>
      </c>
      <c r="L986" s="6" t="s">
        <v>52</v>
      </c>
      <c r="M986" s="6" t="s">
        <v>53</v>
      </c>
      <c r="N986" s="6">
        <v>2.52</v>
      </c>
      <c r="O986" s="4" t="str">
        <f t="shared" si="15"/>
        <v>Average</v>
      </c>
      <c r="P986" s="6">
        <v>176</v>
      </c>
    </row>
    <row r="987" spans="1:16" x14ac:dyDescent="0.3">
      <c r="A987" s="6" t="s">
        <v>2026</v>
      </c>
      <c r="B987" s="6">
        <v>33</v>
      </c>
      <c r="C987" s="6" t="s">
        <v>25</v>
      </c>
      <c r="D987" s="6" t="s">
        <v>55</v>
      </c>
      <c r="E987" s="6" t="s">
        <v>27</v>
      </c>
      <c r="F987" s="6">
        <v>1986</v>
      </c>
      <c r="G987" s="6">
        <v>83666.149999999994</v>
      </c>
      <c r="H987" s="7">
        <v>38205</v>
      </c>
      <c r="I987" s="6" t="s">
        <v>56</v>
      </c>
      <c r="J987" s="6" t="s">
        <v>2027</v>
      </c>
      <c r="K987" s="6" t="s">
        <v>21</v>
      </c>
      <c r="L987" s="6" t="s">
        <v>22</v>
      </c>
      <c r="M987" s="6" t="s">
        <v>23</v>
      </c>
      <c r="N987" s="6">
        <v>2.09</v>
      </c>
      <c r="O987" s="4" t="str">
        <f t="shared" si="15"/>
        <v>Average</v>
      </c>
      <c r="P987" s="6">
        <v>159</v>
      </c>
    </row>
    <row r="988" spans="1:16" x14ac:dyDescent="0.3">
      <c r="A988" s="6" t="s">
        <v>2028</v>
      </c>
      <c r="B988" s="6">
        <v>50</v>
      </c>
      <c r="C988" s="6" t="s">
        <v>25</v>
      </c>
      <c r="D988" s="6" t="s">
        <v>17</v>
      </c>
      <c r="E988" s="6" t="s">
        <v>18</v>
      </c>
      <c r="F988" s="6">
        <v>1987</v>
      </c>
      <c r="G988" s="6">
        <v>195959.86</v>
      </c>
      <c r="H988" s="7">
        <v>39207</v>
      </c>
      <c r="I988" s="6" t="s">
        <v>63</v>
      </c>
      <c r="J988" s="6" t="s">
        <v>2029</v>
      </c>
      <c r="K988" s="6" t="s">
        <v>30</v>
      </c>
      <c r="L988" s="6" t="s">
        <v>31</v>
      </c>
      <c r="M988" s="6" t="s">
        <v>32</v>
      </c>
      <c r="N988" s="6">
        <v>4.0199999999999996</v>
      </c>
      <c r="O988" s="4" t="str">
        <f t="shared" si="15"/>
        <v>Excellent</v>
      </c>
      <c r="P988" s="6">
        <v>1</v>
      </c>
    </row>
    <row r="989" spans="1:16" x14ac:dyDescent="0.3">
      <c r="A989" s="6" t="s">
        <v>2030</v>
      </c>
      <c r="B989" s="6">
        <v>39</v>
      </c>
      <c r="C989" s="6" t="s">
        <v>25</v>
      </c>
      <c r="D989" s="6" t="s">
        <v>69</v>
      </c>
      <c r="E989" s="6" t="s">
        <v>27</v>
      </c>
      <c r="F989" s="6">
        <v>1988</v>
      </c>
      <c r="G989" s="6">
        <v>116615.3</v>
      </c>
      <c r="H989" s="7">
        <v>41029</v>
      </c>
      <c r="I989" s="6" t="s">
        <v>66</v>
      </c>
      <c r="J989" s="6" t="s">
        <v>2031</v>
      </c>
      <c r="K989" s="6" t="s">
        <v>37</v>
      </c>
      <c r="L989" s="6" t="s">
        <v>38</v>
      </c>
      <c r="M989" s="6" t="s">
        <v>39</v>
      </c>
      <c r="N989" s="6">
        <v>3.58</v>
      </c>
      <c r="O989" s="4" t="str">
        <f t="shared" si="15"/>
        <v>Good</v>
      </c>
      <c r="P989" s="6">
        <v>171</v>
      </c>
    </row>
    <row r="990" spans="1:16" x14ac:dyDescent="0.3">
      <c r="A990" s="6" t="s">
        <v>2032</v>
      </c>
      <c r="B990" s="6">
        <v>37</v>
      </c>
      <c r="C990" s="6" t="s">
        <v>25</v>
      </c>
      <c r="D990" s="6" t="s">
        <v>69</v>
      </c>
      <c r="E990" s="6" t="s">
        <v>27</v>
      </c>
      <c r="F990" s="6">
        <v>1989</v>
      </c>
      <c r="G990" s="6">
        <v>151533.74</v>
      </c>
      <c r="H990" s="7">
        <v>42997</v>
      </c>
      <c r="I990" s="6" t="s">
        <v>70</v>
      </c>
      <c r="J990" s="6" t="s">
        <v>2033</v>
      </c>
      <c r="K990" s="6" t="s">
        <v>43</v>
      </c>
      <c r="L990" s="6" t="s">
        <v>44</v>
      </c>
      <c r="M990" s="6" t="s">
        <v>45</v>
      </c>
      <c r="N990" s="6">
        <v>3.33</v>
      </c>
      <c r="O990" s="4" t="str">
        <f t="shared" si="15"/>
        <v>Good</v>
      </c>
      <c r="P990" s="6">
        <v>124</v>
      </c>
    </row>
    <row r="991" spans="1:16" x14ac:dyDescent="0.3">
      <c r="A991" s="6" t="s">
        <v>2034</v>
      </c>
      <c r="B991" s="6">
        <v>25</v>
      </c>
      <c r="C991" s="6" t="s">
        <v>16</v>
      </c>
      <c r="D991" s="6" t="s">
        <v>55</v>
      </c>
      <c r="E991" s="6" t="s">
        <v>18</v>
      </c>
      <c r="F991" s="6">
        <v>1990</v>
      </c>
      <c r="G991" s="6">
        <v>126087.4</v>
      </c>
      <c r="H991" s="7">
        <v>38932</v>
      </c>
      <c r="I991" s="6" t="s">
        <v>73</v>
      </c>
      <c r="J991" s="6" t="s">
        <v>2035</v>
      </c>
      <c r="K991" s="6" t="s">
        <v>51</v>
      </c>
      <c r="L991" s="6" t="s">
        <v>52</v>
      </c>
      <c r="M991" s="6" t="s">
        <v>53</v>
      </c>
      <c r="N991" s="6">
        <v>4.04</v>
      </c>
      <c r="O991" s="4" t="str">
        <f t="shared" si="15"/>
        <v>Excellent</v>
      </c>
      <c r="P991" s="6">
        <v>17</v>
      </c>
    </row>
    <row r="992" spans="1:16" x14ac:dyDescent="0.3">
      <c r="A992" s="6" t="s">
        <v>2036</v>
      </c>
      <c r="B992" s="6">
        <v>64</v>
      </c>
      <c r="C992" s="6" t="s">
        <v>25</v>
      </c>
      <c r="D992" s="6" t="s">
        <v>17</v>
      </c>
      <c r="E992" s="6" t="s">
        <v>48</v>
      </c>
      <c r="F992" s="6">
        <v>1991</v>
      </c>
      <c r="G992" s="6">
        <v>62115.94</v>
      </c>
      <c r="H992" s="7">
        <v>43350</v>
      </c>
      <c r="I992" s="6" t="s">
        <v>19</v>
      </c>
      <c r="J992" s="6" t="s">
        <v>2037</v>
      </c>
      <c r="K992" s="6" t="s">
        <v>21</v>
      </c>
      <c r="L992" s="6" t="s">
        <v>22</v>
      </c>
      <c r="M992" s="6" t="s">
        <v>23</v>
      </c>
      <c r="N992" s="6">
        <v>1.26</v>
      </c>
      <c r="O992" s="4" t="str">
        <f t="shared" si="15"/>
        <v>Poor</v>
      </c>
      <c r="P992" s="6">
        <v>61</v>
      </c>
    </row>
    <row r="993" spans="1:16" x14ac:dyDescent="0.3">
      <c r="A993" s="6" t="s">
        <v>2038</v>
      </c>
      <c r="B993" s="6">
        <v>46</v>
      </c>
      <c r="C993" s="6" t="s">
        <v>16</v>
      </c>
      <c r="D993" s="6" t="s">
        <v>69</v>
      </c>
      <c r="E993" s="6" t="s">
        <v>18</v>
      </c>
      <c r="F993" s="6">
        <v>1992</v>
      </c>
      <c r="G993" s="6">
        <v>169548.08</v>
      </c>
      <c r="H993" s="7">
        <v>42409</v>
      </c>
      <c r="I993" s="6" t="s">
        <v>28</v>
      </c>
      <c r="J993" s="6" t="s">
        <v>2039</v>
      </c>
      <c r="K993" s="6" t="s">
        <v>30</v>
      </c>
      <c r="L993" s="6" t="s">
        <v>31</v>
      </c>
      <c r="M993" s="6" t="s">
        <v>32</v>
      </c>
      <c r="N993" s="6">
        <v>1.91</v>
      </c>
      <c r="O993" s="4" t="str">
        <f t="shared" si="15"/>
        <v>Poor</v>
      </c>
      <c r="P993" s="6">
        <v>106</v>
      </c>
    </row>
    <row r="994" spans="1:16" x14ac:dyDescent="0.3">
      <c r="A994" s="6" t="s">
        <v>2040</v>
      </c>
      <c r="B994" s="6">
        <v>43</v>
      </c>
      <c r="C994" s="6" t="s">
        <v>16</v>
      </c>
      <c r="D994" s="6" t="s">
        <v>17</v>
      </c>
      <c r="E994" s="6" t="s">
        <v>48</v>
      </c>
      <c r="F994" s="6">
        <v>1993</v>
      </c>
      <c r="G994" s="6">
        <v>86371.92</v>
      </c>
      <c r="H994" s="7">
        <v>42112</v>
      </c>
      <c r="I994" s="6" t="s">
        <v>35</v>
      </c>
      <c r="J994" s="6" t="s">
        <v>2041</v>
      </c>
      <c r="K994" s="6" t="s">
        <v>37</v>
      </c>
      <c r="L994" s="6" t="s">
        <v>38</v>
      </c>
      <c r="M994" s="6" t="s">
        <v>39</v>
      </c>
      <c r="N994" s="6">
        <v>2.82</v>
      </c>
      <c r="O994" s="4" t="str">
        <f t="shared" si="15"/>
        <v>Average</v>
      </c>
      <c r="P994" s="6">
        <v>128</v>
      </c>
    </row>
    <row r="995" spans="1:16" x14ac:dyDescent="0.3">
      <c r="A995" s="6" t="s">
        <v>2042</v>
      </c>
      <c r="B995" s="6">
        <v>50</v>
      </c>
      <c r="C995" s="6" t="s">
        <v>62</v>
      </c>
      <c r="D995" s="6" t="s">
        <v>55</v>
      </c>
      <c r="E995" s="6" t="s">
        <v>34</v>
      </c>
      <c r="F995" s="6">
        <v>1994</v>
      </c>
      <c r="G995" s="6">
        <v>91872.59</v>
      </c>
      <c r="H995" s="7">
        <v>42667</v>
      </c>
      <c r="I995" s="6" t="s">
        <v>41</v>
      </c>
      <c r="J995" s="6" t="s">
        <v>2043</v>
      </c>
      <c r="K995" s="6" t="s">
        <v>43</v>
      </c>
      <c r="L995" s="6" t="s">
        <v>44</v>
      </c>
      <c r="M995" s="6" t="s">
        <v>45</v>
      </c>
      <c r="N995" s="6">
        <v>3.1</v>
      </c>
      <c r="O995" s="4" t="str">
        <f t="shared" si="15"/>
        <v>Good</v>
      </c>
      <c r="P995" s="6">
        <v>175</v>
      </c>
    </row>
    <row r="996" spans="1:16" x14ac:dyDescent="0.3">
      <c r="A996" s="6" t="s">
        <v>2044</v>
      </c>
      <c r="B996" s="6">
        <v>43</v>
      </c>
      <c r="C996" s="6" t="s">
        <v>16</v>
      </c>
      <c r="D996" s="6" t="s">
        <v>55</v>
      </c>
      <c r="E996" s="6" t="s">
        <v>34</v>
      </c>
      <c r="F996" s="6">
        <v>1995</v>
      </c>
      <c r="G996" s="6">
        <v>54564.9</v>
      </c>
      <c r="H996" s="7">
        <v>42713</v>
      </c>
      <c r="I996" s="6" t="s">
        <v>49</v>
      </c>
      <c r="J996" s="6" t="s">
        <v>2045</v>
      </c>
      <c r="K996" s="6" t="s">
        <v>51</v>
      </c>
      <c r="L996" s="6" t="s">
        <v>52</v>
      </c>
      <c r="M996" s="6" t="s">
        <v>53</v>
      </c>
      <c r="N996" s="6">
        <v>3.2</v>
      </c>
      <c r="O996" s="4" t="str">
        <f t="shared" si="15"/>
        <v>Good</v>
      </c>
      <c r="P996" s="6">
        <v>193</v>
      </c>
    </row>
    <row r="997" spans="1:16" x14ac:dyDescent="0.3">
      <c r="A997" s="6" t="s">
        <v>2046</v>
      </c>
      <c r="B997" s="6">
        <v>36</v>
      </c>
      <c r="C997" s="6" t="s">
        <v>16</v>
      </c>
      <c r="D997" s="6" t="s">
        <v>47</v>
      </c>
      <c r="E997" s="6" t="s">
        <v>34</v>
      </c>
      <c r="F997" s="6">
        <v>1996</v>
      </c>
      <c r="G997" s="6">
        <v>133267.21</v>
      </c>
      <c r="H997" s="7">
        <v>41066</v>
      </c>
      <c r="I997" s="6" t="s">
        <v>56</v>
      </c>
      <c r="J997" s="6" t="s">
        <v>2047</v>
      </c>
      <c r="K997" s="6" t="s">
        <v>21</v>
      </c>
      <c r="L997" s="6" t="s">
        <v>22</v>
      </c>
      <c r="M997" s="6" t="s">
        <v>23</v>
      </c>
      <c r="N997" s="6">
        <v>3.05</v>
      </c>
      <c r="O997" s="4" t="str">
        <f t="shared" si="15"/>
        <v>Good</v>
      </c>
      <c r="P997" s="6">
        <v>118</v>
      </c>
    </row>
    <row r="998" spans="1:16" x14ac:dyDescent="0.3">
      <c r="A998" s="6" t="s">
        <v>2048</v>
      </c>
      <c r="B998" s="6">
        <v>23</v>
      </c>
      <c r="C998" s="6" t="s">
        <v>25</v>
      </c>
      <c r="D998" s="6" t="s">
        <v>55</v>
      </c>
      <c r="E998" s="6" t="s">
        <v>34</v>
      </c>
      <c r="F998" s="6">
        <v>1997</v>
      </c>
      <c r="G998" s="6">
        <v>130638.55</v>
      </c>
      <c r="H998" s="7">
        <v>40787</v>
      </c>
      <c r="I998" s="6" t="s">
        <v>63</v>
      </c>
      <c r="J998" s="6" t="s">
        <v>2049</v>
      </c>
      <c r="K998" s="6" t="s">
        <v>30</v>
      </c>
      <c r="L998" s="6" t="s">
        <v>31</v>
      </c>
      <c r="M998" s="6" t="s">
        <v>32</v>
      </c>
      <c r="N998" s="6">
        <v>2.5099999999999998</v>
      </c>
      <c r="O998" s="4" t="str">
        <f t="shared" si="15"/>
        <v>Average</v>
      </c>
      <c r="P998" s="6">
        <v>107</v>
      </c>
    </row>
    <row r="999" spans="1:16" x14ac:dyDescent="0.3">
      <c r="A999" s="6" t="s">
        <v>2050</v>
      </c>
      <c r="B999" s="6">
        <v>34</v>
      </c>
      <c r="C999" s="6" t="s">
        <v>16</v>
      </c>
      <c r="D999" s="6" t="s">
        <v>17</v>
      </c>
      <c r="E999" s="6" t="s">
        <v>80</v>
      </c>
      <c r="F999" s="6">
        <v>1998</v>
      </c>
      <c r="G999" s="6">
        <v>77610.61</v>
      </c>
      <c r="H999" s="7">
        <v>44814</v>
      </c>
      <c r="I999" s="6" t="s">
        <v>66</v>
      </c>
      <c r="J999" s="6" t="s">
        <v>2051</v>
      </c>
      <c r="K999" s="6" t="s">
        <v>37</v>
      </c>
      <c r="L999" s="6" t="s">
        <v>38</v>
      </c>
      <c r="M999" s="6" t="s">
        <v>39</v>
      </c>
      <c r="N999" s="6">
        <v>1.1599999999999999</v>
      </c>
      <c r="O999" s="4" t="str">
        <f t="shared" si="15"/>
        <v>Poor</v>
      </c>
      <c r="P999" s="6">
        <v>111</v>
      </c>
    </row>
    <row r="1000" spans="1:16" x14ac:dyDescent="0.3">
      <c r="A1000" s="6" t="s">
        <v>2052</v>
      </c>
      <c r="B1000" s="6">
        <v>33</v>
      </c>
      <c r="C1000" s="6" t="s">
        <v>25</v>
      </c>
      <c r="D1000" s="6" t="s">
        <v>55</v>
      </c>
      <c r="E1000" s="6" t="s">
        <v>80</v>
      </c>
      <c r="F1000" s="6">
        <v>1999</v>
      </c>
      <c r="G1000" s="6">
        <v>158592.57</v>
      </c>
      <c r="H1000" s="7">
        <v>44111</v>
      </c>
      <c r="I1000" s="6" t="s">
        <v>70</v>
      </c>
      <c r="J1000" s="6" t="s">
        <v>2053</v>
      </c>
      <c r="K1000" s="6" t="s">
        <v>43</v>
      </c>
      <c r="L1000" s="6" t="s">
        <v>44</v>
      </c>
      <c r="M1000" s="6" t="s">
        <v>45</v>
      </c>
      <c r="N1000" s="6">
        <v>4.47</v>
      </c>
      <c r="O1000" s="4" t="str">
        <f t="shared" si="15"/>
        <v>Excellent</v>
      </c>
      <c r="P1000" s="6">
        <v>1</v>
      </c>
    </row>
    <row r="1001" spans="1:16" x14ac:dyDescent="0.3">
      <c r="A1001" s="6" t="s">
        <v>2054</v>
      </c>
      <c r="B1001" s="6">
        <v>47</v>
      </c>
      <c r="C1001" s="6" t="s">
        <v>16</v>
      </c>
      <c r="D1001" s="6" t="s">
        <v>26</v>
      </c>
      <c r="E1001" s="6" t="s">
        <v>18</v>
      </c>
      <c r="F1001" s="6">
        <v>2000</v>
      </c>
      <c r="G1001" s="6">
        <v>56975.31</v>
      </c>
      <c r="H1001" s="7">
        <v>42509</v>
      </c>
      <c r="I1001" s="6" t="s">
        <v>73</v>
      </c>
      <c r="J1001" s="6" t="s">
        <v>2055</v>
      </c>
      <c r="K1001" s="6" t="s">
        <v>51</v>
      </c>
      <c r="L1001" s="6" t="s">
        <v>52</v>
      </c>
      <c r="M1001" s="6" t="s">
        <v>53</v>
      </c>
      <c r="N1001" s="6">
        <v>2.39</v>
      </c>
      <c r="O1001" s="4" t="str">
        <f t="shared" si="15"/>
        <v>Average</v>
      </c>
      <c r="P1001" s="6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8D20-2BD3-4E6B-AFC9-6DAA1A0A0711}">
  <dimension ref="A2:O1004"/>
  <sheetViews>
    <sheetView workbookViewId="0">
      <selection activeCell="M5" sqref="M5"/>
    </sheetView>
  </sheetViews>
  <sheetFormatPr defaultRowHeight="14.4" x14ac:dyDescent="0.3"/>
  <cols>
    <col min="1" max="1" width="10.5546875" bestFit="1" customWidth="1"/>
    <col min="3" max="3" width="11.44140625" customWidth="1"/>
    <col min="4" max="4" width="19.88671875" customWidth="1"/>
    <col min="5" max="5" width="14.33203125" bestFit="1" customWidth="1"/>
    <col min="6" max="6" width="9.109375" customWidth="1"/>
    <col min="9" max="9" width="19.44140625" bestFit="1" customWidth="1"/>
    <col min="12" max="12" width="23.33203125" bestFit="1" customWidth="1"/>
    <col min="14" max="14" width="6.77734375" bestFit="1" customWidth="1"/>
    <col min="15" max="15" width="19.44140625" bestFit="1" customWidth="1"/>
  </cols>
  <sheetData>
    <row r="2" spans="1:15" ht="18" x14ac:dyDescent="0.35">
      <c r="B2" s="17" t="s">
        <v>2061</v>
      </c>
      <c r="E2" s="17" t="s">
        <v>2062</v>
      </c>
      <c r="F2" s="15"/>
      <c r="L2" s="16" t="s">
        <v>2063</v>
      </c>
    </row>
    <row r="3" spans="1:15" ht="15" thickBot="1" x14ac:dyDescent="0.35"/>
    <row r="4" spans="1:15" ht="16.2" thickBot="1" x14ac:dyDescent="0.35">
      <c r="A4" s="1" t="s">
        <v>0</v>
      </c>
      <c r="B4" s="2" t="s">
        <v>1</v>
      </c>
      <c r="C4" s="2" t="s">
        <v>2</v>
      </c>
      <c r="E4" s="1" t="s">
        <v>0</v>
      </c>
      <c r="F4" s="2" t="s">
        <v>1</v>
      </c>
      <c r="G4" s="2" t="s">
        <v>2</v>
      </c>
      <c r="H4" s="2" t="s">
        <v>12</v>
      </c>
      <c r="I4" s="2" t="s">
        <v>13</v>
      </c>
      <c r="L4" s="1" t="s">
        <v>0</v>
      </c>
      <c r="M4" s="2" t="s">
        <v>2</v>
      </c>
      <c r="N4" s="2" t="s">
        <v>6</v>
      </c>
      <c r="O4" s="2" t="s">
        <v>13</v>
      </c>
    </row>
    <row r="5" spans="1:15" x14ac:dyDescent="0.3">
      <c r="A5" s="4" t="s">
        <v>15</v>
      </c>
      <c r="B5" cm="1">
        <f t="array" ref="B5:C5">_xlfn.XLOOKUP(A5,'Main Data'!A2:A1001,'Main Data'!B2:C1001,"Data Not Found",0)</f>
        <v>22</v>
      </c>
      <c r="C5" t="str">
        <v>Female</v>
      </c>
      <c r="E5" s="4" t="s">
        <v>15</v>
      </c>
      <c r="F5" cm="1">
        <f t="array" ref="F5:I5">VLOOKUP(E5,CHOOSE({1,2,3,4,5},'Main Data'!A2:A1001,'Main Data'!B2:B1001,'Main Data'!C2:C1001,'Main Data'!M2:M1001,'Main Data'!N2:N1001),{2,3,4,5},0)</f>
        <v>22</v>
      </c>
      <c r="G5" t="str">
        <v>Female</v>
      </c>
      <c r="H5" t="str">
        <v>USA</v>
      </c>
      <c r="I5">
        <v>2.94</v>
      </c>
      <c r="L5" s="4" t="s">
        <v>15</v>
      </c>
      <c r="M5" t="str" cm="1">
        <f t="array" ref="M5:O5">INDEX('Main Data'!A2:O1001,MATCH(L5,'Main Data'!A2:A1001,0),{3,7,14})</f>
        <v>Female</v>
      </c>
      <c r="N5">
        <v>186978.16</v>
      </c>
      <c r="O5">
        <v>2.94</v>
      </c>
    </row>
    <row r="6" spans="1:15" x14ac:dyDescent="0.3">
      <c r="A6" s="6" t="s">
        <v>24</v>
      </c>
      <c r="B6" cm="1">
        <f t="array" ref="B6:C6">_xlfn.XLOOKUP(A6,'Main Data'!A3:A1002,'Main Data'!B3:C1002,"Data Not Found",0)</f>
        <v>25</v>
      </c>
      <c r="C6" t="str">
        <v>Other</v>
      </c>
      <c r="E6" s="6" t="s">
        <v>24</v>
      </c>
      <c r="F6" cm="1">
        <f t="array" ref="F6:I6">VLOOKUP(E6,CHOOSE({1,2,3,4,5},'Main Data'!A3:A1002,'Main Data'!B3:B1002,'Main Data'!C3:C1002,'Main Data'!M3:M1002,'Main Data'!N3:N1002),{2,3,4,5},0)</f>
        <v>25</v>
      </c>
      <c r="G6" t="str">
        <v>Other</v>
      </c>
      <c r="H6" t="str">
        <v>France</v>
      </c>
      <c r="I6">
        <v>3.75</v>
      </c>
      <c r="L6" s="6" t="s">
        <v>24</v>
      </c>
      <c r="M6" t="str" cm="1">
        <f t="array" ref="M6:O6">INDEX('Main Data'!A3:O1002,MATCH(L6,'Main Data'!A3:A1002,0),{3,7,14})</f>
        <v>Other</v>
      </c>
      <c r="N6">
        <v>180610.63</v>
      </c>
      <c r="O6">
        <v>3.75</v>
      </c>
    </row>
    <row r="7" spans="1:15" x14ac:dyDescent="0.3">
      <c r="A7" s="6" t="s">
        <v>33</v>
      </c>
      <c r="B7" cm="1">
        <f t="array" ref="B7:C7">_xlfn.XLOOKUP(A7,'Main Data'!A4:A1003,'Main Data'!B4:C1003,"Data Not Found",0)</f>
        <v>25</v>
      </c>
      <c r="C7" t="str">
        <v>Other</v>
      </c>
      <c r="E7" s="6" t="s">
        <v>33</v>
      </c>
      <c r="F7" cm="1">
        <f t="array" ref="F7:I7">VLOOKUP(E7,CHOOSE({1,2,3,4,5},'Main Data'!A4:A1003,'Main Data'!B4:B1003,'Main Data'!C4:C1003,'Main Data'!M4:M1003,'Main Data'!N4:N1003),{2,3,4,5},0)</f>
        <v>25</v>
      </c>
      <c r="G7" t="str">
        <v>Other</v>
      </c>
      <c r="H7" t="str">
        <v>UK</v>
      </c>
      <c r="I7">
        <v>3.93</v>
      </c>
      <c r="L7" s="6" t="s">
        <v>33</v>
      </c>
      <c r="M7" t="str" cm="1">
        <f t="array" ref="M7:O7">INDEX('Main Data'!A4:O1003,MATCH(L7,'Main Data'!A4:A1003,0),{3,7,14})</f>
        <v>Other</v>
      </c>
      <c r="N7">
        <v>85152.37</v>
      </c>
      <c r="O7">
        <v>3.93</v>
      </c>
    </row>
    <row r="8" spans="1:15" x14ac:dyDescent="0.3">
      <c r="A8" s="6" t="s">
        <v>40</v>
      </c>
      <c r="B8" cm="1">
        <f t="array" ref="B8:C8">_xlfn.XLOOKUP(A8,'Main Data'!A5:A1004,'Main Data'!B5:C1004,"Data Not Found",0)</f>
        <v>61</v>
      </c>
      <c r="C8" t="str">
        <v>Other</v>
      </c>
      <c r="E8" s="6" t="s">
        <v>40</v>
      </c>
      <c r="F8" cm="1">
        <f t="array" ref="F8:I8">VLOOKUP(E8,CHOOSE({1,2,3,4,5},'Main Data'!A5:A1004,'Main Data'!B5:B1004,'Main Data'!C5:C1004,'Main Data'!M5:M1004,'Main Data'!N5:N1004),{2,3,4,5},0)</f>
        <v>61</v>
      </c>
      <c r="G8" t="str">
        <v>Other</v>
      </c>
      <c r="H8" t="str">
        <v>UAE</v>
      </c>
      <c r="I8">
        <v>4.38</v>
      </c>
      <c r="L8" s="6" t="s">
        <v>40</v>
      </c>
      <c r="M8" t="str" cm="1">
        <f t="array" ref="M8:O8">INDEX('Main Data'!A5:O1004,MATCH(L8,'Main Data'!A5:A1004,0),{3,7,14})</f>
        <v>Other</v>
      </c>
      <c r="N8">
        <v>68024.81</v>
      </c>
      <c r="O8">
        <v>4.38</v>
      </c>
    </row>
    <row r="9" spans="1:15" x14ac:dyDescent="0.3">
      <c r="A9" s="6" t="s">
        <v>46</v>
      </c>
      <c r="B9" cm="1">
        <f t="array" ref="B9:C9">_xlfn.XLOOKUP(A9,'Main Data'!A6:A1005,'Main Data'!B6:C1005,"Data Not Found",0)</f>
        <v>31</v>
      </c>
      <c r="C9" t="str">
        <v>Other</v>
      </c>
      <c r="E9" s="6" t="s">
        <v>46</v>
      </c>
      <c r="F9" cm="1">
        <f t="array" ref="F9:I9">VLOOKUP(E9,CHOOSE({1,2,3,4,5},'Main Data'!A6:A1005,'Main Data'!B6:B1005,'Main Data'!C6:C1005,'Main Data'!M6:M1005,'Main Data'!N6:N1005),{2,3,4,5},0)</f>
        <v>31</v>
      </c>
      <c r="G9" t="str">
        <v>Other</v>
      </c>
      <c r="H9" t="str">
        <v>Japan</v>
      </c>
      <c r="I9">
        <v>2.77</v>
      </c>
      <c r="L9" s="6" t="s">
        <v>46</v>
      </c>
      <c r="M9" t="str" cm="1">
        <f t="array" ref="M9:O9">INDEX('Main Data'!A6:O1005,MATCH(L9,'Main Data'!A6:A1005,0),{3,7,14})</f>
        <v>Other</v>
      </c>
      <c r="N9">
        <v>130122.92</v>
      </c>
      <c r="O9">
        <v>2.77</v>
      </c>
    </row>
    <row r="10" spans="1:15" x14ac:dyDescent="0.3">
      <c r="A10" s="6" t="s">
        <v>54</v>
      </c>
      <c r="B10" cm="1">
        <f t="array" ref="B10:C10">_xlfn.XLOOKUP(A10,'Main Data'!A7:A1006,'Main Data'!B7:C1006,"Data Not Found",0)</f>
        <v>41</v>
      </c>
      <c r="C10" t="str">
        <v>Female</v>
      </c>
      <c r="E10" s="6" t="s">
        <v>54</v>
      </c>
      <c r="F10" cm="1">
        <f t="array" ref="F10:I10">VLOOKUP(E10,CHOOSE({1,2,3,4,5},'Main Data'!A7:A1006,'Main Data'!B7:B1006,'Main Data'!C7:C1006,'Main Data'!M7:M1006,'Main Data'!N7:N1006),{2,3,4,5},0)</f>
        <v>41</v>
      </c>
      <c r="G10" t="str">
        <v>Female</v>
      </c>
      <c r="H10" t="str">
        <v>Australia</v>
      </c>
      <c r="I10">
        <v>1.34</v>
      </c>
      <c r="L10" s="6" t="s">
        <v>54</v>
      </c>
      <c r="M10" t="str" cm="1">
        <f t="array" ref="M10:O10">INDEX('Main Data'!A7:O1006,MATCH(L10,'Main Data'!A7:A1006,0),{3,7,14})</f>
        <v>Female</v>
      </c>
      <c r="N10">
        <v>128330.48</v>
      </c>
      <c r="O10">
        <v>1.34</v>
      </c>
    </row>
    <row r="11" spans="1:15" x14ac:dyDescent="0.3">
      <c r="A11" s="6" t="s">
        <v>61</v>
      </c>
      <c r="B11" cm="1">
        <f t="array" ref="B11:C11">_xlfn.XLOOKUP(A11,'Main Data'!A8:A1007,'Main Data'!B8:C1007,"Data Not Found",0)</f>
        <v>43</v>
      </c>
      <c r="C11" t="str">
        <v>Male</v>
      </c>
      <c r="E11" s="6" t="s">
        <v>61</v>
      </c>
      <c r="F11" cm="1">
        <f t="array" ref="F11:I11">VLOOKUP(E11,CHOOSE({1,2,3,4,5},'Main Data'!A8:A1007,'Main Data'!B8:B1007,'Main Data'!C8:C1007,'Main Data'!M8:M1007,'Main Data'!N8:N1007),{2,3,4,5},0)</f>
        <v>43</v>
      </c>
      <c r="G11" t="str">
        <v>Male</v>
      </c>
      <c r="H11" t="str">
        <v>USA</v>
      </c>
      <c r="I11">
        <v>4.3600000000000003</v>
      </c>
      <c r="L11" s="6" t="s">
        <v>61</v>
      </c>
      <c r="M11" t="str" cm="1">
        <f t="array" ref="M11:O11">INDEX('Main Data'!A8:O1007,MATCH(L11,'Main Data'!A8:A1007,0),{3,7,14})</f>
        <v>Male</v>
      </c>
      <c r="N11">
        <v>119762.64</v>
      </c>
      <c r="O11">
        <v>4.3600000000000003</v>
      </c>
    </row>
    <row r="12" spans="1:15" x14ac:dyDescent="0.3">
      <c r="A12" s="6" t="s">
        <v>65</v>
      </c>
      <c r="B12" cm="1">
        <f t="array" ref="B12:C12">_xlfn.XLOOKUP(A12,'Main Data'!A9:A1008,'Main Data'!B9:C1008,"Data Not Found",0)</f>
        <v>58</v>
      </c>
      <c r="C12" t="str">
        <v>Other</v>
      </c>
      <c r="E12" s="6" t="s">
        <v>65</v>
      </c>
      <c r="F12" cm="1">
        <f t="array" ref="F12:I12">VLOOKUP(E12,CHOOSE({1,2,3,4,5},'Main Data'!A9:A1008,'Main Data'!B9:B1008,'Main Data'!C9:C1008,'Main Data'!M9:M1008,'Main Data'!N9:N1008),{2,3,4,5},0)</f>
        <v>58</v>
      </c>
      <c r="G12" t="str">
        <v>Other</v>
      </c>
      <c r="H12" t="str">
        <v>France</v>
      </c>
      <c r="I12">
        <v>4.99</v>
      </c>
      <c r="L12" s="6" t="s">
        <v>65</v>
      </c>
      <c r="M12" t="str" cm="1">
        <f t="array" ref="M12:O12">INDEX('Main Data'!A9:O1008,MATCH(L12,'Main Data'!A9:A1008,0),{3,7,14})</f>
        <v>Other</v>
      </c>
      <c r="N12">
        <v>126188.66</v>
      </c>
      <c r="O12">
        <v>4.99</v>
      </c>
    </row>
    <row r="13" spans="1:15" x14ac:dyDescent="0.3">
      <c r="A13" s="6" t="s">
        <v>68</v>
      </c>
      <c r="B13" cm="1">
        <f t="array" ref="B13:C13">_xlfn.XLOOKUP(A13,'Main Data'!A10:A1009,'Main Data'!B10:C1009,"Data Not Found",0)</f>
        <v>45</v>
      </c>
      <c r="C13" t="str">
        <v>Male</v>
      </c>
      <c r="E13" s="6" t="s">
        <v>68</v>
      </c>
      <c r="F13" cm="1">
        <f t="array" ref="F13:I13">VLOOKUP(E13,CHOOSE({1,2,3,4,5},'Main Data'!A10:A1009,'Main Data'!B10:B1009,'Main Data'!C10:C1009,'Main Data'!M10:M1009,'Main Data'!N10:N1009),{2,3,4,5},0)</f>
        <v>45</v>
      </c>
      <c r="G13" t="str">
        <v>Male</v>
      </c>
      <c r="H13" t="str">
        <v>UK</v>
      </c>
      <c r="I13">
        <v>2.91</v>
      </c>
      <c r="L13" s="6" t="s">
        <v>68</v>
      </c>
      <c r="M13" t="str" cm="1">
        <f t="array" ref="M13:O13">INDEX('Main Data'!A10:O1009,MATCH(L13,'Main Data'!A10:A1009,0),{3,7,14})</f>
        <v>Male</v>
      </c>
      <c r="N13">
        <v>140463.31</v>
      </c>
      <c r="O13">
        <v>2.91</v>
      </c>
    </row>
    <row r="14" spans="1:15" x14ac:dyDescent="0.3">
      <c r="A14" s="6" t="s">
        <v>72</v>
      </c>
      <c r="B14" cm="1">
        <f t="array" ref="B14:C14">_xlfn.XLOOKUP(A14,'Main Data'!A11:A1010,'Main Data'!B11:C1010,"Data Not Found",0)</f>
        <v>28</v>
      </c>
      <c r="C14" t="str">
        <v>Other</v>
      </c>
      <c r="E14" s="6" t="s">
        <v>72</v>
      </c>
      <c r="F14" cm="1">
        <f t="array" ref="F14:I14">VLOOKUP(E14,CHOOSE({1,2,3,4,5},'Main Data'!A11:A1010,'Main Data'!B11:B1010,'Main Data'!C11:C1010,'Main Data'!M11:M1010,'Main Data'!N11:N1010),{2,3,4,5},0)</f>
        <v>28</v>
      </c>
      <c r="G14" t="str">
        <v>Other</v>
      </c>
      <c r="H14" t="str">
        <v>UAE</v>
      </c>
      <c r="I14">
        <v>3.14</v>
      </c>
      <c r="L14" s="6" t="s">
        <v>72</v>
      </c>
      <c r="M14" t="str" cm="1">
        <f t="array" ref="M14:O14">INDEX('Main Data'!A11:O1010,MATCH(L14,'Main Data'!A11:A1010,0),{3,7,14})</f>
        <v>Other</v>
      </c>
      <c r="N14">
        <v>192474.29</v>
      </c>
      <c r="O14">
        <v>3.14</v>
      </c>
    </row>
    <row r="15" spans="1:15" x14ac:dyDescent="0.3">
      <c r="A15" s="6" t="s">
        <v>75</v>
      </c>
      <c r="B15" cm="1">
        <f t="array" ref="B15:C15">_xlfn.XLOOKUP(A15,'Main Data'!A12:A1011,'Main Data'!B12:C1011,"Data Not Found",0)</f>
        <v>46</v>
      </c>
      <c r="C15" t="str">
        <v>Other</v>
      </c>
      <c r="E15" s="6" t="s">
        <v>75</v>
      </c>
      <c r="F15" cm="1">
        <f t="array" ref="F15:I15">VLOOKUP(E15,CHOOSE({1,2,3,4,5},'Main Data'!A12:A1011,'Main Data'!B12:B1011,'Main Data'!C12:C1011,'Main Data'!M12:M1011,'Main Data'!N12:N1011),{2,3,4,5},0)</f>
        <v>46</v>
      </c>
      <c r="G15" t="str">
        <v>Other</v>
      </c>
      <c r="H15" t="str">
        <v>Japan</v>
      </c>
      <c r="I15">
        <v>4.5199999999999996</v>
      </c>
      <c r="L15" s="6" t="s">
        <v>75</v>
      </c>
      <c r="M15" t="str" cm="1">
        <f t="array" ref="M15:O15">INDEX('Main Data'!A12:O1011,MATCH(L15,'Main Data'!A12:A1011,0),{3,7,14})</f>
        <v>Other</v>
      </c>
      <c r="N15">
        <v>186296.33</v>
      </c>
      <c r="O15">
        <v>4.5199999999999996</v>
      </c>
    </row>
    <row r="16" spans="1:15" x14ac:dyDescent="0.3">
      <c r="A16" s="6" t="s">
        <v>77</v>
      </c>
      <c r="B16" cm="1">
        <f t="array" ref="B16:C16">_xlfn.XLOOKUP(A16,'Main Data'!A13:A1012,'Main Data'!B13:C1012,"Data Not Found",0)</f>
        <v>46</v>
      </c>
      <c r="C16" t="str">
        <v>Other</v>
      </c>
      <c r="E16" s="6" t="s">
        <v>77</v>
      </c>
      <c r="F16" cm="1">
        <f t="array" ref="F16:I16">VLOOKUP(E16,CHOOSE({1,2,3,4,5},'Main Data'!A13:A1012,'Main Data'!B13:B1012,'Main Data'!C13:C1012,'Main Data'!M13:M1012,'Main Data'!N13:N1012),{2,3,4,5},0)</f>
        <v>46</v>
      </c>
      <c r="G16" t="str">
        <v>Other</v>
      </c>
      <c r="H16" t="str">
        <v>Australia</v>
      </c>
      <c r="I16">
        <v>4.82</v>
      </c>
      <c r="L16" s="6" t="s">
        <v>77</v>
      </c>
      <c r="M16" t="str" cm="1">
        <f t="array" ref="M16:O16">INDEX('Main Data'!A13:O1012,MATCH(L16,'Main Data'!A13:A1012,0),{3,7,14})</f>
        <v>Other</v>
      </c>
      <c r="N16">
        <v>155436.01999999999</v>
      </c>
      <c r="O16">
        <v>4.82</v>
      </c>
    </row>
    <row r="17" spans="1:15" x14ac:dyDescent="0.3">
      <c r="A17" s="6" t="s">
        <v>79</v>
      </c>
      <c r="B17" cm="1">
        <f t="array" ref="B17:C17">_xlfn.XLOOKUP(A17,'Main Data'!A14:A1013,'Main Data'!B14:C1013,"Data Not Found",0)</f>
        <v>34</v>
      </c>
      <c r="C17" t="str">
        <v>Male</v>
      </c>
      <c r="E17" s="6" t="s">
        <v>79</v>
      </c>
      <c r="F17" cm="1">
        <f t="array" ref="F17:I17">VLOOKUP(E17,CHOOSE({1,2,3,4,5},'Main Data'!A14:A1013,'Main Data'!B14:B1013,'Main Data'!C14:C1013,'Main Data'!M14:M1013,'Main Data'!N14:N1013),{2,3,4,5},0)</f>
        <v>34</v>
      </c>
      <c r="G17" t="str">
        <v>Male</v>
      </c>
      <c r="H17" t="str">
        <v>USA</v>
      </c>
      <c r="I17">
        <v>2.02</v>
      </c>
      <c r="L17" s="6" t="s">
        <v>79</v>
      </c>
      <c r="M17" t="str" cm="1">
        <f t="array" ref="M17:O17">INDEX('Main Data'!A14:O1013,MATCH(L17,'Main Data'!A14:A1013,0),{3,7,14})</f>
        <v>Male</v>
      </c>
      <c r="N17">
        <v>185303.25</v>
      </c>
      <c r="O17">
        <v>2.02</v>
      </c>
    </row>
    <row r="18" spans="1:15" x14ac:dyDescent="0.3">
      <c r="A18" s="6" t="s">
        <v>82</v>
      </c>
      <c r="B18" cm="1">
        <f t="array" ref="B18:C18">_xlfn.XLOOKUP(A18,'Main Data'!A15:A1014,'Main Data'!B15:C1014,"Data Not Found",0)</f>
        <v>23</v>
      </c>
      <c r="C18" t="str">
        <v>Male</v>
      </c>
      <c r="E18" s="6" t="s">
        <v>82</v>
      </c>
      <c r="F18" cm="1">
        <f t="array" ref="F18:I18">VLOOKUP(E18,CHOOSE({1,2,3,4,5},'Main Data'!A15:A1014,'Main Data'!B15:B1014,'Main Data'!C15:C1014,'Main Data'!M15:M1014,'Main Data'!N15:N1014),{2,3,4,5},0)</f>
        <v>23</v>
      </c>
      <c r="G18" t="str">
        <v>Male</v>
      </c>
      <c r="H18" t="str">
        <v>France</v>
      </c>
      <c r="I18">
        <v>1.51</v>
      </c>
      <c r="L18" s="6" t="s">
        <v>82</v>
      </c>
      <c r="M18" t="str" cm="1">
        <f t="array" ref="M18:O18">INDEX('Main Data'!A15:O1014,MATCH(L18,'Main Data'!A15:A1014,0),{3,7,14})</f>
        <v>Male</v>
      </c>
      <c r="N18">
        <v>147402.04999999999</v>
      </c>
      <c r="O18">
        <v>1.51</v>
      </c>
    </row>
    <row r="19" spans="1:15" x14ac:dyDescent="0.3">
      <c r="A19" s="6" t="s">
        <v>84</v>
      </c>
      <c r="B19" cm="1">
        <f t="array" ref="B19:C19">_xlfn.XLOOKUP(A19,'Main Data'!A16:A1015,'Main Data'!B16:C1015,"Data Not Found",0)</f>
        <v>60</v>
      </c>
      <c r="C19" t="str">
        <v>Male</v>
      </c>
      <c r="E19" s="6" t="s">
        <v>84</v>
      </c>
      <c r="F19" cm="1">
        <f t="array" ref="F19:I19">VLOOKUP(E19,CHOOSE({1,2,3,4,5},'Main Data'!A16:A1015,'Main Data'!B16:B1015,'Main Data'!C16:C1015,'Main Data'!M16:M1015,'Main Data'!N16:N1015),{2,3,4,5},0)</f>
        <v>60</v>
      </c>
      <c r="G19" t="str">
        <v>Male</v>
      </c>
      <c r="H19" t="str">
        <v>UK</v>
      </c>
      <c r="I19">
        <v>1.78</v>
      </c>
      <c r="L19" s="6" t="s">
        <v>84</v>
      </c>
      <c r="M19" t="str" cm="1">
        <f t="array" ref="M19:O19">INDEX('Main Data'!A16:O1015,MATCH(L19,'Main Data'!A16:A1015,0),{3,7,14})</f>
        <v>Male</v>
      </c>
      <c r="N19">
        <v>160358.07999999999</v>
      </c>
      <c r="O19">
        <v>1.78</v>
      </c>
    </row>
    <row r="20" spans="1:15" x14ac:dyDescent="0.3">
      <c r="A20" s="6" t="s">
        <v>86</v>
      </c>
      <c r="B20" cm="1">
        <f t="array" ref="B20:C20">_xlfn.XLOOKUP(A20,'Main Data'!A17:A1016,'Main Data'!B17:C1016,"Data Not Found",0)</f>
        <v>61</v>
      </c>
      <c r="C20" t="str">
        <v>Female</v>
      </c>
      <c r="E20" s="6" t="s">
        <v>86</v>
      </c>
      <c r="F20" cm="1">
        <f t="array" ref="F20:I20">VLOOKUP(E20,CHOOSE({1,2,3,4,5},'Main Data'!A17:A1016,'Main Data'!B17:B1016,'Main Data'!C17:C1016,'Main Data'!M17:M1016,'Main Data'!N17:N1016),{2,3,4,5},0)</f>
        <v>61</v>
      </c>
      <c r="G20" t="str">
        <v>Female</v>
      </c>
      <c r="H20" t="str">
        <v>UAE</v>
      </c>
      <c r="I20">
        <v>2.2200000000000002</v>
      </c>
      <c r="L20" s="6" t="s">
        <v>86</v>
      </c>
      <c r="M20" t="str" cm="1">
        <f t="array" ref="M20:O20">INDEX('Main Data'!A17:O1016,MATCH(L20,'Main Data'!A17:A1016,0),{3,7,14})</f>
        <v>Female</v>
      </c>
      <c r="N20">
        <v>142161.03</v>
      </c>
      <c r="O20">
        <v>2.2200000000000002</v>
      </c>
    </row>
    <row r="21" spans="1:15" x14ac:dyDescent="0.3">
      <c r="A21" s="6" t="s">
        <v>88</v>
      </c>
      <c r="B21" cm="1">
        <f t="array" ref="B21:C21">_xlfn.XLOOKUP(A21,'Main Data'!A18:A1017,'Main Data'!B18:C1017,"Data Not Found",0)</f>
        <v>45</v>
      </c>
      <c r="C21" t="str">
        <v>Male</v>
      </c>
      <c r="E21" s="6" t="s">
        <v>88</v>
      </c>
      <c r="F21" cm="1">
        <f t="array" ref="F21:I21">VLOOKUP(E21,CHOOSE({1,2,3,4,5},'Main Data'!A18:A1017,'Main Data'!B18:B1017,'Main Data'!C18:C1017,'Main Data'!M18:M1017,'Main Data'!N18:N1017),{2,3,4,5},0)</f>
        <v>45</v>
      </c>
      <c r="G21" t="str">
        <v>Male</v>
      </c>
      <c r="H21" t="str">
        <v>Japan</v>
      </c>
      <c r="I21">
        <v>4.45</v>
      </c>
      <c r="L21" s="6" t="s">
        <v>88</v>
      </c>
      <c r="M21" t="str" cm="1">
        <f t="array" ref="M21:O21">INDEX('Main Data'!A18:O1017,MATCH(L21,'Main Data'!A18:A1017,0),{3,7,14})</f>
        <v>Male</v>
      </c>
      <c r="N21">
        <v>106217.93</v>
      </c>
      <c r="O21">
        <v>4.45</v>
      </c>
    </row>
    <row r="22" spans="1:15" x14ac:dyDescent="0.3">
      <c r="A22" s="6" t="s">
        <v>90</v>
      </c>
      <c r="B22" cm="1">
        <f t="array" ref="B22:C22">_xlfn.XLOOKUP(A22,'Main Data'!A19:A1018,'Main Data'!B19:C1018,"Data Not Found",0)</f>
        <v>46</v>
      </c>
      <c r="C22" t="str">
        <v>Female</v>
      </c>
      <c r="E22" s="6" t="s">
        <v>90</v>
      </c>
      <c r="F22" cm="1">
        <f t="array" ref="F22:I22">VLOOKUP(E22,CHOOSE({1,2,3,4,5},'Main Data'!A19:A1018,'Main Data'!B19:B1018,'Main Data'!C19:C1018,'Main Data'!M19:M1018,'Main Data'!N19:N1018),{2,3,4,5},0)</f>
        <v>46</v>
      </c>
      <c r="G22" t="str">
        <v>Female</v>
      </c>
      <c r="H22" t="str">
        <v>Australia</v>
      </c>
      <c r="I22">
        <v>3.96</v>
      </c>
      <c r="L22" s="6" t="s">
        <v>90</v>
      </c>
      <c r="M22" t="str" cm="1">
        <f t="array" ref="M22:O22">INDEX('Main Data'!A19:O1018,MATCH(L22,'Main Data'!A19:A1018,0),{3,7,14})</f>
        <v>Female</v>
      </c>
      <c r="N22">
        <v>114500.4</v>
      </c>
      <c r="O22">
        <v>3.96</v>
      </c>
    </row>
    <row r="23" spans="1:15" x14ac:dyDescent="0.3">
      <c r="A23" s="6" t="s">
        <v>92</v>
      </c>
      <c r="B23" cm="1">
        <f t="array" ref="B23:C23">_xlfn.XLOOKUP(A23,'Main Data'!A20:A1019,'Main Data'!B20:C1019,"Data Not Found",0)</f>
        <v>39</v>
      </c>
      <c r="C23" t="str">
        <v>Female</v>
      </c>
      <c r="E23" s="6" t="s">
        <v>92</v>
      </c>
      <c r="F23" cm="1">
        <f t="array" ref="F23:I23">VLOOKUP(E23,CHOOSE({1,2,3,4,5},'Main Data'!A20:A1019,'Main Data'!B20:B1019,'Main Data'!C20:C1019,'Main Data'!M20:M1019,'Main Data'!N20:N1019),{2,3,4,5},0)</f>
        <v>39</v>
      </c>
      <c r="G23" t="str">
        <v>Female</v>
      </c>
      <c r="H23" t="str">
        <v>USA</v>
      </c>
      <c r="I23">
        <v>3.36</v>
      </c>
      <c r="L23" s="6" t="s">
        <v>92</v>
      </c>
      <c r="M23" t="str" cm="1">
        <f t="array" ref="M23:O23">INDEX('Main Data'!A20:O1019,MATCH(L23,'Main Data'!A20:A1019,0),{3,7,14})</f>
        <v>Female</v>
      </c>
      <c r="N23">
        <v>135513.35</v>
      </c>
      <c r="O23">
        <v>3.36</v>
      </c>
    </row>
    <row r="24" spans="1:15" x14ac:dyDescent="0.3">
      <c r="A24" s="6" t="s">
        <v>94</v>
      </c>
      <c r="B24" cm="1">
        <f t="array" ref="B24:C24">_xlfn.XLOOKUP(A24,'Main Data'!A21:A1020,'Main Data'!B21:C1020,"Data Not Found",0)</f>
        <v>59</v>
      </c>
      <c r="C24" t="str">
        <v>Male</v>
      </c>
      <c r="E24" s="6" t="s">
        <v>94</v>
      </c>
      <c r="F24" cm="1">
        <f t="array" ref="F24:I24">VLOOKUP(E24,CHOOSE({1,2,3,4,5},'Main Data'!A21:A1020,'Main Data'!B21:B1020,'Main Data'!C21:C1020,'Main Data'!M21:M1020,'Main Data'!N21:N1020),{2,3,4,5},0)</f>
        <v>59</v>
      </c>
      <c r="G24" t="str">
        <v>Male</v>
      </c>
      <c r="H24" t="str">
        <v>France</v>
      </c>
      <c r="I24">
        <v>3.9</v>
      </c>
      <c r="L24" s="6" t="s">
        <v>94</v>
      </c>
      <c r="M24" t="str" cm="1">
        <f t="array" ref="M24:O24">INDEX('Main Data'!A21:O1020,MATCH(L24,'Main Data'!A21:A1020,0),{3,7,14})</f>
        <v>Male</v>
      </c>
      <c r="N24">
        <v>86687.91</v>
      </c>
      <c r="O24">
        <v>3.9</v>
      </c>
    </row>
    <row r="25" spans="1:15" x14ac:dyDescent="0.3">
      <c r="A25" s="6" t="s">
        <v>96</v>
      </c>
      <c r="B25" cm="1">
        <f t="array" ref="B25:C25">_xlfn.XLOOKUP(A25,'Main Data'!A22:A1021,'Main Data'!B22:C1021,"Data Not Found",0)</f>
        <v>47</v>
      </c>
      <c r="C25" t="str">
        <v>Other</v>
      </c>
      <c r="E25" s="6" t="s">
        <v>96</v>
      </c>
      <c r="F25" cm="1">
        <f t="array" ref="F25:I25">VLOOKUP(E25,CHOOSE({1,2,3,4,5},'Main Data'!A22:A1021,'Main Data'!B22:B1021,'Main Data'!C22:C1021,'Main Data'!M22:M1021,'Main Data'!N22:N1021),{2,3,4,5},0)</f>
        <v>47</v>
      </c>
      <c r="G25" t="str">
        <v>Other</v>
      </c>
      <c r="H25" t="str">
        <v>UK</v>
      </c>
      <c r="I25">
        <v>4.2300000000000004</v>
      </c>
      <c r="L25" s="6" t="s">
        <v>96</v>
      </c>
      <c r="M25" t="str" cm="1">
        <f t="array" ref="M25:O25">INDEX('Main Data'!A22:O1021,MATCH(L25,'Main Data'!A22:A1021,0),{3,7,14})</f>
        <v>Other</v>
      </c>
      <c r="N25">
        <v>61550.15</v>
      </c>
      <c r="O25">
        <v>4.2300000000000004</v>
      </c>
    </row>
    <row r="26" spans="1:15" x14ac:dyDescent="0.3">
      <c r="A26" s="6" t="s">
        <v>98</v>
      </c>
      <c r="B26" cm="1">
        <f t="array" ref="B26:C26">_xlfn.XLOOKUP(A26,'Main Data'!A23:A1022,'Main Data'!B23:C1022,"Data Not Found",0)</f>
        <v>35</v>
      </c>
      <c r="C26" t="str">
        <v>Other</v>
      </c>
      <c r="E26" s="6" t="s">
        <v>98</v>
      </c>
      <c r="F26" cm="1">
        <f t="array" ref="F26:I26">VLOOKUP(E26,CHOOSE({1,2,3,4,5},'Main Data'!A23:A1022,'Main Data'!B23:B1022,'Main Data'!C23:C1022,'Main Data'!M23:M1022,'Main Data'!N23:N1022),{2,3,4,5},0)</f>
        <v>35</v>
      </c>
      <c r="G26" t="str">
        <v>Other</v>
      </c>
      <c r="H26" t="str">
        <v>UAE</v>
      </c>
      <c r="I26">
        <v>3.04</v>
      </c>
      <c r="L26" s="6" t="s">
        <v>98</v>
      </c>
      <c r="M26" t="str" cm="1">
        <f t="array" ref="M26:O26">INDEX('Main Data'!A23:O1022,MATCH(L26,'Main Data'!A23:A1022,0),{3,7,14})</f>
        <v>Other</v>
      </c>
      <c r="N26">
        <v>154481.57999999999</v>
      </c>
      <c r="O26">
        <v>3.04</v>
      </c>
    </row>
    <row r="27" spans="1:15" x14ac:dyDescent="0.3">
      <c r="A27" s="6" t="s">
        <v>100</v>
      </c>
      <c r="B27" cm="1">
        <f t="array" ref="B27:C27">_xlfn.XLOOKUP(A27,'Main Data'!A24:A1023,'Main Data'!B24:C1023,"Data Not Found",0)</f>
        <v>30</v>
      </c>
      <c r="C27" t="str">
        <v>Female</v>
      </c>
      <c r="E27" s="6" t="s">
        <v>100</v>
      </c>
      <c r="F27" cm="1">
        <f t="array" ref="F27:I27">VLOOKUP(E27,CHOOSE({1,2,3,4,5},'Main Data'!A24:A1023,'Main Data'!B24:B1023,'Main Data'!C24:C1023,'Main Data'!M24:M1023,'Main Data'!N24:N1023),{2,3,4,5},0)</f>
        <v>30</v>
      </c>
      <c r="G27" t="str">
        <v>Female</v>
      </c>
      <c r="H27" t="str">
        <v>Japan</v>
      </c>
      <c r="I27">
        <v>1.27</v>
      </c>
      <c r="L27" s="6" t="s">
        <v>100</v>
      </c>
      <c r="M27" t="str" cm="1">
        <f t="array" ref="M27:O27">INDEX('Main Data'!A24:O1023,MATCH(L27,'Main Data'!A24:A1023,0),{3,7,14})</f>
        <v>Female</v>
      </c>
      <c r="N27">
        <v>123181.38</v>
      </c>
      <c r="O27">
        <v>1.27</v>
      </c>
    </row>
    <row r="28" spans="1:15" x14ac:dyDescent="0.3">
      <c r="A28" s="6" t="s">
        <v>102</v>
      </c>
      <c r="B28" cm="1">
        <f t="array" ref="B28:C28">_xlfn.XLOOKUP(A28,'Main Data'!A25:A1024,'Main Data'!B25:C1024,"Data Not Found",0)</f>
        <v>31</v>
      </c>
      <c r="C28" t="str">
        <v>Other</v>
      </c>
      <c r="E28" s="6" t="s">
        <v>102</v>
      </c>
      <c r="F28" cm="1">
        <f t="array" ref="F28:I28">VLOOKUP(E28,CHOOSE({1,2,3,4,5},'Main Data'!A25:A1024,'Main Data'!B25:B1024,'Main Data'!C25:C1024,'Main Data'!M25:M1024,'Main Data'!N25:N1024),{2,3,4,5},0)</f>
        <v>31</v>
      </c>
      <c r="G28" t="str">
        <v>Other</v>
      </c>
      <c r="H28" t="str">
        <v>Australia</v>
      </c>
      <c r="I28">
        <v>4.3899999999999997</v>
      </c>
      <c r="L28" s="6" t="s">
        <v>102</v>
      </c>
      <c r="M28" t="str" cm="1">
        <f t="array" ref="M28:O28">INDEX('Main Data'!A25:O1024,MATCH(L28,'Main Data'!A25:A1024,0),{3,7,14})</f>
        <v>Other</v>
      </c>
      <c r="N28">
        <v>85790</v>
      </c>
      <c r="O28">
        <v>4.3899999999999997</v>
      </c>
    </row>
    <row r="29" spans="1:15" x14ac:dyDescent="0.3">
      <c r="A29" s="6" t="s">
        <v>104</v>
      </c>
      <c r="B29" cm="1">
        <f t="array" ref="B29:C29">_xlfn.XLOOKUP(A29,'Main Data'!A26:A1025,'Main Data'!B26:C1025,"Data Not Found",0)</f>
        <v>42</v>
      </c>
      <c r="C29" t="str">
        <v>Other</v>
      </c>
      <c r="E29" s="6" t="s">
        <v>104</v>
      </c>
      <c r="F29" cm="1">
        <f t="array" ref="F29:I29">VLOOKUP(E29,CHOOSE({1,2,3,4,5},'Main Data'!A26:A1025,'Main Data'!B26:B1025,'Main Data'!C26:C1025,'Main Data'!M26:M1025,'Main Data'!N26:N1025),{2,3,4,5},0)</f>
        <v>42</v>
      </c>
      <c r="G29" t="str">
        <v>Other</v>
      </c>
      <c r="H29" t="str">
        <v>USA</v>
      </c>
      <c r="I29">
        <v>2.78</v>
      </c>
      <c r="L29" s="6" t="s">
        <v>104</v>
      </c>
      <c r="M29" t="str" cm="1">
        <f t="array" ref="M29:O29">INDEX('Main Data'!A26:O1025,MATCH(L29,'Main Data'!A26:A1025,0),{3,7,14})</f>
        <v>Other</v>
      </c>
      <c r="N29">
        <v>115900.12</v>
      </c>
      <c r="O29">
        <v>2.78</v>
      </c>
    </row>
    <row r="30" spans="1:15" x14ac:dyDescent="0.3">
      <c r="A30" s="6" t="s">
        <v>106</v>
      </c>
      <c r="B30" cm="1">
        <f t="array" ref="B30:C30">_xlfn.XLOOKUP(A30,'Main Data'!A27:A1026,'Main Data'!B27:C1026,"Data Not Found",0)</f>
        <v>38</v>
      </c>
      <c r="C30" t="str">
        <v>Female</v>
      </c>
      <c r="E30" s="6" t="s">
        <v>106</v>
      </c>
      <c r="F30" cm="1">
        <f t="array" ref="F30:I30">VLOOKUP(E30,CHOOSE({1,2,3,4,5},'Main Data'!A27:A1026,'Main Data'!B27:B1026,'Main Data'!C27:C1026,'Main Data'!M27:M1026,'Main Data'!N27:N1026),{2,3,4,5},0)</f>
        <v>38</v>
      </c>
      <c r="G30" t="str">
        <v>Female</v>
      </c>
      <c r="H30" t="str">
        <v>France</v>
      </c>
      <c r="I30">
        <v>3.4</v>
      </c>
      <c r="L30" s="6" t="s">
        <v>106</v>
      </c>
      <c r="M30" t="str" cm="1">
        <f t="array" ref="M30:O30">INDEX('Main Data'!A27:O1026,MATCH(L30,'Main Data'!A27:A1026,0),{3,7,14})</f>
        <v>Female</v>
      </c>
      <c r="N30">
        <v>54839.09</v>
      </c>
      <c r="O30">
        <v>3.4</v>
      </c>
    </row>
    <row r="31" spans="1:15" x14ac:dyDescent="0.3">
      <c r="A31" s="6" t="s">
        <v>108</v>
      </c>
      <c r="B31" cm="1">
        <f t="array" ref="B31:C31">_xlfn.XLOOKUP(A31,'Main Data'!A28:A1027,'Main Data'!B28:C1027,"Data Not Found",0)</f>
        <v>27</v>
      </c>
      <c r="C31" t="str">
        <v>Male</v>
      </c>
      <c r="E31" s="6" t="s">
        <v>108</v>
      </c>
      <c r="F31" cm="1">
        <f t="array" ref="F31:I31">VLOOKUP(E31,CHOOSE({1,2,3,4,5},'Main Data'!A28:A1027,'Main Data'!B28:B1027,'Main Data'!C28:C1027,'Main Data'!M28:M1027,'Main Data'!N28:N1027),{2,3,4,5},0)</f>
        <v>27</v>
      </c>
      <c r="G31" t="str">
        <v>Male</v>
      </c>
      <c r="H31" t="str">
        <v>UK</v>
      </c>
      <c r="I31">
        <v>1.95</v>
      </c>
      <c r="L31" s="6" t="s">
        <v>108</v>
      </c>
      <c r="M31" t="str" cm="1">
        <f t="array" ref="M31:O31">INDEX('Main Data'!A28:O1027,MATCH(L31,'Main Data'!A28:A1027,0),{3,7,14})</f>
        <v>Male</v>
      </c>
      <c r="N31">
        <v>121415.73</v>
      </c>
      <c r="O31">
        <v>1.95</v>
      </c>
    </row>
    <row r="32" spans="1:15" x14ac:dyDescent="0.3">
      <c r="A32" s="6" t="s">
        <v>110</v>
      </c>
      <c r="B32" cm="1">
        <f t="array" ref="B32:C32">_xlfn.XLOOKUP(A32,'Main Data'!A29:A1028,'Main Data'!B29:C1028,"Data Not Found",0)</f>
        <v>37</v>
      </c>
      <c r="C32" t="str">
        <v>Female</v>
      </c>
      <c r="E32" s="6" t="s">
        <v>110</v>
      </c>
      <c r="F32" cm="1">
        <f t="array" ref="F32:I32">VLOOKUP(E32,CHOOSE({1,2,3,4,5},'Main Data'!A29:A1028,'Main Data'!B29:B1028,'Main Data'!C29:C1028,'Main Data'!M29:M1028,'Main Data'!N29:N1028),{2,3,4,5},0)</f>
        <v>37</v>
      </c>
      <c r="G32" t="str">
        <v>Female</v>
      </c>
      <c r="H32" t="str">
        <v>UAE</v>
      </c>
      <c r="I32">
        <v>3.96</v>
      </c>
      <c r="L32" s="6" t="s">
        <v>110</v>
      </c>
      <c r="M32" t="str" cm="1">
        <f t="array" ref="M32:O32">INDEX('Main Data'!A29:O1028,MATCH(L32,'Main Data'!A29:A1028,0),{3,7,14})</f>
        <v>Female</v>
      </c>
      <c r="N32">
        <v>145305.42000000001</v>
      </c>
      <c r="O32">
        <v>3.96</v>
      </c>
    </row>
    <row r="33" spans="1:15" x14ac:dyDescent="0.3">
      <c r="A33" s="6" t="s">
        <v>112</v>
      </c>
      <c r="B33" cm="1">
        <f t="array" ref="B33:C33">_xlfn.XLOOKUP(A33,'Main Data'!A30:A1029,'Main Data'!B30:C1029,"Data Not Found",0)</f>
        <v>22</v>
      </c>
      <c r="C33" t="str">
        <v>Male</v>
      </c>
      <c r="E33" s="6" t="s">
        <v>112</v>
      </c>
      <c r="F33" cm="1">
        <f t="array" ref="F33:I33">VLOOKUP(E33,CHOOSE({1,2,3,4,5},'Main Data'!A30:A1029,'Main Data'!B30:B1029,'Main Data'!C30:C1029,'Main Data'!M30:M1029,'Main Data'!N30:N1029),{2,3,4,5},0)</f>
        <v>22</v>
      </c>
      <c r="G33" t="str">
        <v>Male</v>
      </c>
      <c r="H33" t="str">
        <v>Japan</v>
      </c>
      <c r="I33">
        <v>4.3899999999999997</v>
      </c>
      <c r="L33" s="6" t="s">
        <v>112</v>
      </c>
      <c r="M33" t="str" cm="1">
        <f t="array" ref="M33:O33">INDEX('Main Data'!A30:O1029,MATCH(L33,'Main Data'!A30:A1029,0),{3,7,14})</f>
        <v>Male</v>
      </c>
      <c r="N33">
        <v>147349.46</v>
      </c>
      <c r="O33">
        <v>4.3899999999999997</v>
      </c>
    </row>
    <row r="34" spans="1:15" x14ac:dyDescent="0.3">
      <c r="A34" s="6" t="s">
        <v>114</v>
      </c>
      <c r="B34" cm="1">
        <f t="array" ref="B34:C34">_xlfn.XLOOKUP(A34,'Main Data'!A31:A1030,'Main Data'!B31:C1030,"Data Not Found",0)</f>
        <v>40</v>
      </c>
      <c r="C34" t="str">
        <v>Male</v>
      </c>
      <c r="E34" s="6" t="s">
        <v>114</v>
      </c>
      <c r="F34" cm="1">
        <f t="array" ref="F34:I34">VLOOKUP(E34,CHOOSE({1,2,3,4,5},'Main Data'!A31:A1030,'Main Data'!B31:B1030,'Main Data'!C31:C1030,'Main Data'!M31:M1030,'Main Data'!N31:N1030),{2,3,4,5},0)</f>
        <v>40</v>
      </c>
      <c r="G34" t="str">
        <v>Male</v>
      </c>
      <c r="H34" t="str">
        <v>Australia</v>
      </c>
      <c r="I34">
        <v>1.0900000000000001</v>
      </c>
      <c r="L34" s="6" t="s">
        <v>114</v>
      </c>
      <c r="M34" t="str" cm="1">
        <f t="array" ref="M34:O34">INDEX('Main Data'!A31:O1030,MATCH(L34,'Main Data'!A31:A1030,0),{3,7,14})</f>
        <v>Male</v>
      </c>
      <c r="N34">
        <v>81651.429999999993</v>
      </c>
      <c r="O34">
        <v>1.0900000000000001</v>
      </c>
    </row>
    <row r="35" spans="1:15" x14ac:dyDescent="0.3">
      <c r="A35" s="6" t="s">
        <v>116</v>
      </c>
      <c r="B35" cm="1">
        <f t="array" ref="B35:C35">_xlfn.XLOOKUP(A35,'Main Data'!A32:A1031,'Main Data'!B32:C1031,"Data Not Found",0)</f>
        <v>57</v>
      </c>
      <c r="C35" t="str">
        <v>Female</v>
      </c>
      <c r="E35" s="6" t="s">
        <v>116</v>
      </c>
      <c r="F35" cm="1">
        <f t="array" ref="F35:I35">VLOOKUP(E35,CHOOSE({1,2,3,4,5},'Main Data'!A32:A1031,'Main Data'!B32:B1031,'Main Data'!C32:C1031,'Main Data'!M32:M1031,'Main Data'!N32:N1031),{2,3,4,5},0)</f>
        <v>57</v>
      </c>
      <c r="G35" t="str">
        <v>Female</v>
      </c>
      <c r="H35" t="str">
        <v>USA</v>
      </c>
      <c r="I35">
        <v>4.34</v>
      </c>
      <c r="L35" s="6" t="s">
        <v>116</v>
      </c>
      <c r="M35" t="str" cm="1">
        <f t="array" ref="M35:O35">INDEX('Main Data'!A32:O1031,MATCH(L35,'Main Data'!A32:A1031,0),{3,7,14})</f>
        <v>Female</v>
      </c>
      <c r="N35">
        <v>105524.85</v>
      </c>
      <c r="O35">
        <v>4.34</v>
      </c>
    </row>
    <row r="36" spans="1:15" x14ac:dyDescent="0.3">
      <c r="A36" s="6" t="s">
        <v>118</v>
      </c>
      <c r="B36" cm="1">
        <f t="array" ref="B36:C36">_xlfn.XLOOKUP(A36,'Main Data'!A33:A1032,'Main Data'!B33:C1032,"Data Not Found",0)</f>
        <v>46</v>
      </c>
      <c r="C36" t="str">
        <v>Other</v>
      </c>
      <c r="E36" s="6" t="s">
        <v>118</v>
      </c>
      <c r="F36" cm="1">
        <f t="array" ref="F36:I36">VLOOKUP(E36,CHOOSE({1,2,3,4,5},'Main Data'!A33:A1032,'Main Data'!B33:B1032,'Main Data'!C33:C1032,'Main Data'!M33:M1032,'Main Data'!N33:N1032),{2,3,4,5},0)</f>
        <v>46</v>
      </c>
      <c r="G36" t="str">
        <v>Other</v>
      </c>
      <c r="H36" t="str">
        <v>France</v>
      </c>
      <c r="I36">
        <v>3.71</v>
      </c>
      <c r="L36" s="6" t="s">
        <v>118</v>
      </c>
      <c r="M36" t="str" cm="1">
        <f t="array" ref="M36:O36">INDEX('Main Data'!A33:O1032,MATCH(L36,'Main Data'!A33:A1032,0),{3,7,14})</f>
        <v>Other</v>
      </c>
      <c r="N36">
        <v>122537.78</v>
      </c>
      <c r="O36">
        <v>3.71</v>
      </c>
    </row>
    <row r="37" spans="1:15" x14ac:dyDescent="0.3">
      <c r="A37" s="6" t="s">
        <v>120</v>
      </c>
      <c r="B37" cm="1">
        <f t="array" ref="B37:C37">_xlfn.XLOOKUP(A37,'Main Data'!A34:A1033,'Main Data'!B34:C1033,"Data Not Found",0)</f>
        <v>51</v>
      </c>
      <c r="C37" t="str">
        <v>Male</v>
      </c>
      <c r="E37" s="6" t="s">
        <v>120</v>
      </c>
      <c r="F37" cm="1">
        <f t="array" ref="F37:I37">VLOOKUP(E37,CHOOSE({1,2,3,4,5},'Main Data'!A34:A1033,'Main Data'!B34:B1033,'Main Data'!C34:C1033,'Main Data'!M34:M1033,'Main Data'!N34:N1033),{2,3,4,5},0)</f>
        <v>51</v>
      </c>
      <c r="G37" t="str">
        <v>Male</v>
      </c>
      <c r="H37" t="str">
        <v>UK</v>
      </c>
      <c r="I37">
        <v>3.55</v>
      </c>
      <c r="L37" s="6" t="s">
        <v>120</v>
      </c>
      <c r="M37" t="str" cm="1">
        <f t="array" ref="M37:O37">INDEX('Main Data'!A34:O1033,MATCH(L37,'Main Data'!A34:A1033,0),{3,7,14})</f>
        <v>Male</v>
      </c>
      <c r="N37">
        <v>193496.4</v>
      </c>
      <c r="O37">
        <v>3.55</v>
      </c>
    </row>
    <row r="38" spans="1:15" x14ac:dyDescent="0.3">
      <c r="A38" s="6" t="s">
        <v>122</v>
      </c>
      <c r="B38" cm="1">
        <f t="array" ref="B38:C38">_xlfn.XLOOKUP(A38,'Main Data'!A35:A1034,'Main Data'!B35:C1034,"Data Not Found",0)</f>
        <v>41</v>
      </c>
      <c r="C38" t="str">
        <v>Female</v>
      </c>
      <c r="E38" s="6" t="s">
        <v>122</v>
      </c>
      <c r="F38" cm="1">
        <f t="array" ref="F38:I38">VLOOKUP(E38,CHOOSE({1,2,3,4,5},'Main Data'!A35:A1034,'Main Data'!B35:B1034,'Main Data'!C35:C1034,'Main Data'!M35:M1034,'Main Data'!N35:N1034),{2,3,4,5},0)</f>
        <v>41</v>
      </c>
      <c r="G38" t="str">
        <v>Female</v>
      </c>
      <c r="H38" t="str">
        <v>UAE</v>
      </c>
      <c r="I38">
        <v>3.46</v>
      </c>
      <c r="L38" s="6" t="s">
        <v>122</v>
      </c>
      <c r="M38" t="str" cm="1">
        <f t="array" ref="M38:O38">INDEX('Main Data'!A35:O1034,MATCH(L38,'Main Data'!A35:A1034,0),{3,7,14})</f>
        <v>Female</v>
      </c>
      <c r="N38">
        <v>105630.04</v>
      </c>
      <c r="O38">
        <v>3.46</v>
      </c>
    </row>
    <row r="39" spans="1:15" x14ac:dyDescent="0.3">
      <c r="A39" s="6" t="s">
        <v>124</v>
      </c>
      <c r="B39" cm="1">
        <f t="array" ref="B39:C39">_xlfn.XLOOKUP(A39,'Main Data'!A36:A1035,'Main Data'!B36:C1035,"Data Not Found",0)</f>
        <v>41</v>
      </c>
      <c r="C39" t="str">
        <v>Female</v>
      </c>
      <c r="E39" s="6" t="s">
        <v>124</v>
      </c>
      <c r="F39" cm="1">
        <f t="array" ref="F39:I39">VLOOKUP(E39,CHOOSE({1,2,3,4,5},'Main Data'!A36:A1035,'Main Data'!B36:B1035,'Main Data'!C36:C1035,'Main Data'!M36:M1035,'Main Data'!N36:N1035),{2,3,4,5},0)</f>
        <v>41</v>
      </c>
      <c r="G39" t="str">
        <v>Female</v>
      </c>
      <c r="H39" t="str">
        <v>Japan</v>
      </c>
      <c r="I39">
        <v>2.38</v>
      </c>
      <c r="L39" s="6" t="s">
        <v>124</v>
      </c>
      <c r="M39" t="str" cm="1">
        <f t="array" ref="M39:O39">INDEX('Main Data'!A36:O1035,MATCH(L39,'Main Data'!A36:A1035,0),{3,7,14})</f>
        <v>Female</v>
      </c>
      <c r="N39">
        <v>118351.06</v>
      </c>
      <c r="O39">
        <v>2.38</v>
      </c>
    </row>
    <row r="40" spans="1:15" x14ac:dyDescent="0.3">
      <c r="A40" s="6" t="s">
        <v>126</v>
      </c>
      <c r="B40" cm="1">
        <f t="array" ref="B40:C40">_xlfn.XLOOKUP(A40,'Main Data'!A37:A1036,'Main Data'!B37:C1036,"Data Not Found",0)</f>
        <v>36</v>
      </c>
      <c r="C40" t="str">
        <v>Female</v>
      </c>
      <c r="E40" s="6" t="s">
        <v>126</v>
      </c>
      <c r="F40" cm="1">
        <f t="array" ref="F40:I40">VLOOKUP(E40,CHOOSE({1,2,3,4,5},'Main Data'!A37:A1036,'Main Data'!B37:B1036,'Main Data'!C37:C1036,'Main Data'!M37:M1036,'Main Data'!N37:N1036),{2,3,4,5},0)</f>
        <v>36</v>
      </c>
      <c r="G40" t="str">
        <v>Female</v>
      </c>
      <c r="H40" t="str">
        <v>USA</v>
      </c>
      <c r="I40">
        <v>2.82</v>
      </c>
      <c r="L40" s="6" t="s">
        <v>126</v>
      </c>
      <c r="M40" t="str" cm="1">
        <f t="array" ref="M40:O40">INDEX('Main Data'!A37:O1036,MATCH(L40,'Main Data'!A37:A1036,0),{3,7,14})</f>
        <v>Female</v>
      </c>
      <c r="N40">
        <v>199429.49</v>
      </c>
      <c r="O40">
        <v>2.82</v>
      </c>
    </row>
    <row r="41" spans="1:15" x14ac:dyDescent="0.3">
      <c r="A41" s="6" t="s">
        <v>128</v>
      </c>
      <c r="B41" cm="1">
        <f t="array" ref="B41:C41">_xlfn.XLOOKUP(A41,'Main Data'!A38:A1037,'Main Data'!B38:C1037,"Data Not Found",0)</f>
        <v>61</v>
      </c>
      <c r="C41" t="str">
        <v>Male</v>
      </c>
      <c r="E41" s="6" t="s">
        <v>128</v>
      </c>
      <c r="F41" cm="1">
        <f t="array" ref="F41:I41">VLOOKUP(E41,CHOOSE({1,2,3,4,5},'Main Data'!A38:A1037,'Main Data'!B38:B1037,'Main Data'!C38:C1037,'Main Data'!M38:M1037,'Main Data'!N38:N1037),{2,3,4,5},0)</f>
        <v>61</v>
      </c>
      <c r="G41" t="str">
        <v>Male</v>
      </c>
      <c r="H41" t="str">
        <v>France</v>
      </c>
      <c r="I41">
        <v>4.33</v>
      </c>
      <c r="L41" s="6" t="s">
        <v>128</v>
      </c>
      <c r="M41" t="str" cm="1">
        <f t="array" ref="M41:O41">INDEX('Main Data'!A38:O1037,MATCH(L41,'Main Data'!A38:A1037,0),{3,7,14})</f>
        <v>Male</v>
      </c>
      <c r="N41">
        <v>63495.8</v>
      </c>
      <c r="O41">
        <v>4.33</v>
      </c>
    </row>
    <row r="42" spans="1:15" x14ac:dyDescent="0.3">
      <c r="A42" s="6" t="s">
        <v>130</v>
      </c>
      <c r="B42" cm="1">
        <f t="array" ref="B42:C42">_xlfn.XLOOKUP(A42,'Main Data'!A39:A1038,'Main Data'!B39:C1038,"Data Not Found",0)</f>
        <v>54</v>
      </c>
      <c r="C42" t="str">
        <v>Other</v>
      </c>
      <c r="E42" s="6" t="s">
        <v>130</v>
      </c>
      <c r="F42" cm="1">
        <f t="array" ref="F42:I42">VLOOKUP(E42,CHOOSE({1,2,3,4,5},'Main Data'!A39:A1038,'Main Data'!B39:B1038,'Main Data'!C39:C1038,'Main Data'!M39:M1038,'Main Data'!N39:N1038),{2,3,4,5},0)</f>
        <v>54</v>
      </c>
      <c r="G42" t="str">
        <v>Other</v>
      </c>
      <c r="H42" t="str">
        <v>UK</v>
      </c>
      <c r="I42">
        <v>2.08</v>
      </c>
      <c r="L42" s="6" t="s">
        <v>130</v>
      </c>
      <c r="M42" t="str" cm="1">
        <f t="array" ref="M42:O42">INDEX('Main Data'!A39:O1038,MATCH(L42,'Main Data'!A39:A1038,0),{3,7,14})</f>
        <v>Other</v>
      </c>
      <c r="N42">
        <v>50511.46</v>
      </c>
      <c r="O42">
        <v>2.08</v>
      </c>
    </row>
    <row r="43" spans="1:15" x14ac:dyDescent="0.3">
      <c r="A43" s="6" t="s">
        <v>132</v>
      </c>
      <c r="B43" cm="1">
        <f t="array" ref="B43:C43">_xlfn.XLOOKUP(A43,'Main Data'!A40:A1039,'Main Data'!B40:C1039,"Data Not Found",0)</f>
        <v>23</v>
      </c>
      <c r="C43" t="str">
        <v>Other</v>
      </c>
      <c r="E43" s="6" t="s">
        <v>132</v>
      </c>
      <c r="F43" cm="1">
        <f t="array" ref="F43:I43">VLOOKUP(E43,CHOOSE({1,2,3,4,5},'Main Data'!A40:A1039,'Main Data'!B40:B1039,'Main Data'!C40:C1039,'Main Data'!M40:M1039,'Main Data'!N40:N1039),{2,3,4,5},0)</f>
        <v>23</v>
      </c>
      <c r="G43" t="str">
        <v>Other</v>
      </c>
      <c r="H43" t="str">
        <v>UAE</v>
      </c>
      <c r="I43">
        <v>3.76</v>
      </c>
      <c r="L43" s="6" t="s">
        <v>132</v>
      </c>
      <c r="M43" t="str" cm="1">
        <f t="array" ref="M43:O43">INDEX('Main Data'!A40:O1039,MATCH(L43,'Main Data'!A40:A1039,0),{3,7,14})</f>
        <v>Other</v>
      </c>
      <c r="N43">
        <v>81183.16</v>
      </c>
      <c r="O43">
        <v>3.76</v>
      </c>
    </row>
    <row r="44" spans="1:15" x14ac:dyDescent="0.3">
      <c r="A44" s="6" t="s">
        <v>134</v>
      </c>
      <c r="B44" cm="1">
        <f t="array" ref="B44:C44">_xlfn.XLOOKUP(A44,'Main Data'!A41:A1040,'Main Data'!B41:C1040,"Data Not Found",0)</f>
        <v>31</v>
      </c>
      <c r="C44" t="str">
        <v>Female</v>
      </c>
      <c r="E44" s="6" t="s">
        <v>134</v>
      </c>
      <c r="F44" cm="1">
        <f t="array" ref="F44:I44">VLOOKUP(E44,CHOOSE({1,2,3,4,5},'Main Data'!A41:A1040,'Main Data'!B41:B1040,'Main Data'!C41:C1040,'Main Data'!M41:M1040,'Main Data'!N41:N1040),{2,3,4,5},0)</f>
        <v>31</v>
      </c>
      <c r="G44" t="str">
        <v>Female</v>
      </c>
      <c r="H44" t="str">
        <v>Japan</v>
      </c>
      <c r="I44">
        <v>2.4900000000000002</v>
      </c>
      <c r="L44" s="6" t="s">
        <v>134</v>
      </c>
      <c r="M44" t="str" cm="1">
        <f t="array" ref="M44:O44">INDEX('Main Data'!A41:O1040,MATCH(L44,'Main Data'!A41:A1040,0),{3,7,14})</f>
        <v>Female</v>
      </c>
      <c r="N44">
        <v>62803.18</v>
      </c>
      <c r="O44">
        <v>2.4900000000000002</v>
      </c>
    </row>
    <row r="45" spans="1:15" x14ac:dyDescent="0.3">
      <c r="A45" s="6" t="s">
        <v>136</v>
      </c>
      <c r="B45" cm="1">
        <f t="array" ref="B45:C45">_xlfn.XLOOKUP(A45,'Main Data'!A42:A1041,'Main Data'!B42:C1041,"Data Not Found",0)</f>
        <v>54</v>
      </c>
      <c r="C45" t="str">
        <v>Male</v>
      </c>
      <c r="E45" s="6" t="s">
        <v>136</v>
      </c>
      <c r="F45" cm="1">
        <f t="array" ref="F45:I45">VLOOKUP(E45,CHOOSE({1,2,3,4,5},'Main Data'!A42:A1041,'Main Data'!B42:B1041,'Main Data'!C42:C1041,'Main Data'!M42:M1041,'Main Data'!N42:N1041),{2,3,4,5},0)</f>
        <v>54</v>
      </c>
      <c r="G45" t="str">
        <v>Male</v>
      </c>
      <c r="H45" t="str">
        <v>USA</v>
      </c>
      <c r="I45">
        <v>4.5999999999999996</v>
      </c>
      <c r="L45" s="6" t="s">
        <v>136</v>
      </c>
      <c r="M45" t="str" cm="1">
        <f t="array" ref="M45:O45">INDEX('Main Data'!A42:O1041,MATCH(L45,'Main Data'!A42:A1041,0),{3,7,14})</f>
        <v>Male</v>
      </c>
      <c r="N45">
        <v>183849.86</v>
      </c>
      <c r="O45">
        <v>4.5999999999999996</v>
      </c>
    </row>
    <row r="46" spans="1:15" x14ac:dyDescent="0.3">
      <c r="A46" s="6" t="s">
        <v>138</v>
      </c>
      <c r="B46" cm="1">
        <f t="array" ref="B46:C46">_xlfn.XLOOKUP(A46,'Main Data'!A43:A1042,'Main Data'!B43:C1042,"Data Not Found",0)</f>
        <v>53</v>
      </c>
      <c r="C46" t="str">
        <v>Other</v>
      </c>
      <c r="E46" s="6" t="s">
        <v>138</v>
      </c>
      <c r="F46" cm="1">
        <f t="array" ref="F46:I46">VLOOKUP(E46,CHOOSE({1,2,3,4,5},'Main Data'!A43:A1042,'Main Data'!B43:B1042,'Main Data'!C43:C1042,'Main Data'!M43:M1042,'Main Data'!N43:N1042),{2,3,4,5},0)</f>
        <v>53</v>
      </c>
      <c r="G46" t="str">
        <v>Other</v>
      </c>
      <c r="H46" t="str">
        <v>France</v>
      </c>
      <c r="I46">
        <v>1.53</v>
      </c>
      <c r="L46" s="6" t="s">
        <v>138</v>
      </c>
      <c r="M46" t="str" cm="1">
        <f t="array" ref="M46:O46">INDEX('Main Data'!A43:O1042,MATCH(L46,'Main Data'!A43:A1042,0),{3,7,14})</f>
        <v>Other</v>
      </c>
      <c r="N46">
        <v>125027.13</v>
      </c>
      <c r="O46">
        <v>1.53</v>
      </c>
    </row>
    <row r="47" spans="1:15" x14ac:dyDescent="0.3">
      <c r="A47" s="6" t="s">
        <v>140</v>
      </c>
      <c r="B47" cm="1">
        <f t="array" ref="B47:C47">_xlfn.XLOOKUP(A47,'Main Data'!A44:A1043,'Main Data'!B44:C1043,"Data Not Found",0)</f>
        <v>32</v>
      </c>
      <c r="C47" t="str">
        <v>Female</v>
      </c>
      <c r="E47" s="6" t="s">
        <v>140</v>
      </c>
      <c r="F47" cm="1">
        <f t="array" ref="F47:I47">VLOOKUP(E47,CHOOSE({1,2,3,4,5},'Main Data'!A44:A1043,'Main Data'!B44:B1043,'Main Data'!C44:C1043,'Main Data'!M44:M1043,'Main Data'!N44:N1043),{2,3,4,5},0)</f>
        <v>32</v>
      </c>
      <c r="G47" t="str">
        <v>Female</v>
      </c>
      <c r="H47" t="str">
        <v>UK</v>
      </c>
      <c r="I47">
        <v>1.04</v>
      </c>
      <c r="L47" s="6" t="s">
        <v>140</v>
      </c>
      <c r="M47" t="str" cm="1">
        <f t="array" ref="M47:O47">INDEX('Main Data'!A44:O1043,MATCH(L47,'Main Data'!A44:A1043,0),{3,7,14})</f>
        <v>Female</v>
      </c>
      <c r="N47">
        <v>169114.03</v>
      </c>
      <c r="O47">
        <v>1.04</v>
      </c>
    </row>
    <row r="48" spans="1:15" x14ac:dyDescent="0.3">
      <c r="A48" s="6" t="s">
        <v>142</v>
      </c>
      <c r="B48" cm="1">
        <f t="array" ref="B48:C48">_xlfn.XLOOKUP(A48,'Main Data'!A45:A1044,'Main Data'!B45:C1044,"Data Not Found",0)</f>
        <v>45</v>
      </c>
      <c r="C48" t="str">
        <v>Other</v>
      </c>
      <c r="E48" s="6" t="s">
        <v>142</v>
      </c>
      <c r="F48" cm="1">
        <f t="array" ref="F48:I48">VLOOKUP(E48,CHOOSE({1,2,3,4,5},'Main Data'!A45:A1044,'Main Data'!B45:B1044,'Main Data'!C45:C1044,'Main Data'!M45:M1044,'Main Data'!N45:N1044),{2,3,4,5},0)</f>
        <v>45</v>
      </c>
      <c r="G48" t="str">
        <v>Other</v>
      </c>
      <c r="H48" t="str">
        <v>UAE</v>
      </c>
      <c r="I48">
        <v>1.8</v>
      </c>
      <c r="L48" s="6" t="s">
        <v>142</v>
      </c>
      <c r="M48" t="str" cm="1">
        <f t="array" ref="M48:O48">INDEX('Main Data'!A45:O1044,MATCH(L48,'Main Data'!A45:A1044,0),{3,7,14})</f>
        <v>Other</v>
      </c>
      <c r="N48">
        <v>187406.32</v>
      </c>
      <c r="O48">
        <v>1.8</v>
      </c>
    </row>
    <row r="49" spans="1:15" x14ac:dyDescent="0.3">
      <c r="A49" s="6" t="s">
        <v>144</v>
      </c>
      <c r="B49" cm="1">
        <f t="array" ref="B49:C49">_xlfn.XLOOKUP(A49,'Main Data'!A46:A1045,'Main Data'!B46:C1045,"Data Not Found",0)</f>
        <v>57</v>
      </c>
      <c r="C49" t="str">
        <v>Other</v>
      </c>
      <c r="E49" s="6" t="s">
        <v>144</v>
      </c>
      <c r="F49" cm="1">
        <f t="array" ref="F49:I49">VLOOKUP(E49,CHOOSE({1,2,3,4,5},'Main Data'!A46:A1045,'Main Data'!B46:B1045,'Main Data'!C46:C1045,'Main Data'!M46:M1045,'Main Data'!N46:N1045),{2,3,4,5},0)</f>
        <v>57</v>
      </c>
      <c r="G49" t="str">
        <v>Other</v>
      </c>
      <c r="H49" t="str">
        <v>Japan</v>
      </c>
      <c r="I49">
        <v>4.79</v>
      </c>
      <c r="L49" s="6" t="s">
        <v>144</v>
      </c>
      <c r="M49" t="str" cm="1">
        <f t="array" ref="M49:O49">INDEX('Main Data'!A46:O1045,MATCH(L49,'Main Data'!A46:A1045,0),{3,7,14})</f>
        <v>Other</v>
      </c>
      <c r="N49">
        <v>193266.69</v>
      </c>
      <c r="O49">
        <v>4.79</v>
      </c>
    </row>
    <row r="50" spans="1:15" x14ac:dyDescent="0.3">
      <c r="A50" s="6" t="s">
        <v>146</v>
      </c>
      <c r="B50" cm="1">
        <f t="array" ref="B50:C50">_xlfn.XLOOKUP(A50,'Main Data'!A47:A1046,'Main Data'!B47:C1046,"Data Not Found",0)</f>
        <v>33</v>
      </c>
      <c r="C50" t="str">
        <v>Male</v>
      </c>
      <c r="E50" s="6" t="s">
        <v>146</v>
      </c>
      <c r="F50" cm="1">
        <f t="array" ref="F50:I50">VLOOKUP(E50,CHOOSE({1,2,3,4,5},'Main Data'!A47:A1046,'Main Data'!B47:B1046,'Main Data'!C47:C1046,'Main Data'!M47:M1046,'Main Data'!N47:N1046),{2,3,4,5},0)</f>
        <v>33</v>
      </c>
      <c r="G50" t="str">
        <v>Male</v>
      </c>
      <c r="H50" t="str">
        <v>USA</v>
      </c>
      <c r="I50">
        <v>3.12</v>
      </c>
      <c r="L50" s="6" t="s">
        <v>146</v>
      </c>
      <c r="M50" t="str" cm="1">
        <f t="array" ref="M50:O50">INDEX('Main Data'!A47:O1046,MATCH(L50,'Main Data'!A47:A1046,0),{3,7,14})</f>
        <v>Male</v>
      </c>
      <c r="N50">
        <v>96855.19</v>
      </c>
      <c r="O50">
        <v>3.12</v>
      </c>
    </row>
    <row r="51" spans="1:15" x14ac:dyDescent="0.3">
      <c r="A51" s="6" t="s">
        <v>148</v>
      </c>
      <c r="B51" cm="1">
        <f t="array" ref="B51:C51">_xlfn.XLOOKUP(A51,'Main Data'!A48:A1047,'Main Data'!B48:C1047,"Data Not Found",0)</f>
        <v>50</v>
      </c>
      <c r="C51" t="str">
        <v>Female</v>
      </c>
      <c r="E51" s="6" t="s">
        <v>148</v>
      </c>
      <c r="F51" cm="1">
        <f t="array" ref="F51:I51">VLOOKUP(E51,CHOOSE({1,2,3,4,5},'Main Data'!A48:A1047,'Main Data'!B48:B1047,'Main Data'!C48:C1047,'Main Data'!M48:M1047,'Main Data'!N48:N1047),{2,3,4,5},0)</f>
        <v>50</v>
      </c>
      <c r="G51" t="str">
        <v>Female</v>
      </c>
      <c r="H51" t="str">
        <v>France</v>
      </c>
      <c r="I51">
        <v>3.72</v>
      </c>
      <c r="L51" s="6" t="s">
        <v>148</v>
      </c>
      <c r="M51" t="str" cm="1">
        <f t="array" ref="M51:O51">INDEX('Main Data'!A48:O1047,MATCH(L51,'Main Data'!A48:A1047,0),{3,7,14})</f>
        <v>Female</v>
      </c>
      <c r="N51">
        <v>86845.98</v>
      </c>
      <c r="O51">
        <v>3.72</v>
      </c>
    </row>
    <row r="52" spans="1:15" x14ac:dyDescent="0.3">
      <c r="A52" s="6" t="s">
        <v>150</v>
      </c>
      <c r="B52" cm="1">
        <f t="array" ref="B52:C52">_xlfn.XLOOKUP(A52,'Main Data'!A49:A1048,'Main Data'!B49:C1048,"Data Not Found",0)</f>
        <v>56</v>
      </c>
      <c r="C52" t="str">
        <v>Other</v>
      </c>
      <c r="E52" s="6" t="s">
        <v>150</v>
      </c>
      <c r="F52" cm="1">
        <f t="array" ref="F52:I52">VLOOKUP(E52,CHOOSE({1,2,3,4,5},'Main Data'!A49:A1048,'Main Data'!B49:B1048,'Main Data'!C49:C1048,'Main Data'!M49:M1048,'Main Data'!N49:N1048),{2,3,4,5},0)</f>
        <v>56</v>
      </c>
      <c r="G52" t="str">
        <v>Other</v>
      </c>
      <c r="H52" t="str">
        <v>UK</v>
      </c>
      <c r="I52">
        <v>1.02</v>
      </c>
      <c r="L52" s="6" t="s">
        <v>150</v>
      </c>
      <c r="M52" t="str" cm="1">
        <f t="array" ref="M52:O52">INDEX('Main Data'!A49:O1048,MATCH(L52,'Main Data'!A49:A1048,0),{3,7,14})</f>
        <v>Other</v>
      </c>
      <c r="N52">
        <v>139543.64000000001</v>
      </c>
      <c r="O52">
        <v>1.02</v>
      </c>
    </row>
    <row r="53" spans="1:15" x14ac:dyDescent="0.3">
      <c r="A53" s="6" t="s">
        <v>152</v>
      </c>
      <c r="B53" cm="1">
        <f t="array" ref="B53:C53">_xlfn.XLOOKUP(A53,'Main Data'!A50:A1049,'Main Data'!B50:C1049,"Data Not Found",0)</f>
        <v>22</v>
      </c>
      <c r="C53" t="str">
        <v>Other</v>
      </c>
      <c r="E53" s="6" t="s">
        <v>152</v>
      </c>
      <c r="F53" cm="1">
        <f t="array" ref="F53:I53">VLOOKUP(E53,CHOOSE({1,2,3,4,5},'Main Data'!A50:A1049,'Main Data'!B50:B1049,'Main Data'!C50:C1049,'Main Data'!M50:M1049,'Main Data'!N50:N1049),{2,3,4,5},0)</f>
        <v>22</v>
      </c>
      <c r="G53" t="str">
        <v>Other</v>
      </c>
      <c r="H53" t="str">
        <v>UAE</v>
      </c>
      <c r="I53">
        <v>3.72</v>
      </c>
      <c r="L53" s="6" t="s">
        <v>152</v>
      </c>
      <c r="M53" t="str" cm="1">
        <f t="array" ref="M53:O53">INDEX('Main Data'!A50:O1049,MATCH(L53,'Main Data'!A50:A1049,0),{3,7,14})</f>
        <v>Other</v>
      </c>
      <c r="N53">
        <v>133726.10999999999</v>
      </c>
      <c r="O53">
        <v>3.72</v>
      </c>
    </row>
    <row r="54" spans="1:15" x14ac:dyDescent="0.3">
      <c r="A54" s="6" t="s">
        <v>154</v>
      </c>
      <c r="B54" cm="1">
        <f t="array" ref="B54:C54">_xlfn.XLOOKUP(A54,'Main Data'!A51:A1050,'Main Data'!B51:C1050,"Data Not Found",0)</f>
        <v>22</v>
      </c>
      <c r="C54" t="str">
        <v>Male</v>
      </c>
      <c r="E54" s="6" t="s">
        <v>154</v>
      </c>
      <c r="F54" cm="1">
        <f t="array" ref="F54:I54">VLOOKUP(E54,CHOOSE({1,2,3,4,5},'Main Data'!A51:A1050,'Main Data'!B51:B1050,'Main Data'!C51:C1050,'Main Data'!M51:M1050,'Main Data'!N51:N1050),{2,3,4,5},0)</f>
        <v>22</v>
      </c>
      <c r="G54" t="str">
        <v>Male</v>
      </c>
      <c r="H54" t="str">
        <v>Japan</v>
      </c>
      <c r="I54">
        <v>3.68</v>
      </c>
      <c r="L54" s="6" t="s">
        <v>154</v>
      </c>
      <c r="M54" t="str" cm="1">
        <f t="array" ref="M54:O54">INDEX('Main Data'!A51:O1050,MATCH(L54,'Main Data'!A51:A1050,0),{3,7,14})</f>
        <v>Male</v>
      </c>
      <c r="N54">
        <v>184934.92</v>
      </c>
      <c r="O54">
        <v>3.68</v>
      </c>
    </row>
    <row r="55" spans="1:15" x14ac:dyDescent="0.3">
      <c r="A55" s="6" t="s">
        <v>156</v>
      </c>
      <c r="B55" cm="1">
        <f t="array" ref="B55:C55">_xlfn.XLOOKUP(A55,'Main Data'!A52:A1051,'Main Data'!B52:C1051,"Data Not Found",0)</f>
        <v>58</v>
      </c>
      <c r="C55" t="str">
        <v>Male</v>
      </c>
      <c r="E55" s="6" t="s">
        <v>156</v>
      </c>
      <c r="F55" cm="1">
        <f t="array" ref="F55:I55">VLOOKUP(E55,CHOOSE({1,2,3,4,5},'Main Data'!A52:A1051,'Main Data'!B52:B1051,'Main Data'!C52:C1051,'Main Data'!M52:M1051,'Main Data'!N52:N1051),{2,3,4,5},0)</f>
        <v>58</v>
      </c>
      <c r="G55" t="str">
        <v>Male</v>
      </c>
      <c r="H55" t="str">
        <v>USA</v>
      </c>
      <c r="I55">
        <v>1.74</v>
      </c>
      <c r="L55" s="6" t="s">
        <v>156</v>
      </c>
      <c r="M55" t="str" cm="1">
        <f t="array" ref="M55:O55">INDEX('Main Data'!A52:O1051,MATCH(L55,'Main Data'!A52:A1051,0),{3,7,14})</f>
        <v>Male</v>
      </c>
      <c r="N55">
        <v>116625.29</v>
      </c>
      <c r="O55">
        <v>1.74</v>
      </c>
    </row>
    <row r="56" spans="1:15" x14ac:dyDescent="0.3">
      <c r="A56" s="6" t="s">
        <v>158</v>
      </c>
      <c r="B56" cm="1">
        <f t="array" ref="B56:C56">_xlfn.XLOOKUP(A56,'Main Data'!A53:A1052,'Main Data'!B53:C1052,"Data Not Found",0)</f>
        <v>27</v>
      </c>
      <c r="C56" t="str">
        <v>Other</v>
      </c>
      <c r="E56" s="6" t="s">
        <v>158</v>
      </c>
      <c r="F56" cm="1">
        <f t="array" ref="F56:I56">VLOOKUP(E56,CHOOSE({1,2,3,4,5},'Main Data'!A53:A1052,'Main Data'!B53:B1052,'Main Data'!C53:C1052,'Main Data'!M53:M1052,'Main Data'!N53:N1052),{2,3,4,5},0)</f>
        <v>27</v>
      </c>
      <c r="G56" t="str">
        <v>Other</v>
      </c>
      <c r="H56" t="str">
        <v>France</v>
      </c>
      <c r="I56">
        <v>1.76</v>
      </c>
      <c r="L56" s="6" t="s">
        <v>158</v>
      </c>
      <c r="M56" t="str" cm="1">
        <f t="array" ref="M56:O56">INDEX('Main Data'!A53:O1052,MATCH(L56,'Main Data'!A53:A1052,0),{3,7,14})</f>
        <v>Other</v>
      </c>
      <c r="N56">
        <v>198684.03</v>
      </c>
      <c r="O56">
        <v>1.76</v>
      </c>
    </row>
    <row r="57" spans="1:15" x14ac:dyDescent="0.3">
      <c r="A57" s="6" t="s">
        <v>160</v>
      </c>
      <c r="B57" cm="1">
        <f t="array" ref="B57:C57">_xlfn.XLOOKUP(A57,'Main Data'!A54:A1053,'Main Data'!B54:C1053,"Data Not Found",0)</f>
        <v>60</v>
      </c>
      <c r="C57" t="str">
        <v>Male</v>
      </c>
      <c r="E57" s="6" t="s">
        <v>160</v>
      </c>
      <c r="F57" cm="1">
        <f t="array" ref="F57:I57">VLOOKUP(E57,CHOOSE({1,2,3,4,5},'Main Data'!A54:A1053,'Main Data'!B54:B1053,'Main Data'!C54:C1053,'Main Data'!M54:M1053,'Main Data'!N54:N1053),{2,3,4,5},0)</f>
        <v>60</v>
      </c>
      <c r="G57" t="str">
        <v>Male</v>
      </c>
      <c r="H57" t="str">
        <v>UK</v>
      </c>
      <c r="I57">
        <v>3.97</v>
      </c>
      <c r="L57" s="6" t="s">
        <v>160</v>
      </c>
      <c r="M57" t="str" cm="1">
        <f t="array" ref="M57:O57">INDEX('Main Data'!A54:O1053,MATCH(L57,'Main Data'!A54:A1053,0),{3,7,14})</f>
        <v>Male</v>
      </c>
      <c r="N57">
        <v>162065.97</v>
      </c>
      <c r="O57">
        <v>3.97</v>
      </c>
    </row>
    <row r="58" spans="1:15" x14ac:dyDescent="0.3">
      <c r="A58" s="6" t="s">
        <v>162</v>
      </c>
      <c r="B58" cm="1">
        <f t="array" ref="B58:C58">_xlfn.XLOOKUP(A58,'Main Data'!A55:A1054,'Main Data'!B55:C1054,"Data Not Found",0)</f>
        <v>62</v>
      </c>
      <c r="C58" t="str">
        <v>Male</v>
      </c>
      <c r="E58" s="6" t="s">
        <v>162</v>
      </c>
      <c r="F58" cm="1">
        <f t="array" ref="F58:I58">VLOOKUP(E58,CHOOSE({1,2,3,4,5},'Main Data'!A55:A1054,'Main Data'!B55:B1054,'Main Data'!C55:C1054,'Main Data'!M55:M1054,'Main Data'!N55:N1054),{2,3,4,5},0)</f>
        <v>62</v>
      </c>
      <c r="G58" t="str">
        <v>Male</v>
      </c>
      <c r="H58" t="str">
        <v>UAE</v>
      </c>
      <c r="I58">
        <v>2.11</v>
      </c>
      <c r="L58" s="6" t="s">
        <v>162</v>
      </c>
      <c r="M58" t="str" cm="1">
        <f t="array" ref="M58:O58">INDEX('Main Data'!A55:O1054,MATCH(L58,'Main Data'!A55:A1054,0),{3,7,14})</f>
        <v>Male</v>
      </c>
      <c r="N58">
        <v>180376.54</v>
      </c>
      <c r="O58">
        <v>2.11</v>
      </c>
    </row>
    <row r="59" spans="1:15" x14ac:dyDescent="0.3">
      <c r="A59" s="6" t="s">
        <v>164</v>
      </c>
      <c r="B59" cm="1">
        <f t="array" ref="B59:C59">_xlfn.XLOOKUP(A59,'Main Data'!A56:A1055,'Main Data'!B56:C1055,"Data Not Found",0)</f>
        <v>39</v>
      </c>
      <c r="C59" t="str">
        <v>Female</v>
      </c>
      <c r="E59" s="6" t="s">
        <v>164</v>
      </c>
      <c r="F59" cm="1">
        <f t="array" ref="F59:I59">VLOOKUP(E59,CHOOSE({1,2,3,4,5},'Main Data'!A56:A1055,'Main Data'!B56:B1055,'Main Data'!C56:C1055,'Main Data'!M56:M1055,'Main Data'!N56:N1055),{2,3,4,5},0)</f>
        <v>39</v>
      </c>
      <c r="G59" t="str">
        <v>Female</v>
      </c>
      <c r="H59" t="str">
        <v>Japan</v>
      </c>
      <c r="I59">
        <v>2.06</v>
      </c>
      <c r="L59" s="6" t="s">
        <v>164</v>
      </c>
      <c r="M59" t="str" cm="1">
        <f t="array" ref="M59:O59">INDEX('Main Data'!A56:O1055,MATCH(L59,'Main Data'!A56:A1055,0),{3,7,14})</f>
        <v>Female</v>
      </c>
      <c r="N59">
        <v>139521.15</v>
      </c>
      <c r="O59">
        <v>2.06</v>
      </c>
    </row>
    <row r="60" spans="1:15" x14ac:dyDescent="0.3">
      <c r="A60" s="6" t="s">
        <v>166</v>
      </c>
      <c r="B60" cm="1">
        <f t="array" ref="B60:C60">_xlfn.XLOOKUP(A60,'Main Data'!A57:A1056,'Main Data'!B57:C1056,"Data Not Found",0)</f>
        <v>37</v>
      </c>
      <c r="C60" t="str">
        <v>Female</v>
      </c>
      <c r="E60" s="6" t="s">
        <v>166</v>
      </c>
      <c r="F60" cm="1">
        <f t="array" ref="F60:I60">VLOOKUP(E60,CHOOSE({1,2,3,4,5},'Main Data'!A57:A1056,'Main Data'!B57:B1056,'Main Data'!C57:C1056,'Main Data'!M57:M1056,'Main Data'!N57:N1056),{2,3,4,5},0)</f>
        <v>37</v>
      </c>
      <c r="G60" t="str">
        <v>Female</v>
      </c>
      <c r="H60" t="str">
        <v>USA</v>
      </c>
      <c r="I60">
        <v>1.32</v>
      </c>
      <c r="L60" s="6" t="s">
        <v>166</v>
      </c>
      <c r="M60" t="str" cm="1">
        <f t="array" ref="M60:O60">INDEX('Main Data'!A57:O1056,MATCH(L60,'Main Data'!A57:A1056,0),{3,7,14})</f>
        <v>Female</v>
      </c>
      <c r="N60">
        <v>160423.66</v>
      </c>
      <c r="O60">
        <v>1.32</v>
      </c>
    </row>
    <row r="61" spans="1:15" x14ac:dyDescent="0.3">
      <c r="A61" s="6" t="s">
        <v>168</v>
      </c>
      <c r="B61" cm="1">
        <f t="array" ref="B61:C61">_xlfn.XLOOKUP(A61,'Main Data'!A58:A1057,'Main Data'!B58:C1057,"Data Not Found",0)</f>
        <v>26</v>
      </c>
      <c r="C61" t="str">
        <v>Other</v>
      </c>
      <c r="E61" s="6" t="s">
        <v>168</v>
      </c>
      <c r="F61" cm="1">
        <f t="array" ref="F61:I61">VLOOKUP(E61,CHOOSE({1,2,3,4,5},'Main Data'!A58:A1057,'Main Data'!B58:B1057,'Main Data'!C58:C1057,'Main Data'!M58:M1057,'Main Data'!N58:N1057),{2,3,4,5},0)</f>
        <v>26</v>
      </c>
      <c r="G61" t="str">
        <v>Other</v>
      </c>
      <c r="H61" t="str">
        <v>France</v>
      </c>
      <c r="I61">
        <v>4.3099999999999996</v>
      </c>
      <c r="L61" s="6" t="s">
        <v>168</v>
      </c>
      <c r="M61" t="str" cm="1">
        <f t="array" ref="M61:O61">INDEX('Main Data'!A58:O1057,MATCH(L61,'Main Data'!A58:A1057,0),{3,7,14})</f>
        <v>Other</v>
      </c>
      <c r="N61">
        <v>180510.58</v>
      </c>
      <c r="O61">
        <v>4.3099999999999996</v>
      </c>
    </row>
    <row r="62" spans="1:15" x14ac:dyDescent="0.3">
      <c r="A62" s="6" t="s">
        <v>170</v>
      </c>
      <c r="B62" cm="1">
        <f t="array" ref="B62:C62">_xlfn.XLOOKUP(A62,'Main Data'!A59:A1058,'Main Data'!B59:C1058,"Data Not Found",0)</f>
        <v>63</v>
      </c>
      <c r="C62" t="str">
        <v>Other</v>
      </c>
      <c r="E62" s="6" t="s">
        <v>170</v>
      </c>
      <c r="F62" cm="1">
        <f t="array" ref="F62:I62">VLOOKUP(E62,CHOOSE({1,2,3,4,5},'Main Data'!A59:A1058,'Main Data'!B59:B1058,'Main Data'!C59:C1058,'Main Data'!M59:M1058,'Main Data'!N59:N1058),{2,3,4,5},0)</f>
        <v>63</v>
      </c>
      <c r="G62" t="str">
        <v>Other</v>
      </c>
      <c r="H62" t="str">
        <v>UK</v>
      </c>
      <c r="I62">
        <v>3.53</v>
      </c>
      <c r="L62" s="6" t="s">
        <v>170</v>
      </c>
      <c r="M62" t="str" cm="1">
        <f t="array" ref="M62:O62">INDEX('Main Data'!A59:O1058,MATCH(L62,'Main Data'!A59:A1058,0),{3,7,14})</f>
        <v>Other</v>
      </c>
      <c r="N62">
        <v>168671.1</v>
      </c>
      <c r="O62">
        <v>3.53</v>
      </c>
    </row>
    <row r="63" spans="1:15" x14ac:dyDescent="0.3">
      <c r="A63" s="6" t="s">
        <v>172</v>
      </c>
      <c r="B63" cm="1">
        <f t="array" ref="B63:C63">_xlfn.XLOOKUP(A63,'Main Data'!A60:A1059,'Main Data'!B60:C1059,"Data Not Found",0)</f>
        <v>64</v>
      </c>
      <c r="C63" t="str">
        <v>Other</v>
      </c>
      <c r="E63" s="6" t="s">
        <v>172</v>
      </c>
      <c r="F63" cm="1">
        <f t="array" ref="F63:I63">VLOOKUP(E63,CHOOSE({1,2,3,4,5},'Main Data'!A60:A1059,'Main Data'!B60:B1059,'Main Data'!C60:C1059,'Main Data'!M60:M1059,'Main Data'!N60:N1059),{2,3,4,5},0)</f>
        <v>64</v>
      </c>
      <c r="G63" t="str">
        <v>Other</v>
      </c>
      <c r="H63" t="str">
        <v>UAE</v>
      </c>
      <c r="I63">
        <v>1.08</v>
      </c>
      <c r="L63" s="6" t="s">
        <v>172</v>
      </c>
      <c r="M63" t="str" cm="1">
        <f t="array" ref="M63:O63">INDEX('Main Data'!A60:O1059,MATCH(L63,'Main Data'!A60:A1059,0),{3,7,14})</f>
        <v>Other</v>
      </c>
      <c r="N63">
        <v>132003.32999999999</v>
      </c>
      <c r="O63">
        <v>1.08</v>
      </c>
    </row>
    <row r="64" spans="1:15" x14ac:dyDescent="0.3">
      <c r="A64" s="6" t="s">
        <v>174</v>
      </c>
      <c r="B64" cm="1">
        <f t="array" ref="B64:C64">_xlfn.XLOOKUP(A64,'Main Data'!A61:A1060,'Main Data'!B61:C1060,"Data Not Found",0)</f>
        <v>53</v>
      </c>
      <c r="C64" t="str">
        <v>Male</v>
      </c>
      <c r="E64" s="6" t="s">
        <v>174</v>
      </c>
      <c r="F64" cm="1">
        <f t="array" ref="F64:I64">VLOOKUP(E64,CHOOSE({1,2,3,4,5},'Main Data'!A61:A1060,'Main Data'!B61:B1060,'Main Data'!C61:C1060,'Main Data'!M61:M1060,'Main Data'!N61:N1060),{2,3,4,5},0)</f>
        <v>53</v>
      </c>
      <c r="G64" t="str">
        <v>Male</v>
      </c>
      <c r="H64" t="str">
        <v>Japan</v>
      </c>
      <c r="I64">
        <v>1.24</v>
      </c>
      <c r="L64" s="6" t="s">
        <v>174</v>
      </c>
      <c r="M64" t="str" cm="1">
        <f t="array" ref="M64:O64">INDEX('Main Data'!A61:O1060,MATCH(L64,'Main Data'!A61:A1060,0),{3,7,14})</f>
        <v>Male</v>
      </c>
      <c r="N64">
        <v>187832.01</v>
      </c>
      <c r="O64">
        <v>1.24</v>
      </c>
    </row>
    <row r="65" spans="1:15" x14ac:dyDescent="0.3">
      <c r="A65" s="6" t="s">
        <v>176</v>
      </c>
      <c r="B65" cm="1">
        <f t="array" ref="B65:C65">_xlfn.XLOOKUP(A65,'Main Data'!A62:A1061,'Main Data'!B62:C1061,"Data Not Found",0)</f>
        <v>23</v>
      </c>
      <c r="C65" t="str">
        <v>Female</v>
      </c>
      <c r="E65" s="6" t="s">
        <v>176</v>
      </c>
      <c r="F65" cm="1">
        <f t="array" ref="F65:I65">VLOOKUP(E65,CHOOSE({1,2,3,4,5},'Main Data'!A62:A1061,'Main Data'!B62:B1061,'Main Data'!C62:C1061,'Main Data'!M62:M1061,'Main Data'!N62:N1061),{2,3,4,5},0)</f>
        <v>23</v>
      </c>
      <c r="G65" t="str">
        <v>Female</v>
      </c>
      <c r="H65" t="str">
        <v>USA</v>
      </c>
      <c r="I65">
        <v>2.35</v>
      </c>
      <c r="L65" s="6" t="s">
        <v>176</v>
      </c>
      <c r="M65" t="str" cm="1">
        <f t="array" ref="M65:O65">INDEX('Main Data'!A62:O1061,MATCH(L65,'Main Data'!A62:A1061,0),{3,7,14})</f>
        <v>Female</v>
      </c>
      <c r="N65">
        <v>80646.55</v>
      </c>
      <c r="O65">
        <v>2.35</v>
      </c>
    </row>
    <row r="66" spans="1:15" x14ac:dyDescent="0.3">
      <c r="A66" s="6" t="s">
        <v>178</v>
      </c>
      <c r="B66" cm="1">
        <f t="array" ref="B66:C66">_xlfn.XLOOKUP(A66,'Main Data'!A63:A1062,'Main Data'!B63:C1062,"Data Not Found",0)</f>
        <v>23</v>
      </c>
      <c r="C66" t="str">
        <v>Other</v>
      </c>
      <c r="E66" s="6" t="s">
        <v>178</v>
      </c>
      <c r="F66" cm="1">
        <f t="array" ref="F66:I66">VLOOKUP(E66,CHOOSE({1,2,3,4,5},'Main Data'!A63:A1062,'Main Data'!B63:B1062,'Main Data'!C63:C1062,'Main Data'!M63:M1062,'Main Data'!N63:N1062),{2,3,4,5},0)</f>
        <v>23</v>
      </c>
      <c r="G66" t="str">
        <v>Other</v>
      </c>
      <c r="H66" t="str">
        <v>France</v>
      </c>
      <c r="I66">
        <v>2.2200000000000002</v>
      </c>
      <c r="L66" s="6" t="s">
        <v>178</v>
      </c>
      <c r="M66" t="str" cm="1">
        <f t="array" ref="M66:O66">INDEX('Main Data'!A63:O1062,MATCH(L66,'Main Data'!A63:A1062,0),{3,7,14})</f>
        <v>Other</v>
      </c>
      <c r="N66">
        <v>86216.16</v>
      </c>
      <c r="O66">
        <v>2.2200000000000002</v>
      </c>
    </row>
    <row r="67" spans="1:15" x14ac:dyDescent="0.3">
      <c r="A67" s="6" t="s">
        <v>180</v>
      </c>
      <c r="B67" cm="1">
        <f t="array" ref="B67:C67">_xlfn.XLOOKUP(A67,'Main Data'!A64:A1063,'Main Data'!B64:C1063,"Data Not Found",0)</f>
        <v>61</v>
      </c>
      <c r="C67" t="str">
        <v>Female</v>
      </c>
      <c r="E67" s="6" t="s">
        <v>180</v>
      </c>
      <c r="F67" cm="1">
        <f t="array" ref="F67:I67">VLOOKUP(E67,CHOOSE({1,2,3,4,5},'Main Data'!A64:A1063,'Main Data'!B64:B1063,'Main Data'!C64:C1063,'Main Data'!M64:M1063,'Main Data'!N64:N1063),{2,3,4,5},0)</f>
        <v>61</v>
      </c>
      <c r="G67" t="str">
        <v>Female</v>
      </c>
      <c r="H67" t="str">
        <v>UK</v>
      </c>
      <c r="I67">
        <v>4.5</v>
      </c>
      <c r="L67" s="6" t="s">
        <v>180</v>
      </c>
      <c r="M67" t="str" cm="1">
        <f t="array" ref="M67:O67">INDEX('Main Data'!A64:O1063,MATCH(L67,'Main Data'!A64:A1063,0),{3,7,14})</f>
        <v>Female</v>
      </c>
      <c r="N67">
        <v>146404.20000000001</v>
      </c>
      <c r="O67">
        <v>4.5</v>
      </c>
    </row>
    <row r="68" spans="1:15" x14ac:dyDescent="0.3">
      <c r="A68" s="6" t="s">
        <v>182</v>
      </c>
      <c r="B68" cm="1">
        <f t="array" ref="B68:C68">_xlfn.XLOOKUP(A68,'Main Data'!A65:A1064,'Main Data'!B65:C1064,"Data Not Found",0)</f>
        <v>63</v>
      </c>
      <c r="C68" t="str">
        <v>Male</v>
      </c>
      <c r="E68" s="6" t="s">
        <v>182</v>
      </c>
      <c r="F68" cm="1">
        <f t="array" ref="F68:I68">VLOOKUP(E68,CHOOSE({1,2,3,4,5},'Main Data'!A65:A1064,'Main Data'!B65:B1064,'Main Data'!C65:C1064,'Main Data'!M65:M1064,'Main Data'!N65:N1064),{2,3,4,5},0)</f>
        <v>63</v>
      </c>
      <c r="G68" t="str">
        <v>Male</v>
      </c>
      <c r="H68" t="str">
        <v>UAE</v>
      </c>
      <c r="I68">
        <v>3.28</v>
      </c>
      <c r="L68" s="6" t="s">
        <v>182</v>
      </c>
      <c r="M68" t="str" cm="1">
        <f t="array" ref="M68:O68">INDEX('Main Data'!A65:O1064,MATCH(L68,'Main Data'!A65:A1064,0),{3,7,14})</f>
        <v>Male</v>
      </c>
      <c r="N68">
        <v>179868.67</v>
      </c>
      <c r="O68">
        <v>3.28</v>
      </c>
    </row>
    <row r="69" spans="1:15" x14ac:dyDescent="0.3">
      <c r="A69" s="6" t="s">
        <v>184</v>
      </c>
      <c r="B69" cm="1">
        <f t="array" ref="B69:C69">_xlfn.XLOOKUP(A69,'Main Data'!A66:A1065,'Main Data'!B66:C1065,"Data Not Found",0)</f>
        <v>57</v>
      </c>
      <c r="C69" t="str">
        <v>Female</v>
      </c>
      <c r="E69" s="6" t="s">
        <v>184</v>
      </c>
      <c r="F69" cm="1">
        <f t="array" ref="F69:I69">VLOOKUP(E69,CHOOSE({1,2,3,4,5},'Main Data'!A66:A1065,'Main Data'!B66:B1065,'Main Data'!C66:C1065,'Main Data'!M66:M1065,'Main Data'!N66:N1065),{2,3,4,5},0)</f>
        <v>57</v>
      </c>
      <c r="G69" t="str">
        <v>Female</v>
      </c>
      <c r="H69" t="str">
        <v>Japan</v>
      </c>
      <c r="I69">
        <v>1.37</v>
      </c>
      <c r="L69" s="6" t="s">
        <v>184</v>
      </c>
      <c r="M69" t="str" cm="1">
        <f t="array" ref="M69:O69">INDEX('Main Data'!A66:O1065,MATCH(L69,'Main Data'!A66:A1065,0),{3,7,14})</f>
        <v>Female</v>
      </c>
      <c r="N69">
        <v>71229.509999999995</v>
      </c>
      <c r="O69">
        <v>1.37</v>
      </c>
    </row>
    <row r="70" spans="1:15" x14ac:dyDescent="0.3">
      <c r="A70" s="6" t="s">
        <v>186</v>
      </c>
      <c r="B70" cm="1">
        <f t="array" ref="B70:C70">_xlfn.XLOOKUP(A70,'Main Data'!A67:A1066,'Main Data'!B67:C1066,"Data Not Found",0)</f>
        <v>60</v>
      </c>
      <c r="C70" t="str">
        <v>Male</v>
      </c>
      <c r="E70" s="6" t="s">
        <v>186</v>
      </c>
      <c r="F70" cm="1">
        <f t="array" ref="F70:I70">VLOOKUP(E70,CHOOSE({1,2,3,4,5},'Main Data'!A67:A1066,'Main Data'!B67:B1066,'Main Data'!C67:C1066,'Main Data'!M67:M1066,'Main Data'!N67:N1066),{2,3,4,5},0)</f>
        <v>60</v>
      </c>
      <c r="G70" t="str">
        <v>Male</v>
      </c>
      <c r="H70" t="str">
        <v>USA</v>
      </c>
      <c r="I70">
        <v>1.38</v>
      </c>
      <c r="L70" s="6" t="s">
        <v>186</v>
      </c>
      <c r="M70" t="str" cm="1">
        <f t="array" ref="M70:O70">INDEX('Main Data'!A67:O1066,MATCH(L70,'Main Data'!A67:A1066,0),{3,7,14})</f>
        <v>Male</v>
      </c>
      <c r="N70">
        <v>137742.38</v>
      </c>
      <c r="O70">
        <v>1.38</v>
      </c>
    </row>
    <row r="71" spans="1:15" x14ac:dyDescent="0.3">
      <c r="A71" s="6" t="s">
        <v>188</v>
      </c>
      <c r="B71" cm="1">
        <f t="array" ref="B71:C71">_xlfn.XLOOKUP(A71,'Main Data'!A68:A1067,'Main Data'!B68:C1067,"Data Not Found",0)</f>
        <v>33</v>
      </c>
      <c r="C71" t="str">
        <v>Other</v>
      </c>
      <c r="E71" s="6" t="s">
        <v>188</v>
      </c>
      <c r="F71" cm="1">
        <f t="array" ref="F71:I71">VLOOKUP(E71,CHOOSE({1,2,3,4,5},'Main Data'!A68:A1067,'Main Data'!B68:B1067,'Main Data'!C68:C1067,'Main Data'!M68:M1067,'Main Data'!N68:N1067),{2,3,4,5},0)</f>
        <v>33</v>
      </c>
      <c r="G71" t="str">
        <v>Other</v>
      </c>
      <c r="H71" t="str">
        <v>France</v>
      </c>
      <c r="I71">
        <v>3.57</v>
      </c>
      <c r="L71" s="6" t="s">
        <v>188</v>
      </c>
      <c r="M71" t="str" cm="1">
        <f t="array" ref="M71:O71">INDEX('Main Data'!A68:O1067,MATCH(L71,'Main Data'!A68:A1067,0),{3,7,14})</f>
        <v>Other</v>
      </c>
      <c r="N71">
        <v>178939.88</v>
      </c>
      <c r="O71">
        <v>3.57</v>
      </c>
    </row>
    <row r="72" spans="1:15" x14ac:dyDescent="0.3">
      <c r="A72" s="6" t="s">
        <v>190</v>
      </c>
      <c r="B72" cm="1">
        <f t="array" ref="B72:C72">_xlfn.XLOOKUP(A72,'Main Data'!A69:A1068,'Main Data'!B69:C1068,"Data Not Found",0)</f>
        <v>40</v>
      </c>
      <c r="C72" t="str">
        <v>Male</v>
      </c>
      <c r="E72" s="6" t="s">
        <v>190</v>
      </c>
      <c r="F72" cm="1">
        <f t="array" ref="F72:I72">VLOOKUP(E72,CHOOSE({1,2,3,4,5},'Main Data'!A69:A1068,'Main Data'!B69:B1068,'Main Data'!C69:C1068,'Main Data'!M69:M1068,'Main Data'!N69:N1068),{2,3,4,5},0)</f>
        <v>40</v>
      </c>
      <c r="G72" t="str">
        <v>Male</v>
      </c>
      <c r="H72" t="str">
        <v>UK</v>
      </c>
      <c r="I72">
        <v>2.5</v>
      </c>
      <c r="L72" s="6" t="s">
        <v>190</v>
      </c>
      <c r="M72" t="str" cm="1">
        <f t="array" ref="M72:O72">INDEX('Main Data'!A69:O1068,MATCH(L72,'Main Data'!A69:A1068,0),{3,7,14})</f>
        <v>Male</v>
      </c>
      <c r="N72">
        <v>117411.9</v>
      </c>
      <c r="O72">
        <v>2.5</v>
      </c>
    </row>
    <row r="73" spans="1:15" x14ac:dyDescent="0.3">
      <c r="A73" s="6" t="s">
        <v>192</v>
      </c>
      <c r="B73" cm="1">
        <f t="array" ref="B73:C73">_xlfn.XLOOKUP(A73,'Main Data'!A70:A1069,'Main Data'!B70:C1069,"Data Not Found",0)</f>
        <v>49</v>
      </c>
      <c r="C73" t="str">
        <v>Male</v>
      </c>
      <c r="E73" s="6" t="s">
        <v>192</v>
      </c>
      <c r="F73" cm="1">
        <f t="array" ref="F73:I73">VLOOKUP(E73,CHOOSE({1,2,3,4,5},'Main Data'!A70:A1069,'Main Data'!B70:B1069,'Main Data'!C70:C1069,'Main Data'!M70:M1069,'Main Data'!N70:N1069),{2,3,4,5},0)</f>
        <v>49</v>
      </c>
      <c r="G73" t="str">
        <v>Male</v>
      </c>
      <c r="H73" t="str">
        <v>UAE</v>
      </c>
      <c r="I73">
        <v>4.76</v>
      </c>
      <c r="L73" s="6" t="s">
        <v>192</v>
      </c>
      <c r="M73" t="str" cm="1">
        <f t="array" ref="M73:O73">INDEX('Main Data'!A70:O1069,MATCH(L73,'Main Data'!A70:A1069,0),{3,7,14})</f>
        <v>Male</v>
      </c>
      <c r="N73">
        <v>101480.08</v>
      </c>
      <c r="O73">
        <v>4.76</v>
      </c>
    </row>
    <row r="74" spans="1:15" x14ac:dyDescent="0.3">
      <c r="A74" s="6" t="s">
        <v>194</v>
      </c>
      <c r="B74" cm="1">
        <f t="array" ref="B74:C74">_xlfn.XLOOKUP(A74,'Main Data'!A71:A1070,'Main Data'!B71:C1070,"Data Not Found",0)</f>
        <v>22</v>
      </c>
      <c r="C74" t="str">
        <v>Male</v>
      </c>
      <c r="E74" s="6" t="s">
        <v>194</v>
      </c>
      <c r="F74" cm="1">
        <f t="array" ref="F74:I74">VLOOKUP(E74,CHOOSE({1,2,3,4,5},'Main Data'!A71:A1070,'Main Data'!B71:B1070,'Main Data'!C71:C1070,'Main Data'!M71:M1070,'Main Data'!N71:N1070),{2,3,4,5},0)</f>
        <v>22</v>
      </c>
      <c r="G74" t="str">
        <v>Male</v>
      </c>
      <c r="H74" t="str">
        <v>Japan</v>
      </c>
      <c r="I74">
        <v>1.64</v>
      </c>
      <c r="L74" s="6" t="s">
        <v>194</v>
      </c>
      <c r="M74" t="str" cm="1">
        <f t="array" ref="M74:O74">INDEX('Main Data'!A71:O1070,MATCH(L74,'Main Data'!A71:A1070,0),{3,7,14})</f>
        <v>Male</v>
      </c>
      <c r="N74">
        <v>181861.73</v>
      </c>
      <c r="O74">
        <v>1.64</v>
      </c>
    </row>
    <row r="75" spans="1:15" x14ac:dyDescent="0.3">
      <c r="A75" s="6" t="s">
        <v>196</v>
      </c>
      <c r="B75" cm="1">
        <f t="array" ref="B75:C75">_xlfn.XLOOKUP(A75,'Main Data'!A72:A1071,'Main Data'!B72:C1071,"Data Not Found",0)</f>
        <v>36</v>
      </c>
      <c r="C75" t="str">
        <v>Male</v>
      </c>
      <c r="E75" s="6" t="s">
        <v>196</v>
      </c>
      <c r="F75" cm="1">
        <f t="array" ref="F75:I75">VLOOKUP(E75,CHOOSE({1,2,3,4,5},'Main Data'!A72:A1071,'Main Data'!B72:B1071,'Main Data'!C72:C1071,'Main Data'!M72:M1071,'Main Data'!N72:N1071),{2,3,4,5},0)</f>
        <v>36</v>
      </c>
      <c r="G75" t="str">
        <v>Male</v>
      </c>
      <c r="H75" t="str">
        <v>USA</v>
      </c>
      <c r="I75">
        <v>4.4000000000000004</v>
      </c>
      <c r="L75" s="6" t="s">
        <v>196</v>
      </c>
      <c r="M75" t="str" cm="1">
        <f t="array" ref="M75:O75">INDEX('Main Data'!A72:O1071,MATCH(L75,'Main Data'!A72:A1071,0),{3,7,14})</f>
        <v>Male</v>
      </c>
      <c r="N75">
        <v>190144.74</v>
      </c>
      <c r="O75">
        <v>4.4000000000000004</v>
      </c>
    </row>
    <row r="76" spans="1:15" x14ac:dyDescent="0.3">
      <c r="A76" s="6" t="s">
        <v>198</v>
      </c>
      <c r="B76" cm="1">
        <f t="array" ref="B76:C76">_xlfn.XLOOKUP(A76,'Main Data'!A73:A1072,'Main Data'!B73:C1072,"Data Not Found",0)</f>
        <v>57</v>
      </c>
      <c r="C76" t="str">
        <v>Other</v>
      </c>
      <c r="E76" s="6" t="s">
        <v>198</v>
      </c>
      <c r="F76" cm="1">
        <f t="array" ref="F76:I76">VLOOKUP(E76,CHOOSE({1,2,3,4,5},'Main Data'!A73:A1072,'Main Data'!B73:B1072,'Main Data'!C73:C1072,'Main Data'!M73:M1072,'Main Data'!N73:N1072),{2,3,4,5},0)</f>
        <v>57</v>
      </c>
      <c r="G76" t="str">
        <v>Other</v>
      </c>
      <c r="H76" t="str">
        <v>France</v>
      </c>
      <c r="I76">
        <v>1.73</v>
      </c>
      <c r="L76" s="6" t="s">
        <v>198</v>
      </c>
      <c r="M76" t="str" cm="1">
        <f t="array" ref="M76:O76">INDEX('Main Data'!A73:O1072,MATCH(L76,'Main Data'!A73:A1072,0),{3,7,14})</f>
        <v>Other</v>
      </c>
      <c r="N76">
        <v>147474.16</v>
      </c>
      <c r="O76">
        <v>1.73</v>
      </c>
    </row>
    <row r="77" spans="1:15" x14ac:dyDescent="0.3">
      <c r="A77" s="6" t="s">
        <v>200</v>
      </c>
      <c r="B77" cm="1">
        <f t="array" ref="B77:C77">_xlfn.XLOOKUP(A77,'Main Data'!A74:A1073,'Main Data'!B74:C1073,"Data Not Found",0)</f>
        <v>34</v>
      </c>
      <c r="C77" t="str">
        <v>Female</v>
      </c>
      <c r="E77" s="6" t="s">
        <v>200</v>
      </c>
      <c r="F77" cm="1">
        <f t="array" ref="F77:I77">VLOOKUP(E77,CHOOSE({1,2,3,4,5},'Main Data'!A74:A1073,'Main Data'!B74:B1073,'Main Data'!C74:C1073,'Main Data'!M74:M1073,'Main Data'!N74:N1073),{2,3,4,5},0)</f>
        <v>34</v>
      </c>
      <c r="G77" t="str">
        <v>Female</v>
      </c>
      <c r="H77" t="str">
        <v>UK</v>
      </c>
      <c r="I77">
        <v>2.2400000000000002</v>
      </c>
      <c r="L77" s="6" t="s">
        <v>200</v>
      </c>
      <c r="M77" t="str" cm="1">
        <f t="array" ref="M77:O77">INDEX('Main Data'!A74:O1073,MATCH(L77,'Main Data'!A74:A1073,0),{3,7,14})</f>
        <v>Female</v>
      </c>
      <c r="N77">
        <v>182363.39</v>
      </c>
      <c r="O77">
        <v>2.2400000000000002</v>
      </c>
    </row>
    <row r="78" spans="1:15" x14ac:dyDescent="0.3">
      <c r="A78" s="6" t="s">
        <v>202</v>
      </c>
      <c r="B78" cm="1">
        <f t="array" ref="B78:C78">_xlfn.XLOOKUP(A78,'Main Data'!A75:A1074,'Main Data'!B75:C1074,"Data Not Found",0)</f>
        <v>64</v>
      </c>
      <c r="C78" t="str">
        <v>Other</v>
      </c>
      <c r="E78" s="6" t="s">
        <v>202</v>
      </c>
      <c r="F78" cm="1">
        <f t="array" ref="F78:I78">VLOOKUP(E78,CHOOSE({1,2,3,4,5},'Main Data'!A75:A1074,'Main Data'!B75:B1074,'Main Data'!C75:C1074,'Main Data'!M75:M1074,'Main Data'!N75:N1074),{2,3,4,5},0)</f>
        <v>64</v>
      </c>
      <c r="G78" t="str">
        <v>Other</v>
      </c>
      <c r="H78" t="str">
        <v>UAE</v>
      </c>
      <c r="I78">
        <v>3.84</v>
      </c>
      <c r="L78" s="6" t="s">
        <v>202</v>
      </c>
      <c r="M78" t="str" cm="1">
        <f t="array" ref="M78:O78">INDEX('Main Data'!A75:O1074,MATCH(L78,'Main Data'!A75:A1074,0),{3,7,14})</f>
        <v>Other</v>
      </c>
      <c r="N78">
        <v>98636.45</v>
      </c>
      <c r="O78">
        <v>3.84</v>
      </c>
    </row>
    <row r="79" spans="1:15" x14ac:dyDescent="0.3">
      <c r="A79" s="6" t="s">
        <v>204</v>
      </c>
      <c r="B79" cm="1">
        <f t="array" ref="B79:C79">_xlfn.XLOOKUP(A79,'Main Data'!A76:A1075,'Main Data'!B76:C1075,"Data Not Found",0)</f>
        <v>42</v>
      </c>
      <c r="C79" t="str">
        <v>Other</v>
      </c>
      <c r="E79" s="6" t="s">
        <v>204</v>
      </c>
      <c r="F79" cm="1">
        <f t="array" ref="F79:I79">VLOOKUP(E79,CHOOSE({1,2,3,4,5},'Main Data'!A76:A1075,'Main Data'!B76:B1075,'Main Data'!C76:C1075,'Main Data'!M76:M1075,'Main Data'!N76:N1075),{2,3,4,5},0)</f>
        <v>42</v>
      </c>
      <c r="G79" t="str">
        <v>Other</v>
      </c>
      <c r="H79" t="str">
        <v>Japan</v>
      </c>
      <c r="I79">
        <v>1.04</v>
      </c>
      <c r="L79" s="6" t="s">
        <v>204</v>
      </c>
      <c r="M79" t="str" cm="1">
        <f t="array" ref="M79:O79">INDEX('Main Data'!A76:O1075,MATCH(L79,'Main Data'!A76:A1075,0),{3,7,14})</f>
        <v>Other</v>
      </c>
      <c r="N79">
        <v>136704</v>
      </c>
      <c r="O79">
        <v>1.04</v>
      </c>
    </row>
    <row r="80" spans="1:15" x14ac:dyDescent="0.3">
      <c r="A80" s="6" t="s">
        <v>206</v>
      </c>
      <c r="B80" cm="1">
        <f t="array" ref="B80:C80">_xlfn.XLOOKUP(A80,'Main Data'!A77:A1076,'Main Data'!B77:C1076,"Data Not Found",0)</f>
        <v>33</v>
      </c>
      <c r="C80" t="str">
        <v>Male</v>
      </c>
      <c r="E80" s="6" t="s">
        <v>206</v>
      </c>
      <c r="F80" cm="1">
        <f t="array" ref="F80:I80">VLOOKUP(E80,CHOOSE({1,2,3,4,5},'Main Data'!A77:A1076,'Main Data'!B77:B1076,'Main Data'!C77:C1076,'Main Data'!M77:M1076,'Main Data'!N77:N1076),{2,3,4,5},0)</f>
        <v>33</v>
      </c>
      <c r="G80" t="str">
        <v>Male</v>
      </c>
      <c r="H80" t="str">
        <v>USA</v>
      </c>
      <c r="I80">
        <v>3.3</v>
      </c>
      <c r="L80" s="6" t="s">
        <v>206</v>
      </c>
      <c r="M80" t="str" cm="1">
        <f t="array" ref="M80:O80">INDEX('Main Data'!A77:O1076,MATCH(L80,'Main Data'!A77:A1076,0),{3,7,14})</f>
        <v>Male</v>
      </c>
      <c r="N80">
        <v>160288.32000000001</v>
      </c>
      <c r="O80">
        <v>3.3</v>
      </c>
    </row>
    <row r="81" spans="1:15" x14ac:dyDescent="0.3">
      <c r="A81" s="6" t="s">
        <v>208</v>
      </c>
      <c r="B81" cm="1">
        <f t="array" ref="B81:C81">_xlfn.XLOOKUP(A81,'Main Data'!A78:A1077,'Main Data'!B78:C1077,"Data Not Found",0)</f>
        <v>26</v>
      </c>
      <c r="C81" t="str">
        <v>Other</v>
      </c>
      <c r="E81" s="6" t="s">
        <v>208</v>
      </c>
      <c r="F81" cm="1">
        <f t="array" ref="F81:I81">VLOOKUP(E81,CHOOSE({1,2,3,4,5},'Main Data'!A78:A1077,'Main Data'!B78:B1077,'Main Data'!C78:C1077,'Main Data'!M78:M1077,'Main Data'!N78:N1077),{2,3,4,5},0)</f>
        <v>26</v>
      </c>
      <c r="G81" t="str">
        <v>Other</v>
      </c>
      <c r="H81" t="str">
        <v>France</v>
      </c>
      <c r="I81">
        <v>1.72</v>
      </c>
      <c r="L81" s="6" t="s">
        <v>208</v>
      </c>
      <c r="M81" t="str" cm="1">
        <f t="array" ref="M81:O81">INDEX('Main Data'!A78:O1077,MATCH(L81,'Main Data'!A78:A1077,0),{3,7,14})</f>
        <v>Other</v>
      </c>
      <c r="N81">
        <v>107907.36</v>
      </c>
      <c r="O81">
        <v>1.72</v>
      </c>
    </row>
    <row r="82" spans="1:15" x14ac:dyDescent="0.3">
      <c r="A82" s="6" t="s">
        <v>210</v>
      </c>
      <c r="B82" cm="1">
        <f t="array" ref="B82:C82">_xlfn.XLOOKUP(A82,'Main Data'!A79:A1078,'Main Data'!B79:C1078,"Data Not Found",0)</f>
        <v>28</v>
      </c>
      <c r="C82" t="str">
        <v>Male</v>
      </c>
      <c r="E82" s="6" t="s">
        <v>210</v>
      </c>
      <c r="F82" cm="1">
        <f t="array" ref="F82:I82">VLOOKUP(E82,CHOOSE({1,2,3,4,5},'Main Data'!A79:A1078,'Main Data'!B79:B1078,'Main Data'!C79:C1078,'Main Data'!M79:M1078,'Main Data'!N79:N1078),{2,3,4,5},0)</f>
        <v>28</v>
      </c>
      <c r="G82" t="str">
        <v>Male</v>
      </c>
      <c r="H82" t="str">
        <v>UK</v>
      </c>
      <c r="I82">
        <v>4.3600000000000003</v>
      </c>
      <c r="L82" s="6" t="s">
        <v>210</v>
      </c>
      <c r="M82" t="str" cm="1">
        <f t="array" ref="M82:O82">INDEX('Main Data'!A79:O1078,MATCH(L82,'Main Data'!A79:A1078,0),{3,7,14})</f>
        <v>Male</v>
      </c>
      <c r="N82">
        <v>126664.7</v>
      </c>
      <c r="O82">
        <v>4.3600000000000003</v>
      </c>
    </row>
    <row r="83" spans="1:15" x14ac:dyDescent="0.3">
      <c r="A83" s="6" t="s">
        <v>212</v>
      </c>
      <c r="B83" cm="1">
        <f t="array" ref="B83:C83">_xlfn.XLOOKUP(A83,'Main Data'!A80:A1079,'Main Data'!B80:C1079,"Data Not Found",0)</f>
        <v>26</v>
      </c>
      <c r="C83" t="str">
        <v>Female</v>
      </c>
      <c r="E83" s="6" t="s">
        <v>212</v>
      </c>
      <c r="F83" cm="1">
        <f t="array" ref="F83:I83">VLOOKUP(E83,CHOOSE({1,2,3,4,5},'Main Data'!A80:A1079,'Main Data'!B80:B1079,'Main Data'!C80:C1079,'Main Data'!M80:M1079,'Main Data'!N80:N1079),{2,3,4,5},0)</f>
        <v>26</v>
      </c>
      <c r="G83" t="str">
        <v>Female</v>
      </c>
      <c r="H83" t="str">
        <v>UAE</v>
      </c>
      <c r="I83">
        <v>3.51</v>
      </c>
      <c r="L83" s="6" t="s">
        <v>212</v>
      </c>
      <c r="M83" t="str" cm="1">
        <f t="array" ref="M83:O83">INDEX('Main Data'!A80:O1079,MATCH(L83,'Main Data'!A80:A1079,0),{3,7,14})</f>
        <v>Female</v>
      </c>
      <c r="N83">
        <v>199972.19</v>
      </c>
      <c r="O83">
        <v>3.51</v>
      </c>
    </row>
    <row r="84" spans="1:15" x14ac:dyDescent="0.3">
      <c r="A84" s="6" t="s">
        <v>214</v>
      </c>
      <c r="B84" cm="1">
        <f t="array" ref="B84:C84">_xlfn.XLOOKUP(A84,'Main Data'!A81:A1080,'Main Data'!B81:C1080,"Data Not Found",0)</f>
        <v>25</v>
      </c>
      <c r="C84" t="str">
        <v>Male</v>
      </c>
      <c r="E84" s="6" t="s">
        <v>214</v>
      </c>
      <c r="F84" cm="1">
        <f t="array" ref="F84:I84">VLOOKUP(E84,CHOOSE({1,2,3,4,5},'Main Data'!A81:A1080,'Main Data'!B81:B1080,'Main Data'!C81:C1080,'Main Data'!M81:M1080,'Main Data'!N81:N1080),{2,3,4,5},0)</f>
        <v>25</v>
      </c>
      <c r="G84" t="str">
        <v>Male</v>
      </c>
      <c r="H84" t="str">
        <v>Japan</v>
      </c>
      <c r="I84">
        <v>3.54</v>
      </c>
      <c r="L84" s="6" t="s">
        <v>214</v>
      </c>
      <c r="M84" t="str" cm="1">
        <f t="array" ref="M84:O84">INDEX('Main Data'!A81:O1080,MATCH(L84,'Main Data'!A81:A1080,0),{3,7,14})</f>
        <v>Male</v>
      </c>
      <c r="N84">
        <v>90064.11</v>
      </c>
      <c r="O84">
        <v>3.54</v>
      </c>
    </row>
    <row r="85" spans="1:15" x14ac:dyDescent="0.3">
      <c r="A85" s="6" t="s">
        <v>216</v>
      </c>
      <c r="B85" cm="1">
        <f t="array" ref="B85:C85">_xlfn.XLOOKUP(A85,'Main Data'!A82:A1081,'Main Data'!B82:C1081,"Data Not Found",0)</f>
        <v>34</v>
      </c>
      <c r="C85" t="str">
        <v>Female</v>
      </c>
      <c r="E85" s="6" t="s">
        <v>216</v>
      </c>
      <c r="F85" cm="1">
        <f t="array" ref="F85:I85">VLOOKUP(E85,CHOOSE({1,2,3,4,5},'Main Data'!A82:A1081,'Main Data'!B82:B1081,'Main Data'!C82:C1081,'Main Data'!M82:M1081,'Main Data'!N82:N1081),{2,3,4,5},0)</f>
        <v>34</v>
      </c>
      <c r="G85" t="str">
        <v>Female</v>
      </c>
      <c r="H85" t="str">
        <v>USA</v>
      </c>
      <c r="I85">
        <v>2.8</v>
      </c>
      <c r="L85" s="6" t="s">
        <v>216</v>
      </c>
      <c r="M85" t="str" cm="1">
        <f t="array" ref="M85:O85">INDEX('Main Data'!A82:O1081,MATCH(L85,'Main Data'!A82:A1081,0),{3,7,14})</f>
        <v>Female</v>
      </c>
      <c r="N85">
        <v>81638.899999999994</v>
      </c>
      <c r="O85">
        <v>2.8</v>
      </c>
    </row>
    <row r="86" spans="1:15" x14ac:dyDescent="0.3">
      <c r="A86" s="6" t="s">
        <v>218</v>
      </c>
      <c r="B86" cm="1">
        <f t="array" ref="B86:C86">_xlfn.XLOOKUP(A86,'Main Data'!A83:A1082,'Main Data'!B83:C1082,"Data Not Found",0)</f>
        <v>58</v>
      </c>
      <c r="C86" t="str">
        <v>Other</v>
      </c>
      <c r="E86" s="6" t="s">
        <v>218</v>
      </c>
      <c r="F86" cm="1">
        <f t="array" ref="F86:I86">VLOOKUP(E86,CHOOSE({1,2,3,4,5},'Main Data'!A83:A1082,'Main Data'!B83:B1082,'Main Data'!C83:C1082,'Main Data'!M83:M1082,'Main Data'!N83:N1082),{2,3,4,5},0)</f>
        <v>58</v>
      </c>
      <c r="G86" t="str">
        <v>Other</v>
      </c>
      <c r="H86" t="str">
        <v>France</v>
      </c>
      <c r="I86">
        <v>3.01</v>
      </c>
      <c r="L86" s="6" t="s">
        <v>218</v>
      </c>
      <c r="M86" t="str" cm="1">
        <f t="array" ref="M86:O86">INDEX('Main Data'!A83:O1082,MATCH(L86,'Main Data'!A83:A1082,0),{3,7,14})</f>
        <v>Other</v>
      </c>
      <c r="N86">
        <v>77048.899999999994</v>
      </c>
      <c r="O86">
        <v>3.01</v>
      </c>
    </row>
    <row r="87" spans="1:15" x14ac:dyDescent="0.3">
      <c r="A87" s="6" t="s">
        <v>220</v>
      </c>
      <c r="B87" cm="1">
        <f t="array" ref="B87:C87">_xlfn.XLOOKUP(A87,'Main Data'!A84:A1083,'Main Data'!B84:C1083,"Data Not Found",0)</f>
        <v>62</v>
      </c>
      <c r="C87" t="str">
        <v>Male</v>
      </c>
      <c r="E87" s="6" t="s">
        <v>220</v>
      </c>
      <c r="F87" cm="1">
        <f t="array" ref="F87:I87">VLOOKUP(E87,CHOOSE({1,2,3,4,5},'Main Data'!A84:A1083,'Main Data'!B84:B1083,'Main Data'!C84:C1083,'Main Data'!M84:M1083,'Main Data'!N84:N1083),{2,3,4,5},0)</f>
        <v>62</v>
      </c>
      <c r="G87" t="str">
        <v>Male</v>
      </c>
      <c r="H87" t="str">
        <v>UK</v>
      </c>
      <c r="I87">
        <v>4.88</v>
      </c>
      <c r="L87" s="6" t="s">
        <v>220</v>
      </c>
      <c r="M87" t="str" cm="1">
        <f t="array" ref="M87:O87">INDEX('Main Data'!A84:O1083,MATCH(L87,'Main Data'!A84:A1083,0),{3,7,14})</f>
        <v>Male</v>
      </c>
      <c r="N87">
        <v>85240.26</v>
      </c>
      <c r="O87">
        <v>4.88</v>
      </c>
    </row>
    <row r="88" spans="1:15" x14ac:dyDescent="0.3">
      <c r="A88" s="6" t="s">
        <v>222</v>
      </c>
      <c r="B88" cm="1">
        <f t="array" ref="B88:C88">_xlfn.XLOOKUP(A88,'Main Data'!A85:A1084,'Main Data'!B85:C1084,"Data Not Found",0)</f>
        <v>36</v>
      </c>
      <c r="C88" t="str">
        <v>Female</v>
      </c>
      <c r="E88" s="6" t="s">
        <v>222</v>
      </c>
      <c r="F88" cm="1">
        <f t="array" ref="F88:I88">VLOOKUP(E88,CHOOSE({1,2,3,4,5},'Main Data'!A85:A1084,'Main Data'!B85:B1084,'Main Data'!C85:C1084,'Main Data'!M85:M1084,'Main Data'!N85:N1084),{2,3,4,5},0)</f>
        <v>36</v>
      </c>
      <c r="G88" t="str">
        <v>Female</v>
      </c>
      <c r="H88" t="str">
        <v>UAE</v>
      </c>
      <c r="I88">
        <v>3.85</v>
      </c>
      <c r="L88" s="6" t="s">
        <v>222</v>
      </c>
      <c r="M88" t="str" cm="1">
        <f t="array" ref="M88:O88">INDEX('Main Data'!A85:O1084,MATCH(L88,'Main Data'!A85:A1084,0),{3,7,14})</f>
        <v>Female</v>
      </c>
      <c r="N88">
        <v>89440.43</v>
      </c>
      <c r="O88">
        <v>3.85</v>
      </c>
    </row>
    <row r="89" spans="1:15" x14ac:dyDescent="0.3">
      <c r="A89" s="6" t="s">
        <v>224</v>
      </c>
      <c r="B89" cm="1">
        <f t="array" ref="B89:C89">_xlfn.XLOOKUP(A89,'Main Data'!A86:A1085,'Main Data'!B86:C1085,"Data Not Found",0)</f>
        <v>37</v>
      </c>
      <c r="C89" t="str">
        <v>Other</v>
      </c>
      <c r="E89" s="6" t="s">
        <v>224</v>
      </c>
      <c r="F89" cm="1">
        <f t="array" ref="F89:I89">VLOOKUP(E89,CHOOSE({1,2,3,4,5},'Main Data'!A86:A1085,'Main Data'!B86:B1085,'Main Data'!C86:C1085,'Main Data'!M86:M1085,'Main Data'!N86:N1085),{2,3,4,5},0)</f>
        <v>37</v>
      </c>
      <c r="G89" t="str">
        <v>Other</v>
      </c>
      <c r="H89" t="str">
        <v>Japan</v>
      </c>
      <c r="I89">
        <v>3.41</v>
      </c>
      <c r="L89" s="6" t="s">
        <v>224</v>
      </c>
      <c r="M89" t="str" cm="1">
        <f t="array" ref="M89:O89">INDEX('Main Data'!A86:O1085,MATCH(L89,'Main Data'!A86:A1085,0),{3,7,14})</f>
        <v>Other</v>
      </c>
      <c r="N89">
        <v>114399.86</v>
      </c>
      <c r="O89">
        <v>3.41</v>
      </c>
    </row>
    <row r="90" spans="1:15" x14ac:dyDescent="0.3">
      <c r="A90" s="6" t="s">
        <v>226</v>
      </c>
      <c r="B90" cm="1">
        <f t="array" ref="B90:C90">_xlfn.XLOOKUP(A90,'Main Data'!A87:A1086,'Main Data'!B87:C1086,"Data Not Found",0)</f>
        <v>42</v>
      </c>
      <c r="C90" t="str">
        <v>Female</v>
      </c>
      <c r="E90" s="6" t="s">
        <v>226</v>
      </c>
      <c r="F90" cm="1">
        <f t="array" ref="F90:I90">VLOOKUP(E90,CHOOSE({1,2,3,4,5},'Main Data'!A87:A1086,'Main Data'!B87:B1086,'Main Data'!C87:C1086,'Main Data'!M87:M1086,'Main Data'!N87:N1086),{2,3,4,5},0)</f>
        <v>42</v>
      </c>
      <c r="G90" t="str">
        <v>Female</v>
      </c>
      <c r="H90" t="str">
        <v>USA</v>
      </c>
      <c r="I90">
        <v>4.25</v>
      </c>
      <c r="L90" s="6" t="s">
        <v>226</v>
      </c>
      <c r="M90" t="str" cm="1">
        <f t="array" ref="M90:O90">INDEX('Main Data'!A87:O1086,MATCH(L90,'Main Data'!A87:A1086,0),{3,7,14})</f>
        <v>Female</v>
      </c>
      <c r="N90">
        <v>163549.73000000001</v>
      </c>
      <c r="O90">
        <v>4.25</v>
      </c>
    </row>
    <row r="91" spans="1:15" x14ac:dyDescent="0.3">
      <c r="A91" s="6" t="s">
        <v>228</v>
      </c>
      <c r="B91" cm="1">
        <f t="array" ref="B91:C91">_xlfn.XLOOKUP(A91,'Main Data'!A88:A1087,'Main Data'!B88:C1087,"Data Not Found",0)</f>
        <v>57</v>
      </c>
      <c r="C91" t="str">
        <v>Male</v>
      </c>
      <c r="E91" s="6" t="s">
        <v>228</v>
      </c>
      <c r="F91" cm="1">
        <f t="array" ref="F91:I91">VLOOKUP(E91,CHOOSE({1,2,3,4,5},'Main Data'!A88:A1087,'Main Data'!B88:B1087,'Main Data'!C88:C1087,'Main Data'!M88:M1087,'Main Data'!N88:N1087),{2,3,4,5},0)</f>
        <v>57</v>
      </c>
      <c r="G91" t="str">
        <v>Male</v>
      </c>
      <c r="H91" t="str">
        <v>France</v>
      </c>
      <c r="I91">
        <v>3.92</v>
      </c>
      <c r="L91" s="6" t="s">
        <v>228</v>
      </c>
      <c r="M91" t="str" cm="1">
        <f t="array" ref="M91:O91">INDEX('Main Data'!A88:O1087,MATCH(L91,'Main Data'!A88:A1087,0),{3,7,14})</f>
        <v>Male</v>
      </c>
      <c r="N91">
        <v>130455.49</v>
      </c>
      <c r="O91">
        <v>3.92</v>
      </c>
    </row>
    <row r="92" spans="1:15" x14ac:dyDescent="0.3">
      <c r="A92" s="6" t="s">
        <v>230</v>
      </c>
      <c r="B92" cm="1">
        <f t="array" ref="B92:C92">_xlfn.XLOOKUP(A92,'Main Data'!A89:A1088,'Main Data'!B89:C1088,"Data Not Found",0)</f>
        <v>45</v>
      </c>
      <c r="C92" t="str">
        <v>Female</v>
      </c>
      <c r="E92" s="6" t="s">
        <v>230</v>
      </c>
      <c r="F92" cm="1">
        <f t="array" ref="F92:I92">VLOOKUP(E92,CHOOSE({1,2,3,4,5},'Main Data'!A89:A1088,'Main Data'!B89:B1088,'Main Data'!C89:C1088,'Main Data'!M89:M1088,'Main Data'!N89:N1088),{2,3,4,5},0)</f>
        <v>45</v>
      </c>
      <c r="G92" t="str">
        <v>Female</v>
      </c>
      <c r="H92" t="str">
        <v>UK</v>
      </c>
      <c r="I92">
        <v>1.45</v>
      </c>
      <c r="L92" s="6" t="s">
        <v>230</v>
      </c>
      <c r="M92" t="str" cm="1">
        <f t="array" ref="M92:O92">INDEX('Main Data'!A89:O1088,MATCH(L92,'Main Data'!A89:A1088,0),{3,7,14})</f>
        <v>Female</v>
      </c>
      <c r="N92">
        <v>177627.47</v>
      </c>
      <c r="O92">
        <v>1.45</v>
      </c>
    </row>
    <row r="93" spans="1:15" x14ac:dyDescent="0.3">
      <c r="A93" s="6" t="s">
        <v>232</v>
      </c>
      <c r="B93" cm="1">
        <f t="array" ref="B93:C93">_xlfn.XLOOKUP(A93,'Main Data'!A90:A1089,'Main Data'!B90:C1089,"Data Not Found",0)</f>
        <v>37</v>
      </c>
      <c r="C93" t="str">
        <v>Female</v>
      </c>
      <c r="E93" s="6" t="s">
        <v>232</v>
      </c>
      <c r="F93" cm="1">
        <f t="array" ref="F93:I93">VLOOKUP(E93,CHOOSE({1,2,3,4,5},'Main Data'!A90:A1089,'Main Data'!B90:B1089,'Main Data'!C90:C1089,'Main Data'!M90:M1089,'Main Data'!N90:N1089),{2,3,4,5},0)</f>
        <v>37</v>
      </c>
      <c r="G93" t="str">
        <v>Female</v>
      </c>
      <c r="H93" t="str">
        <v>UAE</v>
      </c>
      <c r="I93">
        <v>4.95</v>
      </c>
      <c r="L93" s="6" t="s">
        <v>232</v>
      </c>
      <c r="M93" t="str" cm="1">
        <f t="array" ref="M93:O93">INDEX('Main Data'!A90:O1089,MATCH(L93,'Main Data'!A90:A1089,0),{3,7,14})</f>
        <v>Female</v>
      </c>
      <c r="N93">
        <v>50532.9</v>
      </c>
      <c r="O93">
        <v>4.95</v>
      </c>
    </row>
    <row r="94" spans="1:15" x14ac:dyDescent="0.3">
      <c r="A94" s="6" t="s">
        <v>234</v>
      </c>
      <c r="B94" cm="1">
        <f t="array" ref="B94:C94">_xlfn.XLOOKUP(A94,'Main Data'!A91:A1090,'Main Data'!B91:C1090,"Data Not Found",0)</f>
        <v>35</v>
      </c>
      <c r="C94" t="str">
        <v>Female</v>
      </c>
      <c r="E94" s="6" t="s">
        <v>234</v>
      </c>
      <c r="F94" cm="1">
        <f t="array" ref="F94:I94">VLOOKUP(E94,CHOOSE({1,2,3,4,5},'Main Data'!A91:A1090,'Main Data'!B91:B1090,'Main Data'!C91:C1090,'Main Data'!M91:M1090,'Main Data'!N91:N1090),{2,3,4,5},0)</f>
        <v>35</v>
      </c>
      <c r="G94" t="str">
        <v>Female</v>
      </c>
      <c r="H94" t="str">
        <v>Japan</v>
      </c>
      <c r="I94">
        <v>1.47</v>
      </c>
      <c r="L94" s="6" t="s">
        <v>234</v>
      </c>
      <c r="M94" t="str" cm="1">
        <f t="array" ref="M94:O94">INDEX('Main Data'!A91:O1090,MATCH(L94,'Main Data'!A91:A1090,0),{3,7,14})</f>
        <v>Female</v>
      </c>
      <c r="N94">
        <v>191020.43</v>
      </c>
      <c r="O94">
        <v>1.47</v>
      </c>
    </row>
    <row r="95" spans="1:15" x14ac:dyDescent="0.3">
      <c r="A95" s="6" t="s">
        <v>236</v>
      </c>
      <c r="B95" cm="1">
        <f t="array" ref="B95:C95">_xlfn.XLOOKUP(A95,'Main Data'!A92:A1091,'Main Data'!B92:C1091,"Data Not Found",0)</f>
        <v>43</v>
      </c>
      <c r="C95" t="str">
        <v>Other</v>
      </c>
      <c r="E95" s="6" t="s">
        <v>236</v>
      </c>
      <c r="F95" cm="1">
        <f t="array" ref="F95:I95">VLOOKUP(E95,CHOOSE({1,2,3,4,5},'Main Data'!A92:A1091,'Main Data'!B92:B1091,'Main Data'!C92:C1091,'Main Data'!M92:M1091,'Main Data'!N92:N1091),{2,3,4,5},0)</f>
        <v>43</v>
      </c>
      <c r="G95" t="str">
        <v>Other</v>
      </c>
      <c r="H95" t="str">
        <v>USA</v>
      </c>
      <c r="I95">
        <v>4.0599999999999996</v>
      </c>
      <c r="L95" s="6" t="s">
        <v>236</v>
      </c>
      <c r="M95" t="str" cm="1">
        <f t="array" ref="M95:O95">INDEX('Main Data'!A92:O1091,MATCH(L95,'Main Data'!A92:A1091,0),{3,7,14})</f>
        <v>Other</v>
      </c>
      <c r="N95">
        <v>75577.7</v>
      </c>
      <c r="O95">
        <v>4.0599999999999996</v>
      </c>
    </row>
    <row r="96" spans="1:15" x14ac:dyDescent="0.3">
      <c r="A96" s="6" t="s">
        <v>238</v>
      </c>
      <c r="B96" cm="1">
        <f t="array" ref="B96:C96">_xlfn.XLOOKUP(A96,'Main Data'!A93:A1092,'Main Data'!B93:C1092,"Data Not Found",0)</f>
        <v>27</v>
      </c>
      <c r="C96" t="str">
        <v>Female</v>
      </c>
      <c r="E96" s="6" t="s">
        <v>238</v>
      </c>
      <c r="F96" cm="1">
        <f t="array" ref="F96:I96">VLOOKUP(E96,CHOOSE({1,2,3,4,5},'Main Data'!A93:A1092,'Main Data'!B93:B1092,'Main Data'!C93:C1092,'Main Data'!M93:M1092,'Main Data'!N93:N1092),{2,3,4,5},0)</f>
        <v>27</v>
      </c>
      <c r="G96" t="str">
        <v>Female</v>
      </c>
      <c r="H96" t="str">
        <v>France</v>
      </c>
      <c r="I96">
        <v>4.43</v>
      </c>
      <c r="L96" s="6" t="s">
        <v>238</v>
      </c>
      <c r="M96" t="str" cm="1">
        <f t="array" ref="M96:O96">INDEX('Main Data'!A93:O1092,MATCH(L96,'Main Data'!A93:A1092,0),{3,7,14})</f>
        <v>Female</v>
      </c>
      <c r="N96">
        <v>109813.63</v>
      </c>
      <c r="O96">
        <v>4.43</v>
      </c>
    </row>
    <row r="97" spans="1:15" x14ac:dyDescent="0.3">
      <c r="A97" s="6" t="s">
        <v>240</v>
      </c>
      <c r="B97" cm="1">
        <f t="array" ref="B97:C97">_xlfn.XLOOKUP(A97,'Main Data'!A94:A1093,'Main Data'!B94:C1093,"Data Not Found",0)</f>
        <v>63</v>
      </c>
      <c r="C97" t="str">
        <v>Female</v>
      </c>
      <c r="E97" s="6" t="s">
        <v>240</v>
      </c>
      <c r="F97" cm="1">
        <f t="array" ref="F97:I97">VLOOKUP(E97,CHOOSE({1,2,3,4,5},'Main Data'!A94:A1093,'Main Data'!B94:B1093,'Main Data'!C94:C1093,'Main Data'!M94:M1093,'Main Data'!N94:N1093),{2,3,4,5},0)</f>
        <v>63</v>
      </c>
      <c r="G97" t="str">
        <v>Female</v>
      </c>
      <c r="H97" t="str">
        <v>UK</v>
      </c>
      <c r="I97">
        <v>3.08</v>
      </c>
      <c r="L97" s="6" t="s">
        <v>240</v>
      </c>
      <c r="M97" t="str" cm="1">
        <f t="array" ref="M97:O97">INDEX('Main Data'!A94:O1093,MATCH(L97,'Main Data'!A94:A1093,0),{3,7,14})</f>
        <v>Female</v>
      </c>
      <c r="N97">
        <v>175520.46</v>
      </c>
      <c r="O97">
        <v>3.08</v>
      </c>
    </row>
    <row r="98" spans="1:15" x14ac:dyDescent="0.3">
      <c r="A98" s="6" t="s">
        <v>242</v>
      </c>
      <c r="B98" cm="1">
        <f t="array" ref="B98:C98">_xlfn.XLOOKUP(A98,'Main Data'!A95:A1094,'Main Data'!B95:C1094,"Data Not Found",0)</f>
        <v>57</v>
      </c>
      <c r="C98" t="str">
        <v>Female</v>
      </c>
      <c r="E98" s="6" t="s">
        <v>242</v>
      </c>
      <c r="F98" cm="1">
        <f t="array" ref="F98:I98">VLOOKUP(E98,CHOOSE({1,2,3,4,5},'Main Data'!A95:A1094,'Main Data'!B95:B1094,'Main Data'!C95:C1094,'Main Data'!M95:M1094,'Main Data'!N95:N1094),{2,3,4,5},0)</f>
        <v>57</v>
      </c>
      <c r="G98" t="str">
        <v>Female</v>
      </c>
      <c r="H98" t="str">
        <v>UAE</v>
      </c>
      <c r="I98">
        <v>1.17</v>
      </c>
      <c r="L98" s="6" t="s">
        <v>242</v>
      </c>
      <c r="M98" t="str" cm="1">
        <f t="array" ref="M98:O98">INDEX('Main Data'!A95:O1094,MATCH(L98,'Main Data'!A95:A1094,0),{3,7,14})</f>
        <v>Female</v>
      </c>
      <c r="N98">
        <v>146799.99</v>
      </c>
      <c r="O98">
        <v>1.17</v>
      </c>
    </row>
    <row r="99" spans="1:15" x14ac:dyDescent="0.3">
      <c r="A99" s="6" t="s">
        <v>244</v>
      </c>
      <c r="B99" cm="1">
        <f t="array" ref="B99:C99">_xlfn.XLOOKUP(A99,'Main Data'!A96:A1095,'Main Data'!B96:C1095,"Data Not Found",0)</f>
        <v>22</v>
      </c>
      <c r="C99" t="str">
        <v>Female</v>
      </c>
      <c r="E99" s="6" t="s">
        <v>244</v>
      </c>
      <c r="F99" cm="1">
        <f t="array" ref="F99:I99">VLOOKUP(E99,CHOOSE({1,2,3,4,5},'Main Data'!A96:A1095,'Main Data'!B96:B1095,'Main Data'!C96:C1095,'Main Data'!M96:M1095,'Main Data'!N96:N1095),{2,3,4,5},0)</f>
        <v>22</v>
      </c>
      <c r="G99" t="str">
        <v>Female</v>
      </c>
      <c r="H99" t="str">
        <v>Japan</v>
      </c>
      <c r="I99">
        <v>3.95</v>
      </c>
      <c r="L99" s="6" t="s">
        <v>244</v>
      </c>
      <c r="M99" t="str" cm="1">
        <f t="array" ref="M99:O99">INDEX('Main Data'!A96:O1095,MATCH(L99,'Main Data'!A96:A1095,0),{3,7,14})</f>
        <v>Female</v>
      </c>
      <c r="N99">
        <v>67509.440000000002</v>
      </c>
      <c r="O99">
        <v>3.95</v>
      </c>
    </row>
    <row r="100" spans="1:15" x14ac:dyDescent="0.3">
      <c r="A100" s="6" t="s">
        <v>246</v>
      </c>
      <c r="B100" cm="1">
        <f t="array" ref="B100:C100">_xlfn.XLOOKUP(A100,'Main Data'!A97:A1096,'Main Data'!B97:C1096,"Data Not Found",0)</f>
        <v>53</v>
      </c>
      <c r="C100" t="str">
        <v>Male</v>
      </c>
      <c r="E100" s="6" t="s">
        <v>246</v>
      </c>
      <c r="F100" cm="1">
        <f t="array" ref="F100:I100">VLOOKUP(E100,CHOOSE({1,2,3,4,5},'Main Data'!A97:A1096,'Main Data'!B97:B1096,'Main Data'!C97:C1096,'Main Data'!M97:M1096,'Main Data'!N97:N1096),{2,3,4,5},0)</f>
        <v>53</v>
      </c>
      <c r="G100" t="str">
        <v>Male</v>
      </c>
      <c r="H100" t="str">
        <v>USA</v>
      </c>
      <c r="I100">
        <v>1.82</v>
      </c>
      <c r="L100" s="6" t="s">
        <v>246</v>
      </c>
      <c r="M100" t="str" cm="1">
        <f t="array" ref="M100:O100">INDEX('Main Data'!A97:O1096,MATCH(L100,'Main Data'!A97:A1096,0),{3,7,14})</f>
        <v>Male</v>
      </c>
      <c r="N100">
        <v>187066.97</v>
      </c>
      <c r="O100">
        <v>1.82</v>
      </c>
    </row>
    <row r="101" spans="1:15" x14ac:dyDescent="0.3">
      <c r="A101" s="6" t="s">
        <v>248</v>
      </c>
      <c r="B101" cm="1">
        <f t="array" ref="B101:C101">_xlfn.XLOOKUP(A101,'Main Data'!A98:A1097,'Main Data'!B98:C1097,"Data Not Found",0)</f>
        <v>27</v>
      </c>
      <c r="C101" t="str">
        <v>Male</v>
      </c>
      <c r="E101" s="6" t="s">
        <v>248</v>
      </c>
      <c r="F101" cm="1">
        <f t="array" ref="F101:I101">VLOOKUP(E101,CHOOSE({1,2,3,4,5},'Main Data'!A98:A1097,'Main Data'!B98:B1097,'Main Data'!C98:C1097,'Main Data'!M98:M1097,'Main Data'!N98:N1097),{2,3,4,5},0)</f>
        <v>27</v>
      </c>
      <c r="G101" t="str">
        <v>Male</v>
      </c>
      <c r="H101" t="str">
        <v>France</v>
      </c>
      <c r="I101">
        <v>1.42</v>
      </c>
      <c r="L101" s="6" t="s">
        <v>248</v>
      </c>
      <c r="M101" t="str" cm="1">
        <f t="array" ref="M101:O101">INDEX('Main Data'!A98:O1097,MATCH(L101,'Main Data'!A98:A1097,0),{3,7,14})</f>
        <v>Male</v>
      </c>
      <c r="N101">
        <v>177682.97</v>
      </c>
      <c r="O101">
        <v>1.42</v>
      </c>
    </row>
    <row r="102" spans="1:15" x14ac:dyDescent="0.3">
      <c r="A102" s="6" t="s">
        <v>250</v>
      </c>
      <c r="B102" cm="1">
        <f t="array" ref="B102:C102">_xlfn.XLOOKUP(A102,'Main Data'!A99:A1098,'Main Data'!B99:C1098,"Data Not Found",0)</f>
        <v>52</v>
      </c>
      <c r="C102" t="str">
        <v>Other</v>
      </c>
      <c r="E102" s="6" t="s">
        <v>250</v>
      </c>
      <c r="F102" cm="1">
        <f t="array" ref="F102:I102">VLOOKUP(E102,CHOOSE({1,2,3,4,5},'Main Data'!A99:A1098,'Main Data'!B99:B1098,'Main Data'!C99:C1098,'Main Data'!M99:M1098,'Main Data'!N99:N1098),{2,3,4,5},0)</f>
        <v>52</v>
      </c>
      <c r="G102" t="str">
        <v>Other</v>
      </c>
      <c r="H102" t="str">
        <v>UK</v>
      </c>
      <c r="I102">
        <v>2.44</v>
      </c>
      <c r="L102" s="6" t="s">
        <v>250</v>
      </c>
      <c r="M102" t="str" cm="1">
        <f t="array" ref="M102:O102">INDEX('Main Data'!A99:O1098,MATCH(L102,'Main Data'!A99:A1098,0),{3,7,14})</f>
        <v>Other</v>
      </c>
      <c r="N102">
        <v>112967.08</v>
      </c>
      <c r="O102">
        <v>2.44</v>
      </c>
    </row>
    <row r="103" spans="1:15" x14ac:dyDescent="0.3">
      <c r="A103" s="6" t="s">
        <v>252</v>
      </c>
      <c r="B103" cm="1">
        <f t="array" ref="B103:C103">_xlfn.XLOOKUP(A103,'Main Data'!A100:A1099,'Main Data'!B100:C1099,"Data Not Found",0)</f>
        <v>22</v>
      </c>
      <c r="C103" t="str">
        <v>Female</v>
      </c>
      <c r="E103" s="6" t="s">
        <v>252</v>
      </c>
      <c r="F103" cm="1">
        <f t="array" ref="F103:I103">VLOOKUP(E103,CHOOSE({1,2,3,4,5},'Main Data'!A100:A1099,'Main Data'!B100:B1099,'Main Data'!C100:C1099,'Main Data'!M100:M1099,'Main Data'!N100:N1099),{2,3,4,5},0)</f>
        <v>22</v>
      </c>
      <c r="G103" t="str">
        <v>Female</v>
      </c>
      <c r="H103" t="str">
        <v>UAE</v>
      </c>
      <c r="I103">
        <v>4.24</v>
      </c>
      <c r="L103" s="6" t="s">
        <v>252</v>
      </c>
      <c r="M103" t="str" cm="1">
        <f t="array" ref="M103:O103">INDEX('Main Data'!A100:O1099,MATCH(L103,'Main Data'!A100:A1099,0),{3,7,14})</f>
        <v>Female</v>
      </c>
      <c r="N103">
        <v>104824.8</v>
      </c>
      <c r="O103">
        <v>4.24</v>
      </c>
    </row>
    <row r="104" spans="1:15" x14ac:dyDescent="0.3">
      <c r="A104" s="6" t="s">
        <v>254</v>
      </c>
      <c r="B104" cm="1">
        <f t="array" ref="B104:C104">_xlfn.XLOOKUP(A104,'Main Data'!A101:A1100,'Main Data'!B101:C1100,"Data Not Found",0)</f>
        <v>58</v>
      </c>
      <c r="C104" t="str">
        <v>Other</v>
      </c>
      <c r="E104" s="6" t="s">
        <v>254</v>
      </c>
      <c r="F104" cm="1">
        <f t="array" ref="F104:I104">VLOOKUP(E104,CHOOSE({1,2,3,4,5},'Main Data'!A101:A1100,'Main Data'!B101:B1100,'Main Data'!C101:C1100,'Main Data'!M101:M1100,'Main Data'!N101:N1100),{2,3,4,5},0)</f>
        <v>58</v>
      </c>
      <c r="G104" t="str">
        <v>Other</v>
      </c>
      <c r="H104" t="str">
        <v>Japan</v>
      </c>
      <c r="I104">
        <v>3.94</v>
      </c>
      <c r="L104" s="6" t="s">
        <v>254</v>
      </c>
      <c r="M104" t="str" cm="1">
        <f t="array" ref="M104:O104">INDEX('Main Data'!A101:O1100,MATCH(L104,'Main Data'!A101:A1100,0),{3,7,14})</f>
        <v>Other</v>
      </c>
      <c r="N104">
        <v>159929.82999999999</v>
      </c>
      <c r="O104">
        <v>3.94</v>
      </c>
    </row>
    <row r="105" spans="1:15" x14ac:dyDescent="0.3">
      <c r="A105" s="6" t="s">
        <v>256</v>
      </c>
      <c r="B105" cm="1">
        <f t="array" ref="B105:C105">_xlfn.XLOOKUP(A105,'Main Data'!A102:A1101,'Main Data'!B102:C1101,"Data Not Found",0)</f>
        <v>56</v>
      </c>
      <c r="C105" t="str">
        <v>Female</v>
      </c>
      <c r="E105" s="6" t="s">
        <v>256</v>
      </c>
      <c r="F105" cm="1">
        <f t="array" ref="F105:I105">VLOOKUP(E105,CHOOSE({1,2,3,4,5},'Main Data'!A102:A1101,'Main Data'!B102:B1101,'Main Data'!C102:C1101,'Main Data'!M102:M1101,'Main Data'!N102:N1101),{2,3,4,5},0)</f>
        <v>56</v>
      </c>
      <c r="G105" t="str">
        <v>Female</v>
      </c>
      <c r="H105" t="str">
        <v>USA</v>
      </c>
      <c r="I105">
        <v>4.8099999999999996</v>
      </c>
      <c r="L105" s="6" t="s">
        <v>256</v>
      </c>
      <c r="M105" t="str" cm="1">
        <f t="array" ref="M105:O105">INDEX('Main Data'!A102:O1101,MATCH(L105,'Main Data'!A102:A1101,0),{3,7,14})</f>
        <v>Female</v>
      </c>
      <c r="N105">
        <v>135123.97</v>
      </c>
      <c r="O105">
        <v>4.8099999999999996</v>
      </c>
    </row>
    <row r="106" spans="1:15" x14ac:dyDescent="0.3">
      <c r="A106" s="6" t="s">
        <v>258</v>
      </c>
      <c r="B106" cm="1">
        <f t="array" ref="B106:C106">_xlfn.XLOOKUP(A106,'Main Data'!A103:A1102,'Main Data'!B103:C1102,"Data Not Found",0)</f>
        <v>51</v>
      </c>
      <c r="C106" t="str">
        <v>Male</v>
      </c>
      <c r="E106" s="6" t="s">
        <v>258</v>
      </c>
      <c r="F106" cm="1">
        <f t="array" ref="F106:I106">VLOOKUP(E106,CHOOSE({1,2,3,4,5},'Main Data'!A103:A1102,'Main Data'!B103:B1102,'Main Data'!C103:C1102,'Main Data'!M103:M1102,'Main Data'!N103:N1102),{2,3,4,5},0)</f>
        <v>51</v>
      </c>
      <c r="G106" t="str">
        <v>Male</v>
      </c>
      <c r="H106" t="str">
        <v>France</v>
      </c>
      <c r="I106">
        <v>2.21</v>
      </c>
      <c r="L106" s="6" t="s">
        <v>258</v>
      </c>
      <c r="M106" t="str" cm="1">
        <f t="array" ref="M106:O106">INDEX('Main Data'!A103:O1102,MATCH(L106,'Main Data'!A103:A1102,0),{3,7,14})</f>
        <v>Male</v>
      </c>
      <c r="N106">
        <v>52630.1</v>
      </c>
      <c r="O106">
        <v>2.21</v>
      </c>
    </row>
    <row r="107" spans="1:15" x14ac:dyDescent="0.3">
      <c r="A107" s="6" t="s">
        <v>260</v>
      </c>
      <c r="B107" cm="1">
        <f t="array" ref="B107:C107">_xlfn.XLOOKUP(A107,'Main Data'!A104:A1103,'Main Data'!B104:C1103,"Data Not Found",0)</f>
        <v>25</v>
      </c>
      <c r="C107" t="str">
        <v>Female</v>
      </c>
      <c r="E107" s="6" t="s">
        <v>260</v>
      </c>
      <c r="F107" cm="1">
        <f t="array" ref="F107:I107">VLOOKUP(E107,CHOOSE({1,2,3,4,5},'Main Data'!A104:A1103,'Main Data'!B104:B1103,'Main Data'!C104:C1103,'Main Data'!M104:M1103,'Main Data'!N104:N1103),{2,3,4,5},0)</f>
        <v>25</v>
      </c>
      <c r="G107" t="str">
        <v>Female</v>
      </c>
      <c r="H107" t="str">
        <v>UK</v>
      </c>
      <c r="I107">
        <v>4.59</v>
      </c>
      <c r="L107" s="6" t="s">
        <v>260</v>
      </c>
      <c r="M107" t="str" cm="1">
        <f t="array" ref="M107:O107">INDEX('Main Data'!A104:O1103,MATCH(L107,'Main Data'!A104:A1103,0),{3,7,14})</f>
        <v>Female</v>
      </c>
      <c r="N107">
        <v>55964.99</v>
      </c>
      <c r="O107">
        <v>4.59</v>
      </c>
    </row>
    <row r="108" spans="1:15" x14ac:dyDescent="0.3">
      <c r="A108" s="6" t="s">
        <v>262</v>
      </c>
      <c r="B108" cm="1">
        <f t="array" ref="B108:C108">_xlfn.XLOOKUP(A108,'Main Data'!A105:A1104,'Main Data'!B105:C1104,"Data Not Found",0)</f>
        <v>56</v>
      </c>
      <c r="C108" t="str">
        <v>Other</v>
      </c>
      <c r="E108" s="6" t="s">
        <v>262</v>
      </c>
      <c r="F108" cm="1">
        <f t="array" ref="F108:I108">VLOOKUP(E108,CHOOSE({1,2,3,4,5},'Main Data'!A105:A1104,'Main Data'!B105:B1104,'Main Data'!C105:C1104,'Main Data'!M105:M1104,'Main Data'!N105:N1104),{2,3,4,5},0)</f>
        <v>56</v>
      </c>
      <c r="G108" t="str">
        <v>Other</v>
      </c>
      <c r="H108" t="str">
        <v>UAE</v>
      </c>
      <c r="I108">
        <v>3.11</v>
      </c>
      <c r="L108" s="6" t="s">
        <v>262</v>
      </c>
      <c r="M108" t="str" cm="1">
        <f t="array" ref="M108:O108">INDEX('Main Data'!A105:O1104,MATCH(L108,'Main Data'!A105:A1104,0),{3,7,14})</f>
        <v>Other</v>
      </c>
      <c r="N108">
        <v>169848.08</v>
      </c>
      <c r="O108">
        <v>3.11</v>
      </c>
    </row>
    <row r="109" spans="1:15" x14ac:dyDescent="0.3">
      <c r="A109" s="6" t="s">
        <v>264</v>
      </c>
      <c r="B109" cm="1">
        <f t="array" ref="B109:C109">_xlfn.XLOOKUP(A109,'Main Data'!A106:A1105,'Main Data'!B106:C1105,"Data Not Found",0)</f>
        <v>64</v>
      </c>
      <c r="C109" t="str">
        <v>Female</v>
      </c>
      <c r="E109" s="6" t="s">
        <v>264</v>
      </c>
      <c r="F109" cm="1">
        <f t="array" ref="F109:I109">VLOOKUP(E109,CHOOSE({1,2,3,4,5},'Main Data'!A106:A1105,'Main Data'!B106:B1105,'Main Data'!C106:C1105,'Main Data'!M106:M1105,'Main Data'!N106:N1105),{2,3,4,5},0)</f>
        <v>64</v>
      </c>
      <c r="G109" t="str">
        <v>Female</v>
      </c>
      <c r="H109" t="str">
        <v>Japan</v>
      </c>
      <c r="I109">
        <v>2.21</v>
      </c>
      <c r="L109" s="6" t="s">
        <v>264</v>
      </c>
      <c r="M109" t="str" cm="1">
        <f t="array" ref="M109:O109">INDEX('Main Data'!A106:O1105,MATCH(L109,'Main Data'!A106:A1105,0),{3,7,14})</f>
        <v>Female</v>
      </c>
      <c r="N109">
        <v>111312.24</v>
      </c>
      <c r="O109">
        <v>2.21</v>
      </c>
    </row>
    <row r="110" spans="1:15" x14ac:dyDescent="0.3">
      <c r="A110" s="6" t="s">
        <v>266</v>
      </c>
      <c r="B110" cm="1">
        <f t="array" ref="B110:C110">_xlfn.XLOOKUP(A110,'Main Data'!A107:A1106,'Main Data'!B107:C1106,"Data Not Found",0)</f>
        <v>35</v>
      </c>
      <c r="C110" t="str">
        <v>Male</v>
      </c>
      <c r="E110" s="6" t="s">
        <v>266</v>
      </c>
      <c r="F110" cm="1">
        <f t="array" ref="F110:I110">VLOOKUP(E110,CHOOSE({1,2,3,4,5},'Main Data'!A107:A1106,'Main Data'!B107:B1106,'Main Data'!C107:C1106,'Main Data'!M107:M1106,'Main Data'!N107:N1106),{2,3,4,5},0)</f>
        <v>35</v>
      </c>
      <c r="G110" t="str">
        <v>Male</v>
      </c>
      <c r="H110" t="str">
        <v>USA</v>
      </c>
      <c r="I110">
        <v>4.83</v>
      </c>
      <c r="L110" s="6" t="s">
        <v>266</v>
      </c>
      <c r="M110" t="str" cm="1">
        <f t="array" ref="M110:O110">INDEX('Main Data'!A107:O1106,MATCH(L110,'Main Data'!A107:A1106,0),{3,7,14})</f>
        <v>Male</v>
      </c>
      <c r="N110">
        <v>69669.53</v>
      </c>
      <c r="O110">
        <v>4.83</v>
      </c>
    </row>
    <row r="111" spans="1:15" x14ac:dyDescent="0.3">
      <c r="A111" s="6" t="s">
        <v>268</v>
      </c>
      <c r="B111" cm="1">
        <f t="array" ref="B111:C111">_xlfn.XLOOKUP(A111,'Main Data'!A108:A1107,'Main Data'!B108:C1107,"Data Not Found",0)</f>
        <v>61</v>
      </c>
      <c r="C111" t="str">
        <v>Other</v>
      </c>
      <c r="E111" s="6" t="s">
        <v>268</v>
      </c>
      <c r="F111" cm="1">
        <f t="array" ref="F111:I111">VLOOKUP(E111,CHOOSE({1,2,3,4,5},'Main Data'!A108:A1107,'Main Data'!B108:B1107,'Main Data'!C108:C1107,'Main Data'!M108:M1107,'Main Data'!N108:N1107),{2,3,4,5},0)</f>
        <v>61</v>
      </c>
      <c r="G111" t="str">
        <v>Other</v>
      </c>
      <c r="H111" t="str">
        <v>France</v>
      </c>
      <c r="I111">
        <v>1.37</v>
      </c>
      <c r="L111" s="6" t="s">
        <v>268</v>
      </c>
      <c r="M111" t="str" cm="1">
        <f t="array" ref="M111:O111">INDEX('Main Data'!A108:O1107,MATCH(L111,'Main Data'!A108:A1107,0),{3,7,14})</f>
        <v>Other</v>
      </c>
      <c r="N111">
        <v>183950.64</v>
      </c>
      <c r="O111">
        <v>1.37</v>
      </c>
    </row>
    <row r="112" spans="1:15" x14ac:dyDescent="0.3">
      <c r="A112" s="6" t="s">
        <v>270</v>
      </c>
      <c r="B112" cm="1">
        <f t="array" ref="B112:C112">_xlfn.XLOOKUP(A112,'Main Data'!A109:A1108,'Main Data'!B109:C1108,"Data Not Found",0)</f>
        <v>43</v>
      </c>
      <c r="C112" t="str">
        <v>Female</v>
      </c>
      <c r="E112" s="6" t="s">
        <v>270</v>
      </c>
      <c r="F112" cm="1">
        <f t="array" ref="F112:I112">VLOOKUP(E112,CHOOSE({1,2,3,4,5},'Main Data'!A109:A1108,'Main Data'!B109:B1108,'Main Data'!C109:C1108,'Main Data'!M109:M1108,'Main Data'!N109:N1108),{2,3,4,5},0)</f>
        <v>43</v>
      </c>
      <c r="G112" t="str">
        <v>Female</v>
      </c>
      <c r="H112" t="str">
        <v>UK</v>
      </c>
      <c r="I112">
        <v>3.51</v>
      </c>
      <c r="L112" s="6" t="s">
        <v>270</v>
      </c>
      <c r="M112" t="str" cm="1">
        <f t="array" ref="M112:O112">INDEX('Main Data'!A109:O1108,MATCH(L112,'Main Data'!A109:A1108,0),{3,7,14})</f>
        <v>Female</v>
      </c>
      <c r="N112">
        <v>158746.28</v>
      </c>
      <c r="O112">
        <v>3.51</v>
      </c>
    </row>
    <row r="113" spans="1:15" x14ac:dyDescent="0.3">
      <c r="A113" s="6" t="s">
        <v>272</v>
      </c>
      <c r="B113" cm="1">
        <f t="array" ref="B113:C113">_xlfn.XLOOKUP(A113,'Main Data'!A110:A1109,'Main Data'!B110:C1109,"Data Not Found",0)</f>
        <v>31</v>
      </c>
      <c r="C113" t="str">
        <v>Male</v>
      </c>
      <c r="E113" s="6" t="s">
        <v>272</v>
      </c>
      <c r="F113" cm="1">
        <f t="array" ref="F113:I113">VLOOKUP(E113,CHOOSE({1,2,3,4,5},'Main Data'!A110:A1109,'Main Data'!B110:B1109,'Main Data'!C110:C1109,'Main Data'!M110:M1109,'Main Data'!N110:N1109),{2,3,4,5},0)</f>
        <v>31</v>
      </c>
      <c r="G113" t="str">
        <v>Male</v>
      </c>
      <c r="H113" t="str">
        <v>UAE</v>
      </c>
      <c r="I113">
        <v>1.06</v>
      </c>
      <c r="L113" s="6" t="s">
        <v>272</v>
      </c>
      <c r="M113" t="str" cm="1">
        <f t="array" ref="M113:O113">INDEX('Main Data'!A110:O1109,MATCH(L113,'Main Data'!A110:A1109,0),{3,7,14})</f>
        <v>Male</v>
      </c>
      <c r="N113">
        <v>106077.69</v>
      </c>
      <c r="O113">
        <v>1.06</v>
      </c>
    </row>
    <row r="114" spans="1:15" x14ac:dyDescent="0.3">
      <c r="A114" s="6" t="s">
        <v>274</v>
      </c>
      <c r="B114" cm="1">
        <f t="array" ref="B114:C114">_xlfn.XLOOKUP(A114,'Main Data'!A111:A1110,'Main Data'!B111:C1110,"Data Not Found",0)</f>
        <v>22</v>
      </c>
      <c r="C114" t="str">
        <v>Female</v>
      </c>
      <c r="E114" s="6" t="s">
        <v>274</v>
      </c>
      <c r="F114" cm="1">
        <f t="array" ref="F114:I114">VLOOKUP(E114,CHOOSE({1,2,3,4,5},'Main Data'!A111:A1110,'Main Data'!B111:B1110,'Main Data'!C111:C1110,'Main Data'!M111:M1110,'Main Data'!N111:N1110),{2,3,4,5},0)</f>
        <v>22</v>
      </c>
      <c r="G114" t="str">
        <v>Female</v>
      </c>
      <c r="H114" t="str">
        <v>Japan</v>
      </c>
      <c r="I114">
        <v>3.46</v>
      </c>
      <c r="L114" s="6" t="s">
        <v>274</v>
      </c>
      <c r="M114" t="str" cm="1">
        <f t="array" ref="M114:O114">INDEX('Main Data'!A111:O1110,MATCH(L114,'Main Data'!A111:A1110,0),{3,7,14})</f>
        <v>Female</v>
      </c>
      <c r="N114">
        <v>70223.91</v>
      </c>
      <c r="O114">
        <v>3.46</v>
      </c>
    </row>
    <row r="115" spans="1:15" x14ac:dyDescent="0.3">
      <c r="A115" s="6" t="s">
        <v>276</v>
      </c>
      <c r="B115" cm="1">
        <f t="array" ref="B115:C115">_xlfn.XLOOKUP(A115,'Main Data'!A112:A1111,'Main Data'!B112:C1111,"Data Not Found",0)</f>
        <v>32</v>
      </c>
      <c r="C115" t="str">
        <v>Male</v>
      </c>
      <c r="E115" s="6" t="s">
        <v>276</v>
      </c>
      <c r="F115" cm="1">
        <f t="array" ref="F115:I115">VLOOKUP(E115,CHOOSE({1,2,3,4,5},'Main Data'!A112:A1111,'Main Data'!B112:B1111,'Main Data'!C112:C1111,'Main Data'!M112:M1111,'Main Data'!N112:N1111),{2,3,4,5},0)</f>
        <v>32</v>
      </c>
      <c r="G115" t="str">
        <v>Male</v>
      </c>
      <c r="H115" t="str">
        <v>USA</v>
      </c>
      <c r="I115">
        <v>3.93</v>
      </c>
      <c r="L115" s="6" t="s">
        <v>276</v>
      </c>
      <c r="M115" t="str" cm="1">
        <f t="array" ref="M115:O115">INDEX('Main Data'!A112:O1111,MATCH(L115,'Main Data'!A112:A1111,0),{3,7,14})</f>
        <v>Male</v>
      </c>
      <c r="N115">
        <v>57538.97</v>
      </c>
      <c r="O115">
        <v>3.93</v>
      </c>
    </row>
    <row r="116" spans="1:15" x14ac:dyDescent="0.3">
      <c r="A116" s="6" t="s">
        <v>278</v>
      </c>
      <c r="B116" cm="1">
        <f t="array" ref="B116:C116">_xlfn.XLOOKUP(A116,'Main Data'!A113:A1112,'Main Data'!B113:C1112,"Data Not Found",0)</f>
        <v>45</v>
      </c>
      <c r="C116" t="str">
        <v>Other</v>
      </c>
      <c r="E116" s="6" t="s">
        <v>278</v>
      </c>
      <c r="F116" cm="1">
        <f t="array" ref="F116:I116">VLOOKUP(E116,CHOOSE({1,2,3,4,5},'Main Data'!A113:A1112,'Main Data'!B113:B1112,'Main Data'!C113:C1112,'Main Data'!M113:M1112,'Main Data'!N113:N1112),{2,3,4,5},0)</f>
        <v>45</v>
      </c>
      <c r="G116" t="str">
        <v>Other</v>
      </c>
      <c r="H116" t="str">
        <v>France</v>
      </c>
      <c r="I116">
        <v>4.5199999999999996</v>
      </c>
      <c r="L116" s="6" t="s">
        <v>278</v>
      </c>
      <c r="M116" t="str" cm="1">
        <f t="array" ref="M116:O116">INDEX('Main Data'!A113:O1112,MATCH(L116,'Main Data'!A113:A1112,0),{3,7,14})</f>
        <v>Other</v>
      </c>
      <c r="N116">
        <v>146054.62</v>
      </c>
      <c r="O116">
        <v>4.5199999999999996</v>
      </c>
    </row>
    <row r="117" spans="1:15" x14ac:dyDescent="0.3">
      <c r="A117" s="6" t="s">
        <v>280</v>
      </c>
      <c r="B117" cm="1">
        <f t="array" ref="B117:C117">_xlfn.XLOOKUP(A117,'Main Data'!A114:A1113,'Main Data'!B114:C1113,"Data Not Found",0)</f>
        <v>24</v>
      </c>
      <c r="C117" t="str">
        <v>Other</v>
      </c>
      <c r="E117" s="6" t="s">
        <v>280</v>
      </c>
      <c r="F117" cm="1">
        <f t="array" ref="F117:I117">VLOOKUP(E117,CHOOSE({1,2,3,4,5},'Main Data'!A114:A1113,'Main Data'!B114:B1113,'Main Data'!C114:C1113,'Main Data'!M114:M1113,'Main Data'!N114:N1113),{2,3,4,5},0)</f>
        <v>24</v>
      </c>
      <c r="G117" t="str">
        <v>Other</v>
      </c>
      <c r="H117" t="str">
        <v>UK</v>
      </c>
      <c r="I117">
        <v>1.33</v>
      </c>
      <c r="L117" s="6" t="s">
        <v>280</v>
      </c>
      <c r="M117" t="str" cm="1">
        <f t="array" ref="M117:O117">INDEX('Main Data'!A114:O1113,MATCH(L117,'Main Data'!A114:A1113,0),{3,7,14})</f>
        <v>Other</v>
      </c>
      <c r="N117">
        <v>143874.01</v>
      </c>
      <c r="O117">
        <v>1.33</v>
      </c>
    </row>
    <row r="118" spans="1:15" x14ac:dyDescent="0.3">
      <c r="A118" s="6" t="s">
        <v>282</v>
      </c>
      <c r="B118" cm="1">
        <f t="array" ref="B118:C118">_xlfn.XLOOKUP(A118,'Main Data'!A115:A1114,'Main Data'!B115:C1114,"Data Not Found",0)</f>
        <v>56</v>
      </c>
      <c r="C118" t="str">
        <v>Female</v>
      </c>
      <c r="E118" s="6" t="s">
        <v>282</v>
      </c>
      <c r="F118" cm="1">
        <f t="array" ref="F118:I118">VLOOKUP(E118,CHOOSE({1,2,3,4,5},'Main Data'!A115:A1114,'Main Data'!B115:B1114,'Main Data'!C115:C1114,'Main Data'!M115:M1114,'Main Data'!N115:N1114),{2,3,4,5},0)</f>
        <v>56</v>
      </c>
      <c r="G118" t="str">
        <v>Female</v>
      </c>
      <c r="H118" t="str">
        <v>UAE</v>
      </c>
      <c r="I118">
        <v>1.34</v>
      </c>
      <c r="L118" s="6" t="s">
        <v>282</v>
      </c>
      <c r="M118" t="str" cm="1">
        <f t="array" ref="M118:O118">INDEX('Main Data'!A115:O1114,MATCH(L118,'Main Data'!A115:A1114,0),{3,7,14})</f>
        <v>Female</v>
      </c>
      <c r="N118">
        <v>161261.99</v>
      </c>
      <c r="O118">
        <v>1.34</v>
      </c>
    </row>
    <row r="119" spans="1:15" x14ac:dyDescent="0.3">
      <c r="A119" s="6" t="s">
        <v>284</v>
      </c>
      <c r="B119" cm="1">
        <f t="array" ref="B119:C119">_xlfn.XLOOKUP(A119,'Main Data'!A116:A1115,'Main Data'!B116:C1115,"Data Not Found",0)</f>
        <v>57</v>
      </c>
      <c r="C119" t="str">
        <v>Male</v>
      </c>
      <c r="E119" s="6" t="s">
        <v>284</v>
      </c>
      <c r="F119" cm="1">
        <f t="array" ref="F119:I119">VLOOKUP(E119,CHOOSE({1,2,3,4,5},'Main Data'!A116:A1115,'Main Data'!B116:B1115,'Main Data'!C116:C1115,'Main Data'!M116:M1115,'Main Data'!N116:N1115),{2,3,4,5},0)</f>
        <v>57</v>
      </c>
      <c r="G119" t="str">
        <v>Male</v>
      </c>
      <c r="H119" t="str">
        <v>Japan</v>
      </c>
      <c r="I119">
        <v>1.96</v>
      </c>
      <c r="L119" s="6" t="s">
        <v>284</v>
      </c>
      <c r="M119" t="str" cm="1">
        <f t="array" ref="M119:O119">INDEX('Main Data'!A116:O1115,MATCH(L119,'Main Data'!A116:A1115,0),{3,7,14})</f>
        <v>Male</v>
      </c>
      <c r="N119">
        <v>147168.12</v>
      </c>
      <c r="O119">
        <v>1.96</v>
      </c>
    </row>
    <row r="120" spans="1:15" x14ac:dyDescent="0.3">
      <c r="A120" s="6" t="s">
        <v>286</v>
      </c>
      <c r="B120" cm="1">
        <f t="array" ref="B120:C120">_xlfn.XLOOKUP(A120,'Main Data'!A117:A1116,'Main Data'!B117:C1116,"Data Not Found",0)</f>
        <v>52</v>
      </c>
      <c r="C120" t="str">
        <v>Other</v>
      </c>
      <c r="E120" s="6" t="s">
        <v>286</v>
      </c>
      <c r="F120" cm="1">
        <f t="array" ref="F120:I120">VLOOKUP(E120,CHOOSE({1,2,3,4,5},'Main Data'!A117:A1116,'Main Data'!B117:B1116,'Main Data'!C117:C1116,'Main Data'!M117:M1116,'Main Data'!N117:N1116),{2,3,4,5},0)</f>
        <v>52</v>
      </c>
      <c r="G120" t="str">
        <v>Other</v>
      </c>
      <c r="H120" t="str">
        <v>USA</v>
      </c>
      <c r="I120">
        <v>1.21</v>
      </c>
      <c r="L120" s="6" t="s">
        <v>286</v>
      </c>
      <c r="M120" t="str" cm="1">
        <f t="array" ref="M120:O120">INDEX('Main Data'!A117:O1116,MATCH(L120,'Main Data'!A117:A1116,0),{3,7,14})</f>
        <v>Other</v>
      </c>
      <c r="N120">
        <v>117431.74</v>
      </c>
      <c r="O120">
        <v>1.21</v>
      </c>
    </row>
    <row r="121" spans="1:15" x14ac:dyDescent="0.3">
      <c r="A121" s="6" t="s">
        <v>288</v>
      </c>
      <c r="B121" cm="1">
        <f t="array" ref="B121:C121">_xlfn.XLOOKUP(A121,'Main Data'!A118:A1117,'Main Data'!B118:C1117,"Data Not Found",0)</f>
        <v>25</v>
      </c>
      <c r="C121" t="str">
        <v>Female</v>
      </c>
      <c r="E121" s="6" t="s">
        <v>288</v>
      </c>
      <c r="F121" cm="1">
        <f t="array" ref="F121:I121">VLOOKUP(E121,CHOOSE({1,2,3,4,5},'Main Data'!A118:A1117,'Main Data'!B118:B1117,'Main Data'!C118:C1117,'Main Data'!M118:M1117,'Main Data'!N118:N1117),{2,3,4,5},0)</f>
        <v>25</v>
      </c>
      <c r="G121" t="str">
        <v>Female</v>
      </c>
      <c r="H121" t="str">
        <v>France</v>
      </c>
      <c r="I121">
        <v>3.58</v>
      </c>
      <c r="L121" s="6" t="s">
        <v>288</v>
      </c>
      <c r="M121" t="str" cm="1">
        <f t="array" ref="M121:O121">INDEX('Main Data'!A118:O1117,MATCH(L121,'Main Data'!A118:A1117,0),{3,7,14})</f>
        <v>Female</v>
      </c>
      <c r="N121">
        <v>67284.429999999993</v>
      </c>
      <c r="O121">
        <v>3.58</v>
      </c>
    </row>
    <row r="122" spans="1:15" x14ac:dyDescent="0.3">
      <c r="A122" s="6" t="s">
        <v>290</v>
      </c>
      <c r="B122" cm="1">
        <f t="array" ref="B122:C122">_xlfn.XLOOKUP(A122,'Main Data'!A119:A1118,'Main Data'!B119:C1118,"Data Not Found",0)</f>
        <v>40</v>
      </c>
      <c r="C122" t="str">
        <v>Female</v>
      </c>
      <c r="E122" s="6" t="s">
        <v>290</v>
      </c>
      <c r="F122" cm="1">
        <f t="array" ref="F122:I122">VLOOKUP(E122,CHOOSE({1,2,3,4,5},'Main Data'!A119:A1118,'Main Data'!B119:B1118,'Main Data'!C119:C1118,'Main Data'!M119:M1118,'Main Data'!N119:N1118),{2,3,4,5},0)</f>
        <v>40</v>
      </c>
      <c r="G122" t="str">
        <v>Female</v>
      </c>
      <c r="H122" t="str">
        <v>UK</v>
      </c>
      <c r="I122">
        <v>4.46</v>
      </c>
      <c r="L122" s="6" t="s">
        <v>290</v>
      </c>
      <c r="M122" t="str" cm="1">
        <f t="array" ref="M122:O122">INDEX('Main Data'!A119:O1118,MATCH(L122,'Main Data'!A119:A1118,0),{3,7,14})</f>
        <v>Female</v>
      </c>
      <c r="N122">
        <v>105675.72</v>
      </c>
      <c r="O122">
        <v>4.46</v>
      </c>
    </row>
    <row r="123" spans="1:15" x14ac:dyDescent="0.3">
      <c r="A123" s="6" t="s">
        <v>292</v>
      </c>
      <c r="B123" cm="1">
        <f t="array" ref="B123:C123">_xlfn.XLOOKUP(A123,'Main Data'!A120:A1119,'Main Data'!B120:C1119,"Data Not Found",0)</f>
        <v>57</v>
      </c>
      <c r="C123" t="str">
        <v>Female</v>
      </c>
      <c r="E123" s="6" t="s">
        <v>292</v>
      </c>
      <c r="F123" cm="1">
        <f t="array" ref="F123:I123">VLOOKUP(E123,CHOOSE({1,2,3,4,5},'Main Data'!A120:A1119,'Main Data'!B120:B1119,'Main Data'!C120:C1119,'Main Data'!M120:M1119,'Main Data'!N120:N1119),{2,3,4,5},0)</f>
        <v>57</v>
      </c>
      <c r="G123" t="str">
        <v>Female</v>
      </c>
      <c r="H123" t="str">
        <v>UAE</v>
      </c>
      <c r="I123">
        <v>1.48</v>
      </c>
      <c r="L123" s="6" t="s">
        <v>292</v>
      </c>
      <c r="M123" t="str" cm="1">
        <f t="array" ref="M123:O123">INDEX('Main Data'!A120:O1119,MATCH(L123,'Main Data'!A120:A1119,0),{3,7,14})</f>
        <v>Female</v>
      </c>
      <c r="N123">
        <v>141270.35999999999</v>
      </c>
      <c r="O123">
        <v>1.48</v>
      </c>
    </row>
    <row r="124" spans="1:15" x14ac:dyDescent="0.3">
      <c r="A124" s="6" t="s">
        <v>294</v>
      </c>
      <c r="B124" cm="1">
        <f t="array" ref="B124:C124">_xlfn.XLOOKUP(A124,'Main Data'!A121:A1120,'Main Data'!B121:C1120,"Data Not Found",0)</f>
        <v>42</v>
      </c>
      <c r="C124" t="str">
        <v>Male</v>
      </c>
      <c r="E124" s="6" t="s">
        <v>294</v>
      </c>
      <c r="F124" cm="1">
        <f t="array" ref="F124:I124">VLOOKUP(E124,CHOOSE({1,2,3,4,5},'Main Data'!A121:A1120,'Main Data'!B121:B1120,'Main Data'!C121:C1120,'Main Data'!M121:M1120,'Main Data'!N121:N1120),{2,3,4,5},0)</f>
        <v>42</v>
      </c>
      <c r="G124" t="str">
        <v>Male</v>
      </c>
      <c r="H124" t="str">
        <v>Japan</v>
      </c>
      <c r="I124">
        <v>1.78</v>
      </c>
      <c r="L124" s="6" t="s">
        <v>294</v>
      </c>
      <c r="M124" t="str" cm="1">
        <f t="array" ref="M124:O124">INDEX('Main Data'!A121:O1120,MATCH(L124,'Main Data'!A121:A1120,0),{3,7,14})</f>
        <v>Male</v>
      </c>
      <c r="N124">
        <v>128756.24</v>
      </c>
      <c r="O124">
        <v>1.78</v>
      </c>
    </row>
    <row r="125" spans="1:15" x14ac:dyDescent="0.3">
      <c r="A125" s="6" t="s">
        <v>296</v>
      </c>
      <c r="B125" cm="1">
        <f t="array" ref="B125:C125">_xlfn.XLOOKUP(A125,'Main Data'!A122:A1121,'Main Data'!B122:C1121,"Data Not Found",0)</f>
        <v>39</v>
      </c>
      <c r="C125" t="str">
        <v>Female</v>
      </c>
      <c r="E125" s="6" t="s">
        <v>296</v>
      </c>
      <c r="F125" cm="1">
        <f t="array" ref="F125:I125">VLOOKUP(E125,CHOOSE({1,2,3,4,5},'Main Data'!A122:A1121,'Main Data'!B122:B1121,'Main Data'!C122:C1121,'Main Data'!M122:M1121,'Main Data'!N122:N1121),{2,3,4,5},0)</f>
        <v>39</v>
      </c>
      <c r="G125" t="str">
        <v>Female</v>
      </c>
      <c r="H125" t="str">
        <v>USA</v>
      </c>
      <c r="I125">
        <v>4.5999999999999996</v>
      </c>
      <c r="L125" s="6" t="s">
        <v>296</v>
      </c>
      <c r="M125" t="str" cm="1">
        <f t="array" ref="M125:O125">INDEX('Main Data'!A122:O1121,MATCH(L125,'Main Data'!A122:A1121,0),{3,7,14})</f>
        <v>Female</v>
      </c>
      <c r="N125">
        <v>93820.77</v>
      </c>
      <c r="O125">
        <v>4.5999999999999996</v>
      </c>
    </row>
    <row r="126" spans="1:15" x14ac:dyDescent="0.3">
      <c r="A126" s="6" t="s">
        <v>298</v>
      </c>
      <c r="B126" cm="1">
        <f t="array" ref="B126:C126">_xlfn.XLOOKUP(A126,'Main Data'!A123:A1122,'Main Data'!B123:C1122,"Data Not Found",0)</f>
        <v>49</v>
      </c>
      <c r="C126" t="str">
        <v>Male</v>
      </c>
      <c r="E126" s="6" t="s">
        <v>298</v>
      </c>
      <c r="F126" cm="1">
        <f t="array" ref="F126:I126">VLOOKUP(E126,CHOOSE({1,2,3,4,5},'Main Data'!A123:A1122,'Main Data'!B123:B1122,'Main Data'!C123:C1122,'Main Data'!M123:M1122,'Main Data'!N123:N1122),{2,3,4,5},0)</f>
        <v>49</v>
      </c>
      <c r="G126" t="str">
        <v>Male</v>
      </c>
      <c r="H126" t="str">
        <v>France</v>
      </c>
      <c r="I126">
        <v>4.1500000000000004</v>
      </c>
      <c r="L126" s="6" t="s">
        <v>298</v>
      </c>
      <c r="M126" t="str" cm="1">
        <f t="array" ref="M126:O126">INDEX('Main Data'!A123:O1122,MATCH(L126,'Main Data'!A123:A1122,0),{3,7,14})</f>
        <v>Male</v>
      </c>
      <c r="N126">
        <v>85363.67</v>
      </c>
      <c r="O126">
        <v>4.1500000000000004</v>
      </c>
    </row>
    <row r="127" spans="1:15" x14ac:dyDescent="0.3">
      <c r="A127" s="6" t="s">
        <v>300</v>
      </c>
      <c r="B127" cm="1">
        <f t="array" ref="B127:C127">_xlfn.XLOOKUP(A127,'Main Data'!A124:A1123,'Main Data'!B124:C1123,"Data Not Found",0)</f>
        <v>36</v>
      </c>
      <c r="C127" t="str">
        <v>Female</v>
      </c>
      <c r="E127" s="6" t="s">
        <v>300</v>
      </c>
      <c r="F127" cm="1">
        <f t="array" ref="F127:I127">VLOOKUP(E127,CHOOSE({1,2,3,4,5},'Main Data'!A124:A1123,'Main Data'!B124:B1123,'Main Data'!C124:C1123,'Main Data'!M124:M1123,'Main Data'!N124:N1123),{2,3,4,5},0)</f>
        <v>36</v>
      </c>
      <c r="G127" t="str">
        <v>Female</v>
      </c>
      <c r="H127" t="str">
        <v>UK</v>
      </c>
      <c r="I127">
        <v>4.6900000000000004</v>
      </c>
      <c r="L127" s="6" t="s">
        <v>300</v>
      </c>
      <c r="M127" t="str" cm="1">
        <f t="array" ref="M127:O127">INDEX('Main Data'!A124:O1123,MATCH(L127,'Main Data'!A124:A1123,0),{3,7,14})</f>
        <v>Female</v>
      </c>
      <c r="N127">
        <v>95725.81</v>
      </c>
      <c r="O127">
        <v>4.6900000000000004</v>
      </c>
    </row>
    <row r="128" spans="1:15" x14ac:dyDescent="0.3">
      <c r="A128" s="6" t="s">
        <v>302</v>
      </c>
      <c r="B128" cm="1">
        <f t="array" ref="B128:C128">_xlfn.XLOOKUP(A128,'Main Data'!A125:A1124,'Main Data'!B125:C1124,"Data Not Found",0)</f>
        <v>63</v>
      </c>
      <c r="C128" t="str">
        <v>Male</v>
      </c>
      <c r="E128" s="6" t="s">
        <v>302</v>
      </c>
      <c r="F128" cm="1">
        <f t="array" ref="F128:I128">VLOOKUP(E128,CHOOSE({1,2,3,4,5},'Main Data'!A125:A1124,'Main Data'!B125:B1124,'Main Data'!C125:C1124,'Main Data'!M125:M1124,'Main Data'!N125:N1124),{2,3,4,5},0)</f>
        <v>63</v>
      </c>
      <c r="G128" t="str">
        <v>Male</v>
      </c>
      <c r="H128" t="str">
        <v>UAE</v>
      </c>
      <c r="I128">
        <v>1.55</v>
      </c>
      <c r="L128" s="6" t="s">
        <v>302</v>
      </c>
      <c r="M128" t="str" cm="1">
        <f t="array" ref="M128:O128">INDEX('Main Data'!A125:O1124,MATCH(L128,'Main Data'!A125:A1124,0),{3,7,14})</f>
        <v>Male</v>
      </c>
      <c r="N128">
        <v>59834.07</v>
      </c>
      <c r="O128">
        <v>1.55</v>
      </c>
    </row>
    <row r="129" spans="1:15" x14ac:dyDescent="0.3">
      <c r="A129" s="6" t="s">
        <v>305</v>
      </c>
      <c r="B129" cm="1">
        <f t="array" ref="B129:C129">_xlfn.XLOOKUP(A129,'Main Data'!A126:A1125,'Main Data'!B126:C1125,"Data Not Found",0)</f>
        <v>23</v>
      </c>
      <c r="C129" t="str">
        <v>Female</v>
      </c>
      <c r="E129" s="6" t="s">
        <v>305</v>
      </c>
      <c r="F129" cm="1">
        <f t="array" ref="F129:I129">VLOOKUP(E129,CHOOSE({1,2,3,4,5},'Main Data'!A126:A1125,'Main Data'!B126:B1125,'Main Data'!C126:C1125,'Main Data'!M126:M1125,'Main Data'!N126:N1125),{2,3,4,5},0)</f>
        <v>23</v>
      </c>
      <c r="G129" t="str">
        <v>Female</v>
      </c>
      <c r="H129" t="str">
        <v>Japan</v>
      </c>
      <c r="I129">
        <v>3.67</v>
      </c>
      <c r="L129" s="6" t="s">
        <v>305</v>
      </c>
      <c r="M129" t="str" cm="1">
        <f t="array" ref="M129:O129">INDEX('Main Data'!A126:O1125,MATCH(L129,'Main Data'!A126:A1125,0),{3,7,14})</f>
        <v>Female</v>
      </c>
      <c r="N129">
        <v>152954.07</v>
      </c>
      <c r="O129">
        <v>3.67</v>
      </c>
    </row>
    <row r="130" spans="1:15" x14ac:dyDescent="0.3">
      <c r="A130" s="6" t="s">
        <v>307</v>
      </c>
      <c r="B130" cm="1">
        <f t="array" ref="B130:C130">_xlfn.XLOOKUP(A130,'Main Data'!A127:A1126,'Main Data'!B127:C1126,"Data Not Found",0)</f>
        <v>58</v>
      </c>
      <c r="C130" t="str">
        <v>Female</v>
      </c>
      <c r="E130" s="6" t="s">
        <v>307</v>
      </c>
      <c r="F130" cm="1">
        <f t="array" ref="F130:I130">VLOOKUP(E130,CHOOSE({1,2,3,4,5},'Main Data'!A127:A1126,'Main Data'!B127:B1126,'Main Data'!C127:C1126,'Main Data'!M127:M1126,'Main Data'!N127:N1126),{2,3,4,5},0)</f>
        <v>58</v>
      </c>
      <c r="G130" t="str">
        <v>Female</v>
      </c>
      <c r="H130" t="str">
        <v>USA</v>
      </c>
      <c r="I130">
        <v>2.34</v>
      </c>
      <c r="L130" s="6" t="s">
        <v>307</v>
      </c>
      <c r="M130" t="str" cm="1">
        <f t="array" ref="M130:O130">INDEX('Main Data'!A127:O1126,MATCH(L130,'Main Data'!A127:A1126,0),{3,7,14})</f>
        <v>Female</v>
      </c>
      <c r="N130">
        <v>102781.5</v>
      </c>
      <c r="O130">
        <v>2.34</v>
      </c>
    </row>
    <row r="131" spans="1:15" x14ac:dyDescent="0.3">
      <c r="A131" s="6" t="s">
        <v>309</v>
      </c>
      <c r="B131" cm="1">
        <f t="array" ref="B131:C131">_xlfn.XLOOKUP(A131,'Main Data'!A128:A1127,'Main Data'!B128:C1127,"Data Not Found",0)</f>
        <v>32</v>
      </c>
      <c r="C131" t="str">
        <v>Male</v>
      </c>
      <c r="E131" s="6" t="s">
        <v>309</v>
      </c>
      <c r="F131" cm="1">
        <f t="array" ref="F131:I131">VLOOKUP(E131,CHOOSE({1,2,3,4,5},'Main Data'!A128:A1127,'Main Data'!B128:B1127,'Main Data'!C128:C1127,'Main Data'!M128:M1127,'Main Data'!N128:N1127),{2,3,4,5},0)</f>
        <v>32</v>
      </c>
      <c r="G131" t="str">
        <v>Male</v>
      </c>
      <c r="H131" t="str">
        <v>France</v>
      </c>
      <c r="I131">
        <v>3.75</v>
      </c>
      <c r="L131" s="6" t="s">
        <v>309</v>
      </c>
      <c r="M131" t="str" cm="1">
        <f t="array" ref="M131:O131">INDEX('Main Data'!A128:O1127,MATCH(L131,'Main Data'!A128:A1127,0),{3,7,14})</f>
        <v>Male</v>
      </c>
      <c r="N131">
        <v>95566.29</v>
      </c>
      <c r="O131">
        <v>3.75</v>
      </c>
    </row>
    <row r="132" spans="1:15" x14ac:dyDescent="0.3">
      <c r="A132" s="6" t="s">
        <v>311</v>
      </c>
      <c r="B132" cm="1">
        <f t="array" ref="B132:C132">_xlfn.XLOOKUP(A132,'Main Data'!A129:A1128,'Main Data'!B129:C1128,"Data Not Found",0)</f>
        <v>44</v>
      </c>
      <c r="C132" t="str">
        <v>Other</v>
      </c>
      <c r="E132" s="6" t="s">
        <v>311</v>
      </c>
      <c r="F132" cm="1">
        <f t="array" ref="F132:I132">VLOOKUP(E132,CHOOSE({1,2,3,4,5},'Main Data'!A129:A1128,'Main Data'!B129:B1128,'Main Data'!C129:C1128,'Main Data'!M129:M1128,'Main Data'!N129:N1128),{2,3,4,5},0)</f>
        <v>44</v>
      </c>
      <c r="G132" t="str">
        <v>Other</v>
      </c>
      <c r="H132" t="str">
        <v>UK</v>
      </c>
      <c r="I132">
        <v>1.6</v>
      </c>
      <c r="L132" s="6" t="s">
        <v>311</v>
      </c>
      <c r="M132" t="str" cm="1">
        <f t="array" ref="M132:O132">INDEX('Main Data'!A129:O1128,MATCH(L132,'Main Data'!A129:A1128,0),{3,7,14})</f>
        <v>Other</v>
      </c>
      <c r="N132">
        <v>130536.23</v>
      </c>
      <c r="O132">
        <v>1.6</v>
      </c>
    </row>
    <row r="133" spans="1:15" x14ac:dyDescent="0.3">
      <c r="A133" s="6" t="s">
        <v>313</v>
      </c>
      <c r="B133" cm="1">
        <f t="array" ref="B133:C133">_xlfn.XLOOKUP(A133,'Main Data'!A130:A1129,'Main Data'!B130:C1129,"Data Not Found",0)</f>
        <v>62</v>
      </c>
      <c r="C133" t="str">
        <v>Other</v>
      </c>
      <c r="E133" s="6" t="s">
        <v>313</v>
      </c>
      <c r="F133" cm="1">
        <f t="array" ref="F133:I133">VLOOKUP(E133,CHOOSE({1,2,3,4,5},'Main Data'!A130:A1129,'Main Data'!B130:B1129,'Main Data'!C130:C1129,'Main Data'!M130:M1129,'Main Data'!N130:N1129),{2,3,4,5},0)</f>
        <v>62</v>
      </c>
      <c r="G133" t="str">
        <v>Other</v>
      </c>
      <c r="H133" t="str">
        <v>UAE</v>
      </c>
      <c r="I133">
        <v>1.79</v>
      </c>
      <c r="L133" s="6" t="s">
        <v>313</v>
      </c>
      <c r="M133" t="str" cm="1">
        <f t="array" ref="M133:O133">INDEX('Main Data'!A130:O1129,MATCH(L133,'Main Data'!A130:A1129,0),{3,7,14})</f>
        <v>Other</v>
      </c>
      <c r="N133">
        <v>142573.92000000001</v>
      </c>
      <c r="O133">
        <v>1.79</v>
      </c>
    </row>
    <row r="134" spans="1:15" x14ac:dyDescent="0.3">
      <c r="A134" s="6" t="s">
        <v>315</v>
      </c>
      <c r="B134" cm="1">
        <f t="array" ref="B134:C134">_xlfn.XLOOKUP(A134,'Main Data'!A131:A1130,'Main Data'!B131:C1130,"Data Not Found",0)</f>
        <v>33</v>
      </c>
      <c r="C134" t="str">
        <v>Other</v>
      </c>
      <c r="E134" s="6" t="s">
        <v>315</v>
      </c>
      <c r="F134" cm="1">
        <f t="array" ref="F134:I134">VLOOKUP(E134,CHOOSE({1,2,3,4,5},'Main Data'!A131:A1130,'Main Data'!B131:B1130,'Main Data'!C131:C1130,'Main Data'!M131:M1130,'Main Data'!N131:N1130),{2,3,4,5},0)</f>
        <v>33</v>
      </c>
      <c r="G134" t="str">
        <v>Other</v>
      </c>
      <c r="H134" t="str">
        <v>Japan</v>
      </c>
      <c r="I134">
        <v>1.82</v>
      </c>
      <c r="L134" s="6" t="s">
        <v>315</v>
      </c>
      <c r="M134" t="str" cm="1">
        <f t="array" ref="M134:O134">INDEX('Main Data'!A131:O1130,MATCH(L134,'Main Data'!A131:A1130,0),{3,7,14})</f>
        <v>Other</v>
      </c>
      <c r="N134">
        <v>51482.720000000001</v>
      </c>
      <c r="O134">
        <v>1.82</v>
      </c>
    </row>
    <row r="135" spans="1:15" x14ac:dyDescent="0.3">
      <c r="A135" s="6" t="s">
        <v>317</v>
      </c>
      <c r="B135" cm="1">
        <f t="array" ref="B135:C135">_xlfn.XLOOKUP(A135,'Main Data'!A132:A1131,'Main Data'!B132:C1131,"Data Not Found",0)</f>
        <v>24</v>
      </c>
      <c r="C135" t="str">
        <v>Male</v>
      </c>
      <c r="E135" s="6" t="s">
        <v>317</v>
      </c>
      <c r="F135" cm="1">
        <f t="array" ref="F135:I135">VLOOKUP(E135,CHOOSE({1,2,3,4,5},'Main Data'!A132:A1131,'Main Data'!B132:B1131,'Main Data'!C132:C1131,'Main Data'!M132:M1131,'Main Data'!N132:N1131),{2,3,4,5},0)</f>
        <v>24</v>
      </c>
      <c r="G135" t="str">
        <v>Male</v>
      </c>
      <c r="H135" t="str">
        <v>USA</v>
      </c>
      <c r="I135">
        <v>3.11</v>
      </c>
      <c r="L135" s="6" t="s">
        <v>317</v>
      </c>
      <c r="M135" t="str" cm="1">
        <f t="array" ref="M135:O135">INDEX('Main Data'!A132:O1131,MATCH(L135,'Main Data'!A132:A1131,0),{3,7,14})</f>
        <v>Male</v>
      </c>
      <c r="N135">
        <v>154557.16</v>
      </c>
      <c r="O135">
        <v>3.11</v>
      </c>
    </row>
    <row r="136" spans="1:15" x14ac:dyDescent="0.3">
      <c r="A136" s="6" t="s">
        <v>319</v>
      </c>
      <c r="B136" cm="1">
        <f t="array" ref="B136:C136">_xlfn.XLOOKUP(A136,'Main Data'!A133:A1132,'Main Data'!B133:C1132,"Data Not Found",0)</f>
        <v>38</v>
      </c>
      <c r="C136" t="str">
        <v>Other</v>
      </c>
      <c r="E136" s="6" t="s">
        <v>319</v>
      </c>
      <c r="F136" cm="1">
        <f t="array" ref="F136:I136">VLOOKUP(E136,CHOOSE({1,2,3,4,5},'Main Data'!A133:A1132,'Main Data'!B133:B1132,'Main Data'!C133:C1132,'Main Data'!M133:M1132,'Main Data'!N133:N1132),{2,3,4,5},0)</f>
        <v>38</v>
      </c>
      <c r="G136" t="str">
        <v>Other</v>
      </c>
      <c r="H136" t="str">
        <v>France</v>
      </c>
      <c r="I136">
        <v>2.52</v>
      </c>
      <c r="L136" s="6" t="s">
        <v>319</v>
      </c>
      <c r="M136" t="str" cm="1">
        <f t="array" ref="M136:O136">INDEX('Main Data'!A133:O1132,MATCH(L136,'Main Data'!A133:A1132,0),{3,7,14})</f>
        <v>Other</v>
      </c>
      <c r="N136">
        <v>154261.34</v>
      </c>
      <c r="O136">
        <v>2.52</v>
      </c>
    </row>
    <row r="137" spans="1:15" x14ac:dyDescent="0.3">
      <c r="A137" s="6" t="s">
        <v>321</v>
      </c>
      <c r="B137" cm="1">
        <f t="array" ref="B137:C137">_xlfn.XLOOKUP(A137,'Main Data'!A134:A1133,'Main Data'!B134:C1133,"Data Not Found",0)</f>
        <v>54</v>
      </c>
      <c r="C137" t="str">
        <v>Female</v>
      </c>
      <c r="E137" s="6" t="s">
        <v>321</v>
      </c>
      <c r="F137" cm="1">
        <f t="array" ref="F137:I137">VLOOKUP(E137,CHOOSE({1,2,3,4,5},'Main Data'!A134:A1133,'Main Data'!B134:B1133,'Main Data'!C134:C1133,'Main Data'!M134:M1133,'Main Data'!N134:N1133),{2,3,4,5},0)</f>
        <v>54</v>
      </c>
      <c r="G137" t="str">
        <v>Female</v>
      </c>
      <c r="H137" t="str">
        <v>UK</v>
      </c>
      <c r="I137">
        <v>3.68</v>
      </c>
      <c r="L137" s="6" t="s">
        <v>321</v>
      </c>
      <c r="M137" t="str" cm="1">
        <f t="array" ref="M137:O137">INDEX('Main Data'!A134:O1133,MATCH(L137,'Main Data'!A134:A1133,0),{3,7,14})</f>
        <v>Female</v>
      </c>
      <c r="N137">
        <v>116150.2</v>
      </c>
      <c r="O137">
        <v>3.68</v>
      </c>
    </row>
    <row r="138" spans="1:15" x14ac:dyDescent="0.3">
      <c r="A138" s="6" t="s">
        <v>323</v>
      </c>
      <c r="B138" cm="1">
        <f t="array" ref="B138:C138">_xlfn.XLOOKUP(A138,'Main Data'!A135:A1134,'Main Data'!B135:C1134,"Data Not Found",0)</f>
        <v>22</v>
      </c>
      <c r="C138" t="str">
        <v>Male</v>
      </c>
      <c r="E138" s="6" t="s">
        <v>323</v>
      </c>
      <c r="F138" cm="1">
        <f t="array" ref="F138:I138">VLOOKUP(E138,CHOOSE({1,2,3,4,5},'Main Data'!A135:A1134,'Main Data'!B135:B1134,'Main Data'!C135:C1134,'Main Data'!M135:M1134,'Main Data'!N135:N1134),{2,3,4,5},0)</f>
        <v>22</v>
      </c>
      <c r="G138" t="str">
        <v>Male</v>
      </c>
      <c r="H138" t="str">
        <v>UAE</v>
      </c>
      <c r="I138">
        <v>3.38</v>
      </c>
      <c r="L138" s="6" t="s">
        <v>323</v>
      </c>
      <c r="M138" t="str" cm="1">
        <f t="array" ref="M138:O138">INDEX('Main Data'!A135:O1134,MATCH(L138,'Main Data'!A135:A1134,0),{3,7,14})</f>
        <v>Male</v>
      </c>
      <c r="N138">
        <v>137115.62</v>
      </c>
      <c r="O138">
        <v>3.38</v>
      </c>
    </row>
    <row r="139" spans="1:15" x14ac:dyDescent="0.3">
      <c r="A139" s="6" t="s">
        <v>325</v>
      </c>
      <c r="B139" cm="1">
        <f t="array" ref="B139:C139">_xlfn.XLOOKUP(A139,'Main Data'!A136:A1135,'Main Data'!B136:C1135,"Data Not Found",0)</f>
        <v>60</v>
      </c>
      <c r="C139" t="str">
        <v>Other</v>
      </c>
      <c r="E139" s="6" t="s">
        <v>325</v>
      </c>
      <c r="F139" cm="1">
        <f t="array" ref="F139:I139">VLOOKUP(E139,CHOOSE({1,2,3,4,5},'Main Data'!A136:A1135,'Main Data'!B136:B1135,'Main Data'!C136:C1135,'Main Data'!M136:M1135,'Main Data'!N136:N1135),{2,3,4,5},0)</f>
        <v>60</v>
      </c>
      <c r="G139" t="str">
        <v>Other</v>
      </c>
      <c r="H139" t="str">
        <v>Japan</v>
      </c>
      <c r="I139">
        <v>1.17</v>
      </c>
      <c r="L139" s="6" t="s">
        <v>325</v>
      </c>
      <c r="M139" t="str" cm="1">
        <f t="array" ref="M139:O139">INDEX('Main Data'!A136:O1135,MATCH(L139,'Main Data'!A136:A1135,0),{3,7,14})</f>
        <v>Other</v>
      </c>
      <c r="N139">
        <v>125582.69</v>
      </c>
      <c r="O139">
        <v>1.17</v>
      </c>
    </row>
    <row r="140" spans="1:15" x14ac:dyDescent="0.3">
      <c r="A140" s="6" t="s">
        <v>327</v>
      </c>
      <c r="B140" cm="1">
        <f t="array" ref="B140:C140">_xlfn.XLOOKUP(A140,'Main Data'!A137:A1136,'Main Data'!B137:C1136,"Data Not Found",0)</f>
        <v>41</v>
      </c>
      <c r="C140" t="str">
        <v>Female</v>
      </c>
      <c r="E140" s="6" t="s">
        <v>327</v>
      </c>
      <c r="F140" cm="1">
        <f t="array" ref="F140:I140">VLOOKUP(E140,CHOOSE({1,2,3,4,5},'Main Data'!A137:A1136,'Main Data'!B137:B1136,'Main Data'!C137:C1136,'Main Data'!M137:M1136,'Main Data'!N137:N1136),{2,3,4,5},0)</f>
        <v>41</v>
      </c>
      <c r="G140" t="str">
        <v>Female</v>
      </c>
      <c r="H140" t="str">
        <v>USA</v>
      </c>
      <c r="I140">
        <v>4.41</v>
      </c>
      <c r="L140" s="6" t="s">
        <v>327</v>
      </c>
      <c r="M140" t="str" cm="1">
        <f t="array" ref="M140:O140">INDEX('Main Data'!A137:O1136,MATCH(L140,'Main Data'!A137:A1136,0),{3,7,14})</f>
        <v>Female</v>
      </c>
      <c r="N140">
        <v>52229.94</v>
      </c>
      <c r="O140">
        <v>4.41</v>
      </c>
    </row>
    <row r="141" spans="1:15" x14ac:dyDescent="0.3">
      <c r="A141" s="6" t="s">
        <v>329</v>
      </c>
      <c r="B141" cm="1">
        <f t="array" ref="B141:C141">_xlfn.XLOOKUP(A141,'Main Data'!A138:A1137,'Main Data'!B138:C1137,"Data Not Found",0)</f>
        <v>64</v>
      </c>
      <c r="C141" t="str">
        <v>Female</v>
      </c>
      <c r="E141" s="6" t="s">
        <v>329</v>
      </c>
      <c r="F141" cm="1">
        <f t="array" ref="F141:I141">VLOOKUP(E141,CHOOSE({1,2,3,4,5},'Main Data'!A138:A1137,'Main Data'!B138:B1137,'Main Data'!C138:C1137,'Main Data'!M138:M1137,'Main Data'!N138:N1137),{2,3,4,5},0)</f>
        <v>64</v>
      </c>
      <c r="G141" t="str">
        <v>Female</v>
      </c>
      <c r="H141" t="str">
        <v>France</v>
      </c>
      <c r="I141">
        <v>4.4400000000000004</v>
      </c>
      <c r="L141" s="6" t="s">
        <v>329</v>
      </c>
      <c r="M141" t="str" cm="1">
        <f t="array" ref="M141:O141">INDEX('Main Data'!A138:O1137,MATCH(L141,'Main Data'!A138:A1137,0),{3,7,14})</f>
        <v>Female</v>
      </c>
      <c r="N141">
        <v>67393.98</v>
      </c>
      <c r="O141">
        <v>4.4400000000000004</v>
      </c>
    </row>
    <row r="142" spans="1:15" x14ac:dyDescent="0.3">
      <c r="A142" s="6" t="s">
        <v>331</v>
      </c>
      <c r="B142" cm="1">
        <f t="array" ref="B142:C142">_xlfn.XLOOKUP(A142,'Main Data'!A139:A1138,'Main Data'!B139:C1138,"Data Not Found",0)</f>
        <v>62</v>
      </c>
      <c r="C142" t="str">
        <v>Male</v>
      </c>
      <c r="E142" s="6" t="s">
        <v>331</v>
      </c>
      <c r="F142" cm="1">
        <f t="array" ref="F142:I142">VLOOKUP(E142,CHOOSE({1,2,3,4,5},'Main Data'!A139:A1138,'Main Data'!B139:B1138,'Main Data'!C139:C1138,'Main Data'!M139:M1138,'Main Data'!N139:N1138),{2,3,4,5},0)</f>
        <v>62</v>
      </c>
      <c r="G142" t="str">
        <v>Male</v>
      </c>
      <c r="H142" t="str">
        <v>UK</v>
      </c>
      <c r="I142">
        <v>4.25</v>
      </c>
      <c r="L142" s="6" t="s">
        <v>331</v>
      </c>
      <c r="M142" t="str" cm="1">
        <f t="array" ref="M142:O142">INDEX('Main Data'!A139:O1138,MATCH(L142,'Main Data'!A139:A1138,0),{3,7,14})</f>
        <v>Male</v>
      </c>
      <c r="N142">
        <v>141807.04999999999</v>
      </c>
      <c r="O142">
        <v>4.25</v>
      </c>
    </row>
    <row r="143" spans="1:15" x14ac:dyDescent="0.3">
      <c r="A143" s="6" t="s">
        <v>333</v>
      </c>
      <c r="B143" cm="1">
        <f t="array" ref="B143:C143">_xlfn.XLOOKUP(A143,'Main Data'!A140:A1139,'Main Data'!B140:C1139,"Data Not Found",0)</f>
        <v>35</v>
      </c>
      <c r="C143" t="str">
        <v>Other</v>
      </c>
      <c r="E143" s="6" t="s">
        <v>333</v>
      </c>
      <c r="F143" cm="1">
        <f t="array" ref="F143:I143">VLOOKUP(E143,CHOOSE({1,2,3,4,5},'Main Data'!A140:A1139,'Main Data'!B140:B1139,'Main Data'!C140:C1139,'Main Data'!M140:M1139,'Main Data'!N140:N1139),{2,3,4,5},0)</f>
        <v>35</v>
      </c>
      <c r="G143" t="str">
        <v>Other</v>
      </c>
      <c r="H143" t="str">
        <v>UAE</v>
      </c>
      <c r="I143">
        <v>4.3600000000000003</v>
      </c>
      <c r="L143" s="6" t="s">
        <v>333</v>
      </c>
      <c r="M143" t="str" cm="1">
        <f t="array" ref="M143:O143">INDEX('Main Data'!A140:O1139,MATCH(L143,'Main Data'!A140:A1139,0),{3,7,14})</f>
        <v>Other</v>
      </c>
      <c r="N143">
        <v>92140.25</v>
      </c>
      <c r="O143">
        <v>4.3600000000000003</v>
      </c>
    </row>
    <row r="144" spans="1:15" x14ac:dyDescent="0.3">
      <c r="A144" s="6" t="s">
        <v>335</v>
      </c>
      <c r="B144" cm="1">
        <f t="array" ref="B144:C144">_xlfn.XLOOKUP(A144,'Main Data'!A141:A1140,'Main Data'!B141:C1140,"Data Not Found",0)</f>
        <v>52</v>
      </c>
      <c r="C144" t="str">
        <v>Female</v>
      </c>
      <c r="E144" s="6" t="s">
        <v>335</v>
      </c>
      <c r="F144" cm="1">
        <f t="array" ref="F144:I144">VLOOKUP(E144,CHOOSE({1,2,3,4,5},'Main Data'!A141:A1140,'Main Data'!B141:B1140,'Main Data'!C141:C1140,'Main Data'!M141:M1140,'Main Data'!N141:N1140),{2,3,4,5},0)</f>
        <v>52</v>
      </c>
      <c r="G144" t="str">
        <v>Female</v>
      </c>
      <c r="H144" t="str">
        <v>Japan</v>
      </c>
      <c r="I144">
        <v>1.1200000000000001</v>
      </c>
      <c r="L144" s="6" t="s">
        <v>335</v>
      </c>
      <c r="M144" t="str" cm="1">
        <f t="array" ref="M144:O144">INDEX('Main Data'!A141:O1140,MATCH(L144,'Main Data'!A141:A1140,0),{3,7,14})</f>
        <v>Female</v>
      </c>
      <c r="N144">
        <v>53356.22</v>
      </c>
      <c r="O144">
        <v>1.1200000000000001</v>
      </c>
    </row>
    <row r="145" spans="1:15" x14ac:dyDescent="0.3">
      <c r="A145" s="6" t="s">
        <v>337</v>
      </c>
      <c r="B145" cm="1">
        <f t="array" ref="B145:C145">_xlfn.XLOOKUP(A145,'Main Data'!A142:A1141,'Main Data'!B142:C1141,"Data Not Found",0)</f>
        <v>46</v>
      </c>
      <c r="C145" t="str">
        <v>Other</v>
      </c>
      <c r="E145" s="6" t="s">
        <v>337</v>
      </c>
      <c r="F145" cm="1">
        <f t="array" ref="F145:I145">VLOOKUP(E145,CHOOSE({1,2,3,4,5},'Main Data'!A142:A1141,'Main Data'!B142:B1141,'Main Data'!C142:C1141,'Main Data'!M142:M1141,'Main Data'!N142:N1141),{2,3,4,5},0)</f>
        <v>46</v>
      </c>
      <c r="G145" t="str">
        <v>Other</v>
      </c>
      <c r="H145" t="str">
        <v>USA</v>
      </c>
      <c r="I145">
        <v>4.09</v>
      </c>
      <c r="L145" s="6" t="s">
        <v>337</v>
      </c>
      <c r="M145" t="str" cm="1">
        <f t="array" ref="M145:O145">INDEX('Main Data'!A142:O1141,MATCH(L145,'Main Data'!A142:A1141,0),{3,7,14})</f>
        <v>Other</v>
      </c>
      <c r="N145">
        <v>183419.13</v>
      </c>
      <c r="O145">
        <v>4.09</v>
      </c>
    </row>
    <row r="146" spans="1:15" x14ac:dyDescent="0.3">
      <c r="A146" s="6" t="s">
        <v>339</v>
      </c>
      <c r="B146" cm="1">
        <f t="array" ref="B146:C146">_xlfn.XLOOKUP(A146,'Main Data'!A143:A1142,'Main Data'!B143:C1142,"Data Not Found",0)</f>
        <v>24</v>
      </c>
      <c r="C146" t="str">
        <v>Female</v>
      </c>
      <c r="E146" s="6" t="s">
        <v>339</v>
      </c>
      <c r="F146" cm="1">
        <f t="array" ref="F146:I146">VLOOKUP(E146,CHOOSE({1,2,3,4,5},'Main Data'!A143:A1142,'Main Data'!B143:B1142,'Main Data'!C143:C1142,'Main Data'!M143:M1142,'Main Data'!N143:N1142),{2,3,4,5},0)</f>
        <v>24</v>
      </c>
      <c r="G146" t="str">
        <v>Female</v>
      </c>
      <c r="H146" t="str">
        <v>France</v>
      </c>
      <c r="I146">
        <v>2.54</v>
      </c>
      <c r="L146" s="6" t="s">
        <v>339</v>
      </c>
      <c r="M146" t="str" cm="1">
        <f t="array" ref="M146:O146">INDEX('Main Data'!A143:O1142,MATCH(L146,'Main Data'!A143:A1142,0),{3,7,14})</f>
        <v>Female</v>
      </c>
      <c r="N146">
        <v>187395.08</v>
      </c>
      <c r="O146">
        <v>2.54</v>
      </c>
    </row>
    <row r="147" spans="1:15" x14ac:dyDescent="0.3">
      <c r="A147" s="6" t="s">
        <v>341</v>
      </c>
      <c r="B147" cm="1">
        <f t="array" ref="B147:C147">_xlfn.XLOOKUP(A147,'Main Data'!A144:A1143,'Main Data'!B144:C1143,"Data Not Found",0)</f>
        <v>25</v>
      </c>
      <c r="C147" t="str">
        <v>Female</v>
      </c>
      <c r="E147" s="6" t="s">
        <v>341</v>
      </c>
      <c r="F147" cm="1">
        <f t="array" ref="F147:I147">VLOOKUP(E147,CHOOSE({1,2,3,4,5},'Main Data'!A144:A1143,'Main Data'!B144:B1143,'Main Data'!C144:C1143,'Main Data'!M144:M1143,'Main Data'!N144:N1143),{2,3,4,5},0)</f>
        <v>25</v>
      </c>
      <c r="G147" t="str">
        <v>Female</v>
      </c>
      <c r="H147" t="str">
        <v>UK</v>
      </c>
      <c r="I147">
        <v>1.44</v>
      </c>
      <c r="L147" s="6" t="s">
        <v>341</v>
      </c>
      <c r="M147" t="str" cm="1">
        <f t="array" ref="M147:O147">INDEX('Main Data'!A144:O1143,MATCH(L147,'Main Data'!A144:A1143,0),{3,7,14})</f>
        <v>Female</v>
      </c>
      <c r="N147">
        <v>136605.31</v>
      </c>
      <c r="O147">
        <v>1.44</v>
      </c>
    </row>
    <row r="148" spans="1:15" x14ac:dyDescent="0.3">
      <c r="A148" s="6" t="s">
        <v>343</v>
      </c>
      <c r="B148" cm="1">
        <f t="array" ref="B148:C148">_xlfn.XLOOKUP(A148,'Main Data'!A145:A1144,'Main Data'!B145:C1144,"Data Not Found",0)</f>
        <v>52</v>
      </c>
      <c r="C148" t="str">
        <v>Male</v>
      </c>
      <c r="E148" s="6" t="s">
        <v>343</v>
      </c>
      <c r="F148" cm="1">
        <f t="array" ref="F148:I148">VLOOKUP(E148,CHOOSE({1,2,3,4,5},'Main Data'!A145:A1144,'Main Data'!B145:B1144,'Main Data'!C145:C1144,'Main Data'!M145:M1144,'Main Data'!N145:N1144),{2,3,4,5},0)</f>
        <v>52</v>
      </c>
      <c r="G148" t="str">
        <v>Male</v>
      </c>
      <c r="H148" t="str">
        <v>UAE</v>
      </c>
      <c r="I148">
        <v>5</v>
      </c>
      <c r="L148" s="6" t="s">
        <v>343</v>
      </c>
      <c r="M148" t="str" cm="1">
        <f t="array" ref="M148:O148">INDEX('Main Data'!A145:O1144,MATCH(L148,'Main Data'!A145:A1144,0),{3,7,14})</f>
        <v>Male</v>
      </c>
      <c r="N148">
        <v>119278.22</v>
      </c>
      <c r="O148">
        <v>5</v>
      </c>
    </row>
    <row r="149" spans="1:15" x14ac:dyDescent="0.3">
      <c r="A149" s="6" t="s">
        <v>345</v>
      </c>
      <c r="B149" cm="1">
        <f t="array" ref="B149:C149">_xlfn.XLOOKUP(A149,'Main Data'!A146:A1145,'Main Data'!B146:C1145,"Data Not Found",0)</f>
        <v>56</v>
      </c>
      <c r="C149" t="str">
        <v>Other</v>
      </c>
      <c r="E149" s="6" t="s">
        <v>345</v>
      </c>
      <c r="F149" cm="1">
        <f t="array" ref="F149:I149">VLOOKUP(E149,CHOOSE({1,2,3,4,5},'Main Data'!A146:A1145,'Main Data'!B146:B1145,'Main Data'!C146:C1145,'Main Data'!M146:M1145,'Main Data'!N146:N1145),{2,3,4,5},0)</f>
        <v>56</v>
      </c>
      <c r="G149" t="str">
        <v>Other</v>
      </c>
      <c r="H149" t="str">
        <v>Japan</v>
      </c>
      <c r="I149">
        <v>3.63</v>
      </c>
      <c r="L149" s="6" t="s">
        <v>345</v>
      </c>
      <c r="M149" t="str" cm="1">
        <f t="array" ref="M149:O149">INDEX('Main Data'!A146:O1145,MATCH(L149,'Main Data'!A146:A1145,0),{3,7,14})</f>
        <v>Other</v>
      </c>
      <c r="N149">
        <v>71070.22</v>
      </c>
      <c r="O149">
        <v>3.63</v>
      </c>
    </row>
    <row r="150" spans="1:15" x14ac:dyDescent="0.3">
      <c r="A150" s="6" t="s">
        <v>347</v>
      </c>
      <c r="B150" cm="1">
        <f t="array" ref="B150:C150">_xlfn.XLOOKUP(A150,'Main Data'!A147:A1146,'Main Data'!B147:C1146,"Data Not Found",0)</f>
        <v>35</v>
      </c>
      <c r="C150" t="str">
        <v>Female</v>
      </c>
      <c r="E150" s="6" t="s">
        <v>347</v>
      </c>
      <c r="F150" cm="1">
        <f t="array" ref="F150:I150">VLOOKUP(E150,CHOOSE({1,2,3,4,5},'Main Data'!A147:A1146,'Main Data'!B147:B1146,'Main Data'!C147:C1146,'Main Data'!M147:M1146,'Main Data'!N147:N1146),{2,3,4,5},0)</f>
        <v>35</v>
      </c>
      <c r="G150" t="str">
        <v>Female</v>
      </c>
      <c r="H150" t="str">
        <v>USA</v>
      </c>
      <c r="I150">
        <v>4.26</v>
      </c>
      <c r="L150" s="6" t="s">
        <v>347</v>
      </c>
      <c r="M150" t="str" cm="1">
        <f t="array" ref="M150:O150">INDEX('Main Data'!A147:O1146,MATCH(L150,'Main Data'!A147:A1146,0),{3,7,14})</f>
        <v>Female</v>
      </c>
      <c r="N150">
        <v>189565.49</v>
      </c>
      <c r="O150">
        <v>4.26</v>
      </c>
    </row>
    <row r="151" spans="1:15" x14ac:dyDescent="0.3">
      <c r="A151" s="6" t="s">
        <v>349</v>
      </c>
      <c r="B151" cm="1">
        <f t="array" ref="B151:C151">_xlfn.XLOOKUP(A151,'Main Data'!A148:A1147,'Main Data'!B148:C1147,"Data Not Found",0)</f>
        <v>62</v>
      </c>
      <c r="C151" t="str">
        <v>Other</v>
      </c>
      <c r="E151" s="6" t="s">
        <v>349</v>
      </c>
      <c r="F151" cm="1">
        <f t="array" ref="F151:I151">VLOOKUP(E151,CHOOSE({1,2,3,4,5},'Main Data'!A148:A1147,'Main Data'!B148:B1147,'Main Data'!C148:C1147,'Main Data'!M148:M1147,'Main Data'!N148:N1147),{2,3,4,5},0)</f>
        <v>62</v>
      </c>
      <c r="G151" t="str">
        <v>Other</v>
      </c>
      <c r="H151" t="str">
        <v>France</v>
      </c>
      <c r="I151">
        <v>1.67</v>
      </c>
      <c r="L151" s="6" t="s">
        <v>349</v>
      </c>
      <c r="M151" t="str" cm="1">
        <f t="array" ref="M151:O151">INDEX('Main Data'!A148:O1147,MATCH(L151,'Main Data'!A148:A1147,0),{3,7,14})</f>
        <v>Other</v>
      </c>
      <c r="N151">
        <v>153919.70000000001</v>
      </c>
      <c r="O151">
        <v>1.67</v>
      </c>
    </row>
    <row r="152" spans="1:15" x14ac:dyDescent="0.3">
      <c r="A152" s="6" t="s">
        <v>351</v>
      </c>
      <c r="B152" cm="1">
        <f t="array" ref="B152:C152">_xlfn.XLOOKUP(A152,'Main Data'!A149:A1148,'Main Data'!B149:C1148,"Data Not Found",0)</f>
        <v>30</v>
      </c>
      <c r="C152" t="str">
        <v>Other</v>
      </c>
      <c r="E152" s="6" t="s">
        <v>351</v>
      </c>
      <c r="F152" cm="1">
        <f t="array" ref="F152:I152">VLOOKUP(E152,CHOOSE({1,2,3,4,5},'Main Data'!A149:A1148,'Main Data'!B149:B1148,'Main Data'!C149:C1148,'Main Data'!M149:M1148,'Main Data'!N149:N1148),{2,3,4,5},0)</f>
        <v>30</v>
      </c>
      <c r="G152" t="str">
        <v>Other</v>
      </c>
      <c r="H152" t="str">
        <v>UK</v>
      </c>
      <c r="I152">
        <v>2</v>
      </c>
      <c r="L152" s="6" t="s">
        <v>351</v>
      </c>
      <c r="M152" t="str" cm="1">
        <f t="array" ref="M152:O152">INDEX('Main Data'!A149:O1148,MATCH(L152,'Main Data'!A149:A1148,0),{3,7,14})</f>
        <v>Other</v>
      </c>
      <c r="N152">
        <v>106734.88</v>
      </c>
      <c r="O152">
        <v>2</v>
      </c>
    </row>
    <row r="153" spans="1:15" x14ac:dyDescent="0.3">
      <c r="A153" s="6" t="s">
        <v>353</v>
      </c>
      <c r="B153" cm="1">
        <f t="array" ref="B153:C153">_xlfn.XLOOKUP(A153,'Main Data'!A150:A1149,'Main Data'!B150:C1149,"Data Not Found",0)</f>
        <v>41</v>
      </c>
      <c r="C153" t="str">
        <v>Other</v>
      </c>
      <c r="E153" s="6" t="s">
        <v>353</v>
      </c>
      <c r="F153" cm="1">
        <f t="array" ref="F153:I153">VLOOKUP(E153,CHOOSE({1,2,3,4,5},'Main Data'!A150:A1149,'Main Data'!B150:B1149,'Main Data'!C150:C1149,'Main Data'!M150:M1149,'Main Data'!N150:N1149),{2,3,4,5},0)</f>
        <v>41</v>
      </c>
      <c r="G153" t="str">
        <v>Other</v>
      </c>
      <c r="H153" t="str">
        <v>UAE</v>
      </c>
      <c r="I153">
        <v>2.63</v>
      </c>
      <c r="L153" s="6" t="s">
        <v>353</v>
      </c>
      <c r="M153" t="str" cm="1">
        <f t="array" ref="M153:O153">INDEX('Main Data'!A150:O1149,MATCH(L153,'Main Data'!A150:A1149,0),{3,7,14})</f>
        <v>Other</v>
      </c>
      <c r="N153">
        <v>88353.35</v>
      </c>
      <c r="O153">
        <v>2.63</v>
      </c>
    </row>
    <row r="154" spans="1:15" x14ac:dyDescent="0.3">
      <c r="A154" s="6" t="s">
        <v>355</v>
      </c>
      <c r="B154" cm="1">
        <f t="array" ref="B154:C154">_xlfn.XLOOKUP(A154,'Main Data'!A151:A1150,'Main Data'!B151:C1150,"Data Not Found",0)</f>
        <v>53</v>
      </c>
      <c r="C154" t="str">
        <v>Male</v>
      </c>
      <c r="E154" s="6" t="s">
        <v>355</v>
      </c>
      <c r="F154" cm="1">
        <f t="array" ref="F154:I154">VLOOKUP(E154,CHOOSE({1,2,3,4,5},'Main Data'!A151:A1150,'Main Data'!B151:B1150,'Main Data'!C151:C1150,'Main Data'!M151:M1150,'Main Data'!N151:N1150),{2,3,4,5},0)</f>
        <v>53</v>
      </c>
      <c r="G154" t="str">
        <v>Male</v>
      </c>
      <c r="H154" t="str">
        <v>Japan</v>
      </c>
      <c r="I154">
        <v>3.01</v>
      </c>
      <c r="L154" s="6" t="s">
        <v>355</v>
      </c>
      <c r="M154" t="str" cm="1">
        <f t="array" ref="M154:O154">INDEX('Main Data'!A151:O1150,MATCH(L154,'Main Data'!A151:A1150,0),{3,7,14})</f>
        <v>Male</v>
      </c>
      <c r="N154">
        <v>106234.64</v>
      </c>
      <c r="O154">
        <v>3.01</v>
      </c>
    </row>
    <row r="155" spans="1:15" x14ac:dyDescent="0.3">
      <c r="A155" s="6" t="s">
        <v>357</v>
      </c>
      <c r="B155" cm="1">
        <f t="array" ref="B155:C155">_xlfn.XLOOKUP(A155,'Main Data'!A152:A1151,'Main Data'!B152:C1151,"Data Not Found",0)</f>
        <v>30</v>
      </c>
      <c r="C155" t="str">
        <v>Female</v>
      </c>
      <c r="E155" s="6" t="s">
        <v>357</v>
      </c>
      <c r="F155" cm="1">
        <f t="array" ref="F155:I155">VLOOKUP(E155,CHOOSE({1,2,3,4,5},'Main Data'!A152:A1151,'Main Data'!B152:B1151,'Main Data'!C152:C1151,'Main Data'!M152:M1151,'Main Data'!N152:N1151),{2,3,4,5},0)</f>
        <v>30</v>
      </c>
      <c r="G155" t="str">
        <v>Female</v>
      </c>
      <c r="H155" t="str">
        <v>USA</v>
      </c>
      <c r="I155">
        <v>2.76</v>
      </c>
      <c r="L155" s="6" t="s">
        <v>357</v>
      </c>
      <c r="M155" t="str" cm="1">
        <f t="array" ref="M155:O155">INDEX('Main Data'!A152:O1151,MATCH(L155,'Main Data'!A152:A1151,0),{3,7,14})</f>
        <v>Female</v>
      </c>
      <c r="N155">
        <v>188957.26</v>
      </c>
      <c r="O155">
        <v>2.76</v>
      </c>
    </row>
    <row r="156" spans="1:15" x14ac:dyDescent="0.3">
      <c r="A156" s="6" t="s">
        <v>359</v>
      </c>
      <c r="B156" cm="1">
        <f t="array" ref="B156:C156">_xlfn.XLOOKUP(A156,'Main Data'!A153:A1152,'Main Data'!B153:C1152,"Data Not Found",0)</f>
        <v>48</v>
      </c>
      <c r="C156" t="str">
        <v>Other</v>
      </c>
      <c r="E156" s="6" t="s">
        <v>359</v>
      </c>
      <c r="F156" cm="1">
        <f t="array" ref="F156:I156">VLOOKUP(E156,CHOOSE({1,2,3,4,5},'Main Data'!A153:A1152,'Main Data'!B153:B1152,'Main Data'!C153:C1152,'Main Data'!M153:M1152,'Main Data'!N153:N1152),{2,3,4,5},0)</f>
        <v>48</v>
      </c>
      <c r="G156" t="str">
        <v>Other</v>
      </c>
      <c r="H156" t="str">
        <v>France</v>
      </c>
      <c r="I156">
        <v>2.0499999999999998</v>
      </c>
      <c r="L156" s="6" t="s">
        <v>359</v>
      </c>
      <c r="M156" t="str" cm="1">
        <f t="array" ref="M156:O156">INDEX('Main Data'!A153:O1152,MATCH(L156,'Main Data'!A153:A1152,0),{3,7,14})</f>
        <v>Other</v>
      </c>
      <c r="N156">
        <v>82479.19</v>
      </c>
      <c r="O156">
        <v>2.0499999999999998</v>
      </c>
    </row>
    <row r="157" spans="1:15" x14ac:dyDescent="0.3">
      <c r="A157" s="6" t="s">
        <v>361</v>
      </c>
      <c r="B157" cm="1">
        <f t="array" ref="B157:C157">_xlfn.XLOOKUP(A157,'Main Data'!A154:A1153,'Main Data'!B154:C1153,"Data Not Found",0)</f>
        <v>24</v>
      </c>
      <c r="C157" t="str">
        <v>Male</v>
      </c>
      <c r="E157" s="6" t="s">
        <v>361</v>
      </c>
      <c r="F157" cm="1">
        <f t="array" ref="F157:I157">VLOOKUP(E157,CHOOSE({1,2,3,4,5},'Main Data'!A154:A1153,'Main Data'!B154:B1153,'Main Data'!C154:C1153,'Main Data'!M154:M1153,'Main Data'!N154:N1153),{2,3,4,5},0)</f>
        <v>24</v>
      </c>
      <c r="G157" t="str">
        <v>Male</v>
      </c>
      <c r="H157" t="str">
        <v>UK</v>
      </c>
      <c r="I157">
        <v>1.04</v>
      </c>
      <c r="L157" s="6" t="s">
        <v>361</v>
      </c>
      <c r="M157" t="str" cm="1">
        <f t="array" ref="M157:O157">INDEX('Main Data'!A154:O1153,MATCH(L157,'Main Data'!A154:A1153,0),{3,7,14})</f>
        <v>Male</v>
      </c>
      <c r="N157">
        <v>83730.61</v>
      </c>
      <c r="O157">
        <v>1.04</v>
      </c>
    </row>
    <row r="158" spans="1:15" x14ac:dyDescent="0.3">
      <c r="A158" s="6" t="s">
        <v>363</v>
      </c>
      <c r="B158" cm="1">
        <f t="array" ref="B158:C158">_xlfn.XLOOKUP(A158,'Main Data'!A155:A1154,'Main Data'!B155:C1154,"Data Not Found",0)</f>
        <v>25</v>
      </c>
      <c r="C158" t="str">
        <v>Other</v>
      </c>
      <c r="E158" s="6" t="s">
        <v>363</v>
      </c>
      <c r="F158" cm="1">
        <f t="array" ref="F158:I158">VLOOKUP(E158,CHOOSE({1,2,3,4,5},'Main Data'!A155:A1154,'Main Data'!B155:B1154,'Main Data'!C155:C1154,'Main Data'!M155:M1154,'Main Data'!N155:N1154),{2,3,4,5},0)</f>
        <v>25</v>
      </c>
      <c r="G158" t="str">
        <v>Other</v>
      </c>
      <c r="H158" t="str">
        <v>UAE</v>
      </c>
      <c r="I158">
        <v>1.1599999999999999</v>
      </c>
      <c r="L158" s="6" t="s">
        <v>363</v>
      </c>
      <c r="M158" t="str" cm="1">
        <f t="array" ref="M158:O158">INDEX('Main Data'!A155:O1154,MATCH(L158,'Main Data'!A155:A1154,0),{3,7,14})</f>
        <v>Other</v>
      </c>
      <c r="N158">
        <v>112813.36</v>
      </c>
      <c r="O158">
        <v>1.1599999999999999</v>
      </c>
    </row>
    <row r="159" spans="1:15" x14ac:dyDescent="0.3">
      <c r="A159" s="6" t="s">
        <v>365</v>
      </c>
      <c r="B159" cm="1">
        <f t="array" ref="B159:C159">_xlfn.XLOOKUP(A159,'Main Data'!A156:A1155,'Main Data'!B156:C1155,"Data Not Found",0)</f>
        <v>36</v>
      </c>
      <c r="C159" t="str">
        <v>Male</v>
      </c>
      <c r="E159" s="6" t="s">
        <v>365</v>
      </c>
      <c r="F159" cm="1">
        <f t="array" ref="F159:I159">VLOOKUP(E159,CHOOSE({1,2,3,4,5},'Main Data'!A156:A1155,'Main Data'!B156:B1155,'Main Data'!C156:C1155,'Main Data'!M156:M1155,'Main Data'!N156:N1155),{2,3,4,5},0)</f>
        <v>36</v>
      </c>
      <c r="G159" t="str">
        <v>Male</v>
      </c>
      <c r="H159" t="str">
        <v>Japan</v>
      </c>
      <c r="I159">
        <v>3.65</v>
      </c>
      <c r="L159" s="6" t="s">
        <v>365</v>
      </c>
      <c r="M159" t="str" cm="1">
        <f t="array" ref="M159:O159">INDEX('Main Data'!A156:O1155,MATCH(L159,'Main Data'!A156:A1155,0),{3,7,14})</f>
        <v>Male</v>
      </c>
      <c r="N159">
        <v>106580.85</v>
      </c>
      <c r="O159">
        <v>3.65</v>
      </c>
    </row>
    <row r="160" spans="1:15" x14ac:dyDescent="0.3">
      <c r="A160" s="6" t="s">
        <v>367</v>
      </c>
      <c r="B160" cm="1">
        <f t="array" ref="B160:C160">_xlfn.XLOOKUP(A160,'Main Data'!A157:A1156,'Main Data'!B157:C1156,"Data Not Found",0)</f>
        <v>54</v>
      </c>
      <c r="C160" t="str">
        <v>Other</v>
      </c>
      <c r="E160" s="6" t="s">
        <v>367</v>
      </c>
      <c r="F160" cm="1">
        <f t="array" ref="F160:I160">VLOOKUP(E160,CHOOSE({1,2,3,4,5},'Main Data'!A157:A1156,'Main Data'!B157:B1156,'Main Data'!C157:C1156,'Main Data'!M157:M1156,'Main Data'!N157:N1156),{2,3,4,5},0)</f>
        <v>54</v>
      </c>
      <c r="G160" t="str">
        <v>Other</v>
      </c>
      <c r="H160" t="str">
        <v>USA</v>
      </c>
      <c r="I160">
        <v>3.72</v>
      </c>
      <c r="L160" s="6" t="s">
        <v>367</v>
      </c>
      <c r="M160" t="str" cm="1">
        <f t="array" ref="M160:O160">INDEX('Main Data'!A157:O1156,MATCH(L160,'Main Data'!A157:A1156,0),{3,7,14})</f>
        <v>Other</v>
      </c>
      <c r="N160">
        <v>116570.12</v>
      </c>
      <c r="O160">
        <v>3.72</v>
      </c>
    </row>
    <row r="161" spans="1:15" x14ac:dyDescent="0.3">
      <c r="A161" s="6" t="s">
        <v>369</v>
      </c>
      <c r="B161" cm="1">
        <f t="array" ref="B161:C161">_xlfn.XLOOKUP(A161,'Main Data'!A158:A1157,'Main Data'!B158:C1157,"Data Not Found",0)</f>
        <v>26</v>
      </c>
      <c r="C161" t="str">
        <v>Other</v>
      </c>
      <c r="E161" s="6" t="s">
        <v>369</v>
      </c>
      <c r="F161" cm="1">
        <f t="array" ref="F161:I161">VLOOKUP(E161,CHOOSE({1,2,3,4,5},'Main Data'!A158:A1157,'Main Data'!B158:B1157,'Main Data'!C158:C1157,'Main Data'!M158:M1157,'Main Data'!N158:N1157),{2,3,4,5},0)</f>
        <v>26</v>
      </c>
      <c r="G161" t="str">
        <v>Other</v>
      </c>
      <c r="H161" t="str">
        <v>France</v>
      </c>
      <c r="I161">
        <v>3.12</v>
      </c>
      <c r="L161" s="6" t="s">
        <v>369</v>
      </c>
      <c r="M161" t="str" cm="1">
        <f t="array" ref="M161:O161">INDEX('Main Data'!A158:O1157,MATCH(L161,'Main Data'!A158:A1157,0),{3,7,14})</f>
        <v>Other</v>
      </c>
      <c r="N161">
        <v>140480.73000000001</v>
      </c>
      <c r="O161">
        <v>3.12</v>
      </c>
    </row>
    <row r="162" spans="1:15" x14ac:dyDescent="0.3">
      <c r="A162" s="6" t="s">
        <v>371</v>
      </c>
      <c r="B162" cm="1">
        <f t="array" ref="B162:C162">_xlfn.XLOOKUP(A162,'Main Data'!A159:A1158,'Main Data'!B159:C1158,"Data Not Found",0)</f>
        <v>25</v>
      </c>
      <c r="C162" t="str">
        <v>Other</v>
      </c>
      <c r="E162" s="6" t="s">
        <v>371</v>
      </c>
      <c r="F162" cm="1">
        <f t="array" ref="F162:I162">VLOOKUP(E162,CHOOSE({1,2,3,4,5},'Main Data'!A159:A1158,'Main Data'!B159:B1158,'Main Data'!C159:C1158,'Main Data'!M159:M1158,'Main Data'!N159:N1158),{2,3,4,5},0)</f>
        <v>25</v>
      </c>
      <c r="G162" t="str">
        <v>Other</v>
      </c>
      <c r="H162" t="str">
        <v>UK</v>
      </c>
      <c r="I162">
        <v>1.63</v>
      </c>
      <c r="L162" s="6" t="s">
        <v>371</v>
      </c>
      <c r="M162" t="str" cm="1">
        <f t="array" ref="M162:O162">INDEX('Main Data'!A159:O1158,MATCH(L162,'Main Data'!A159:A1158,0),{3,7,14})</f>
        <v>Other</v>
      </c>
      <c r="N162">
        <v>184040.76</v>
      </c>
      <c r="O162">
        <v>1.63</v>
      </c>
    </row>
    <row r="163" spans="1:15" x14ac:dyDescent="0.3">
      <c r="A163" s="6" t="s">
        <v>373</v>
      </c>
      <c r="B163" cm="1">
        <f t="array" ref="B163:C163">_xlfn.XLOOKUP(A163,'Main Data'!A160:A1159,'Main Data'!B160:C1159,"Data Not Found",0)</f>
        <v>33</v>
      </c>
      <c r="C163" t="str">
        <v>Male</v>
      </c>
      <c r="E163" s="6" t="s">
        <v>373</v>
      </c>
      <c r="F163" cm="1">
        <f t="array" ref="F163:I163">VLOOKUP(E163,CHOOSE({1,2,3,4,5},'Main Data'!A160:A1159,'Main Data'!B160:B1159,'Main Data'!C160:C1159,'Main Data'!M160:M1159,'Main Data'!N160:N1159),{2,3,4,5},0)</f>
        <v>33</v>
      </c>
      <c r="G163" t="str">
        <v>Male</v>
      </c>
      <c r="H163" t="str">
        <v>UAE</v>
      </c>
      <c r="I163">
        <v>2.59</v>
      </c>
      <c r="L163" s="6" t="s">
        <v>373</v>
      </c>
      <c r="M163" t="str" cm="1">
        <f t="array" ref="M163:O163">INDEX('Main Data'!A160:O1159,MATCH(L163,'Main Data'!A160:A1159,0),{3,7,14})</f>
        <v>Male</v>
      </c>
      <c r="N163">
        <v>190807.87</v>
      </c>
      <c r="O163">
        <v>2.59</v>
      </c>
    </row>
    <row r="164" spans="1:15" x14ac:dyDescent="0.3">
      <c r="A164" s="6" t="s">
        <v>375</v>
      </c>
      <c r="B164" cm="1">
        <f t="array" ref="B164:C164">_xlfn.XLOOKUP(A164,'Main Data'!A161:A1160,'Main Data'!B161:C1160,"Data Not Found",0)</f>
        <v>44</v>
      </c>
      <c r="C164" t="str">
        <v>Male</v>
      </c>
      <c r="E164" s="6" t="s">
        <v>375</v>
      </c>
      <c r="F164" cm="1">
        <f t="array" ref="F164:I164">VLOOKUP(E164,CHOOSE({1,2,3,4,5},'Main Data'!A161:A1160,'Main Data'!B161:B1160,'Main Data'!C161:C1160,'Main Data'!M161:M1160,'Main Data'!N161:N1160),{2,3,4,5},0)</f>
        <v>44</v>
      </c>
      <c r="G164" t="str">
        <v>Male</v>
      </c>
      <c r="H164" t="str">
        <v>Japan</v>
      </c>
      <c r="I164">
        <v>4.6500000000000004</v>
      </c>
      <c r="L164" s="6" t="s">
        <v>375</v>
      </c>
      <c r="M164" t="str" cm="1">
        <f t="array" ref="M164:O164">INDEX('Main Data'!A161:O1160,MATCH(L164,'Main Data'!A161:A1160,0),{3,7,14})</f>
        <v>Male</v>
      </c>
      <c r="N164">
        <v>191072.85</v>
      </c>
      <c r="O164">
        <v>4.6500000000000004</v>
      </c>
    </row>
    <row r="165" spans="1:15" x14ac:dyDescent="0.3">
      <c r="A165" s="6" t="s">
        <v>377</v>
      </c>
      <c r="B165" cm="1">
        <f t="array" ref="B165:C165">_xlfn.XLOOKUP(A165,'Main Data'!A162:A1161,'Main Data'!B162:C1161,"Data Not Found",0)</f>
        <v>35</v>
      </c>
      <c r="C165" t="str">
        <v>Female</v>
      </c>
      <c r="E165" s="6" t="s">
        <v>377</v>
      </c>
      <c r="F165" cm="1">
        <f t="array" ref="F165:I165">VLOOKUP(E165,CHOOSE({1,2,3,4,5},'Main Data'!A162:A1161,'Main Data'!B162:B1161,'Main Data'!C162:C1161,'Main Data'!M162:M1161,'Main Data'!N162:N1161),{2,3,4,5},0)</f>
        <v>35</v>
      </c>
      <c r="G165" t="str">
        <v>Female</v>
      </c>
      <c r="H165" t="str">
        <v>USA</v>
      </c>
      <c r="I165">
        <v>3.04</v>
      </c>
      <c r="L165" s="6" t="s">
        <v>377</v>
      </c>
      <c r="M165" t="str" cm="1">
        <f t="array" ref="M165:O165">INDEX('Main Data'!A162:O1161,MATCH(L165,'Main Data'!A162:A1161,0),{3,7,14})</f>
        <v>Female</v>
      </c>
      <c r="N165">
        <v>50831.66</v>
      </c>
      <c r="O165">
        <v>3.04</v>
      </c>
    </row>
    <row r="166" spans="1:15" x14ac:dyDescent="0.3">
      <c r="A166" s="6" t="s">
        <v>379</v>
      </c>
      <c r="B166" cm="1">
        <f t="array" ref="B166:C166">_xlfn.XLOOKUP(A166,'Main Data'!A163:A1162,'Main Data'!B163:C1162,"Data Not Found",0)</f>
        <v>33</v>
      </c>
      <c r="C166" t="str">
        <v>Female</v>
      </c>
      <c r="E166" s="6" t="s">
        <v>379</v>
      </c>
      <c r="F166" cm="1">
        <f t="array" ref="F166:I166">VLOOKUP(E166,CHOOSE({1,2,3,4,5},'Main Data'!A163:A1162,'Main Data'!B163:B1162,'Main Data'!C163:C1162,'Main Data'!M163:M1162,'Main Data'!N163:N1162),{2,3,4,5},0)</f>
        <v>33</v>
      </c>
      <c r="G166" t="str">
        <v>Female</v>
      </c>
      <c r="H166" t="str">
        <v>France</v>
      </c>
      <c r="I166">
        <v>3.19</v>
      </c>
      <c r="L166" s="6" t="s">
        <v>379</v>
      </c>
      <c r="M166" t="str" cm="1">
        <f t="array" ref="M166:O166">INDEX('Main Data'!A163:O1162,MATCH(L166,'Main Data'!A163:A1162,0),{3,7,14})</f>
        <v>Female</v>
      </c>
      <c r="N166">
        <v>178449.14</v>
      </c>
      <c r="O166">
        <v>3.19</v>
      </c>
    </row>
    <row r="167" spans="1:15" x14ac:dyDescent="0.3">
      <c r="A167" s="6" t="s">
        <v>381</v>
      </c>
      <c r="B167" cm="1">
        <f t="array" ref="B167:C167">_xlfn.XLOOKUP(A167,'Main Data'!A164:A1163,'Main Data'!B164:C1163,"Data Not Found",0)</f>
        <v>38</v>
      </c>
      <c r="C167" t="str">
        <v>Male</v>
      </c>
      <c r="E167" s="6" t="s">
        <v>381</v>
      </c>
      <c r="F167" cm="1">
        <f t="array" ref="F167:I167">VLOOKUP(E167,CHOOSE({1,2,3,4,5},'Main Data'!A164:A1163,'Main Data'!B164:B1163,'Main Data'!C164:C1163,'Main Data'!M164:M1163,'Main Data'!N164:N1163),{2,3,4,5},0)</f>
        <v>38</v>
      </c>
      <c r="G167" t="str">
        <v>Male</v>
      </c>
      <c r="H167" t="str">
        <v>UK</v>
      </c>
      <c r="I167">
        <v>4.71</v>
      </c>
      <c r="L167" s="6" t="s">
        <v>381</v>
      </c>
      <c r="M167" t="str" cm="1">
        <f t="array" ref="M167:O167">INDEX('Main Data'!A164:O1163,MATCH(L167,'Main Data'!A164:A1163,0),{3,7,14})</f>
        <v>Male</v>
      </c>
      <c r="N167">
        <v>137283.79999999999</v>
      </c>
      <c r="O167">
        <v>4.71</v>
      </c>
    </row>
    <row r="168" spans="1:15" x14ac:dyDescent="0.3">
      <c r="A168" s="6" t="s">
        <v>383</v>
      </c>
      <c r="B168" cm="1">
        <f t="array" ref="B168:C168">_xlfn.XLOOKUP(A168,'Main Data'!A165:A1164,'Main Data'!B165:C1164,"Data Not Found",0)</f>
        <v>46</v>
      </c>
      <c r="C168" t="str">
        <v>Female</v>
      </c>
      <c r="E168" s="6" t="s">
        <v>383</v>
      </c>
      <c r="F168" cm="1">
        <f t="array" ref="F168:I168">VLOOKUP(E168,CHOOSE({1,2,3,4,5},'Main Data'!A165:A1164,'Main Data'!B165:B1164,'Main Data'!C165:C1164,'Main Data'!M165:M1164,'Main Data'!N165:N1164),{2,3,4,5},0)</f>
        <v>46</v>
      </c>
      <c r="G168" t="str">
        <v>Female</v>
      </c>
      <c r="H168" t="str">
        <v>UAE</v>
      </c>
      <c r="I168">
        <v>4.88</v>
      </c>
      <c r="L168" s="6" t="s">
        <v>383</v>
      </c>
      <c r="M168" t="str" cm="1">
        <f t="array" ref="M168:O168">INDEX('Main Data'!A165:O1164,MATCH(L168,'Main Data'!A165:A1164,0),{3,7,14})</f>
        <v>Female</v>
      </c>
      <c r="N168">
        <v>110179.37</v>
      </c>
      <c r="O168">
        <v>4.88</v>
      </c>
    </row>
    <row r="169" spans="1:15" x14ac:dyDescent="0.3">
      <c r="A169" s="6" t="s">
        <v>385</v>
      </c>
      <c r="B169" cm="1">
        <f t="array" ref="B169:C169">_xlfn.XLOOKUP(A169,'Main Data'!A166:A1165,'Main Data'!B166:C1165,"Data Not Found",0)</f>
        <v>51</v>
      </c>
      <c r="C169" t="str">
        <v>Male</v>
      </c>
      <c r="E169" s="6" t="s">
        <v>385</v>
      </c>
      <c r="F169" cm="1">
        <f t="array" ref="F169:I169">VLOOKUP(E169,CHOOSE({1,2,3,4,5},'Main Data'!A166:A1165,'Main Data'!B166:B1165,'Main Data'!C166:C1165,'Main Data'!M166:M1165,'Main Data'!N166:N1165),{2,3,4,5},0)</f>
        <v>51</v>
      </c>
      <c r="G169" t="str">
        <v>Male</v>
      </c>
      <c r="H169" t="str">
        <v>Japan</v>
      </c>
      <c r="I169">
        <v>3.74</v>
      </c>
      <c r="L169" s="6" t="s">
        <v>385</v>
      </c>
      <c r="M169" t="str" cm="1">
        <f t="array" ref="M169:O169">INDEX('Main Data'!A166:O1165,MATCH(L169,'Main Data'!A166:A1165,0),{3,7,14})</f>
        <v>Male</v>
      </c>
      <c r="N169">
        <v>146244.54999999999</v>
      </c>
      <c r="O169">
        <v>3.74</v>
      </c>
    </row>
    <row r="170" spans="1:15" x14ac:dyDescent="0.3">
      <c r="A170" s="6" t="s">
        <v>387</v>
      </c>
      <c r="B170" cm="1">
        <f t="array" ref="B170:C170">_xlfn.XLOOKUP(A170,'Main Data'!A167:A1166,'Main Data'!B167:C1166,"Data Not Found",0)</f>
        <v>43</v>
      </c>
      <c r="C170" t="str">
        <v>Male</v>
      </c>
      <c r="E170" s="6" t="s">
        <v>387</v>
      </c>
      <c r="F170" cm="1">
        <f t="array" ref="F170:I170">VLOOKUP(E170,CHOOSE({1,2,3,4,5},'Main Data'!A167:A1166,'Main Data'!B167:B1166,'Main Data'!C167:C1166,'Main Data'!M167:M1166,'Main Data'!N167:N1166),{2,3,4,5},0)</f>
        <v>43</v>
      </c>
      <c r="G170" t="str">
        <v>Male</v>
      </c>
      <c r="H170" t="str">
        <v>USA</v>
      </c>
      <c r="I170">
        <v>2.85</v>
      </c>
      <c r="L170" s="6" t="s">
        <v>387</v>
      </c>
      <c r="M170" t="str" cm="1">
        <f t="array" ref="M170:O170">INDEX('Main Data'!A167:O1166,MATCH(L170,'Main Data'!A167:A1166,0),{3,7,14})</f>
        <v>Male</v>
      </c>
      <c r="N170">
        <v>135417.26</v>
      </c>
      <c r="O170">
        <v>2.85</v>
      </c>
    </row>
    <row r="171" spans="1:15" x14ac:dyDescent="0.3">
      <c r="A171" s="6" t="s">
        <v>389</v>
      </c>
      <c r="B171" cm="1">
        <f t="array" ref="B171:C171">_xlfn.XLOOKUP(A171,'Main Data'!A168:A1167,'Main Data'!B168:C1167,"Data Not Found",0)</f>
        <v>47</v>
      </c>
      <c r="C171" t="str">
        <v>Male</v>
      </c>
      <c r="E171" s="6" t="s">
        <v>389</v>
      </c>
      <c r="F171" cm="1">
        <f t="array" ref="F171:I171">VLOOKUP(E171,CHOOSE({1,2,3,4,5},'Main Data'!A168:A1167,'Main Data'!B168:B1167,'Main Data'!C168:C1167,'Main Data'!M168:M1167,'Main Data'!N168:N1167),{2,3,4,5},0)</f>
        <v>47</v>
      </c>
      <c r="G171" t="str">
        <v>Male</v>
      </c>
      <c r="H171" t="str">
        <v>France</v>
      </c>
      <c r="I171">
        <v>2.15</v>
      </c>
      <c r="L171" s="6" t="s">
        <v>389</v>
      </c>
      <c r="M171" t="str" cm="1">
        <f t="array" ref="M171:O171">INDEX('Main Data'!A168:O1167,MATCH(L171,'Main Data'!A168:A1167,0),{3,7,14})</f>
        <v>Male</v>
      </c>
      <c r="N171">
        <v>80727.91</v>
      </c>
      <c r="O171">
        <v>2.15</v>
      </c>
    </row>
    <row r="172" spans="1:15" x14ac:dyDescent="0.3">
      <c r="A172" s="6" t="s">
        <v>391</v>
      </c>
      <c r="B172" cm="1">
        <f t="array" ref="B172:C172">_xlfn.XLOOKUP(A172,'Main Data'!A169:A1168,'Main Data'!B169:C1168,"Data Not Found",0)</f>
        <v>38</v>
      </c>
      <c r="C172" t="str">
        <v>Female</v>
      </c>
      <c r="E172" s="6" t="s">
        <v>391</v>
      </c>
      <c r="F172" cm="1">
        <f t="array" ref="F172:I172">VLOOKUP(E172,CHOOSE({1,2,3,4,5},'Main Data'!A169:A1168,'Main Data'!B169:B1168,'Main Data'!C169:C1168,'Main Data'!M169:M1168,'Main Data'!N169:N1168),{2,3,4,5},0)</f>
        <v>38</v>
      </c>
      <c r="G172" t="str">
        <v>Female</v>
      </c>
      <c r="H172" t="str">
        <v>UK</v>
      </c>
      <c r="I172">
        <v>2.4500000000000002</v>
      </c>
      <c r="L172" s="6" t="s">
        <v>391</v>
      </c>
      <c r="M172" t="str" cm="1">
        <f t="array" ref="M172:O172">INDEX('Main Data'!A169:O1168,MATCH(L172,'Main Data'!A169:A1168,0),{3,7,14})</f>
        <v>Female</v>
      </c>
      <c r="N172">
        <v>62707.45</v>
      </c>
      <c r="O172">
        <v>2.4500000000000002</v>
      </c>
    </row>
    <row r="173" spans="1:15" x14ac:dyDescent="0.3">
      <c r="A173" s="6" t="s">
        <v>393</v>
      </c>
      <c r="B173" cm="1">
        <f t="array" ref="B173:C173">_xlfn.XLOOKUP(A173,'Main Data'!A170:A1169,'Main Data'!B170:C1169,"Data Not Found",0)</f>
        <v>41</v>
      </c>
      <c r="C173" t="str">
        <v>Other</v>
      </c>
      <c r="E173" s="6" t="s">
        <v>393</v>
      </c>
      <c r="F173" cm="1">
        <f t="array" ref="F173:I173">VLOOKUP(E173,CHOOSE({1,2,3,4,5},'Main Data'!A170:A1169,'Main Data'!B170:B1169,'Main Data'!C170:C1169,'Main Data'!M170:M1169,'Main Data'!N170:N1169),{2,3,4,5},0)</f>
        <v>41</v>
      </c>
      <c r="G173" t="str">
        <v>Other</v>
      </c>
      <c r="H173" t="str">
        <v>UAE</v>
      </c>
      <c r="I173">
        <v>2.5099999999999998</v>
      </c>
      <c r="L173" s="6" t="s">
        <v>393</v>
      </c>
      <c r="M173" t="str" cm="1">
        <f t="array" ref="M173:O173">INDEX('Main Data'!A170:O1169,MATCH(L173,'Main Data'!A170:A1169,0),{3,7,14})</f>
        <v>Other</v>
      </c>
      <c r="N173">
        <v>78835.399999999994</v>
      </c>
      <c r="O173">
        <v>2.5099999999999998</v>
      </c>
    </row>
    <row r="174" spans="1:15" x14ac:dyDescent="0.3">
      <c r="A174" s="6" t="s">
        <v>395</v>
      </c>
      <c r="B174" cm="1">
        <f t="array" ref="B174:C174">_xlfn.XLOOKUP(A174,'Main Data'!A171:A1170,'Main Data'!B171:C1170,"Data Not Found",0)</f>
        <v>55</v>
      </c>
      <c r="C174" t="str">
        <v>Female</v>
      </c>
      <c r="E174" s="6" t="s">
        <v>395</v>
      </c>
      <c r="F174" cm="1">
        <f t="array" ref="F174:I174">VLOOKUP(E174,CHOOSE({1,2,3,4,5},'Main Data'!A171:A1170,'Main Data'!B171:B1170,'Main Data'!C171:C1170,'Main Data'!M171:M1170,'Main Data'!N171:N1170),{2,3,4,5},0)</f>
        <v>55</v>
      </c>
      <c r="G174" t="str">
        <v>Female</v>
      </c>
      <c r="H174" t="str">
        <v>Japan</v>
      </c>
      <c r="I174">
        <v>2.42</v>
      </c>
      <c r="L174" s="6" t="s">
        <v>395</v>
      </c>
      <c r="M174" t="str" cm="1">
        <f t="array" ref="M174:O174">INDEX('Main Data'!A171:O1170,MATCH(L174,'Main Data'!A171:A1170,0),{3,7,14})</f>
        <v>Female</v>
      </c>
      <c r="N174">
        <v>84119.27</v>
      </c>
      <c r="O174">
        <v>2.42</v>
      </c>
    </row>
    <row r="175" spans="1:15" x14ac:dyDescent="0.3">
      <c r="A175" s="6" t="s">
        <v>397</v>
      </c>
      <c r="B175" cm="1">
        <f t="array" ref="B175:C175">_xlfn.XLOOKUP(A175,'Main Data'!A172:A1171,'Main Data'!B172:C1171,"Data Not Found",0)</f>
        <v>62</v>
      </c>
      <c r="C175" t="str">
        <v>Other</v>
      </c>
      <c r="E175" s="6" t="s">
        <v>397</v>
      </c>
      <c r="F175" cm="1">
        <f t="array" ref="F175:I175">VLOOKUP(E175,CHOOSE({1,2,3,4,5},'Main Data'!A172:A1171,'Main Data'!B172:B1171,'Main Data'!C172:C1171,'Main Data'!M172:M1171,'Main Data'!N172:N1171),{2,3,4,5},0)</f>
        <v>62</v>
      </c>
      <c r="G175" t="str">
        <v>Other</v>
      </c>
      <c r="H175" t="str">
        <v>USA</v>
      </c>
      <c r="I175">
        <v>3.47</v>
      </c>
      <c r="L175" s="6" t="s">
        <v>397</v>
      </c>
      <c r="M175" t="str" cm="1">
        <f t="array" ref="M175:O175">INDEX('Main Data'!A172:O1171,MATCH(L175,'Main Data'!A172:A1171,0),{3,7,14})</f>
        <v>Other</v>
      </c>
      <c r="N175">
        <v>138503.97</v>
      </c>
      <c r="O175">
        <v>3.47</v>
      </c>
    </row>
    <row r="176" spans="1:15" x14ac:dyDescent="0.3">
      <c r="A176" s="6" t="s">
        <v>399</v>
      </c>
      <c r="B176" cm="1">
        <f t="array" ref="B176:C176">_xlfn.XLOOKUP(A176,'Main Data'!A173:A1172,'Main Data'!B173:C1172,"Data Not Found",0)</f>
        <v>54</v>
      </c>
      <c r="C176" t="str">
        <v>Female</v>
      </c>
      <c r="E176" s="6" t="s">
        <v>399</v>
      </c>
      <c r="F176" cm="1">
        <f t="array" ref="F176:I176">VLOOKUP(E176,CHOOSE({1,2,3,4,5},'Main Data'!A173:A1172,'Main Data'!B173:B1172,'Main Data'!C173:C1172,'Main Data'!M173:M1172,'Main Data'!N173:N1172),{2,3,4,5},0)</f>
        <v>54</v>
      </c>
      <c r="G176" t="str">
        <v>Female</v>
      </c>
      <c r="H176" t="str">
        <v>France</v>
      </c>
      <c r="I176">
        <v>2</v>
      </c>
      <c r="L176" s="6" t="s">
        <v>399</v>
      </c>
      <c r="M176" t="str" cm="1">
        <f t="array" ref="M176:O176">INDEX('Main Data'!A173:O1172,MATCH(L176,'Main Data'!A173:A1172,0),{3,7,14})</f>
        <v>Female</v>
      </c>
      <c r="N176">
        <v>92393.52</v>
      </c>
      <c r="O176">
        <v>2</v>
      </c>
    </row>
    <row r="177" spans="1:15" x14ac:dyDescent="0.3">
      <c r="A177" s="6" t="s">
        <v>401</v>
      </c>
      <c r="B177" cm="1">
        <f t="array" ref="B177:C177">_xlfn.XLOOKUP(A177,'Main Data'!A174:A1173,'Main Data'!B174:C1173,"Data Not Found",0)</f>
        <v>58</v>
      </c>
      <c r="C177" t="str">
        <v>Other</v>
      </c>
      <c r="E177" s="6" t="s">
        <v>401</v>
      </c>
      <c r="F177" cm="1">
        <f t="array" ref="F177:I177">VLOOKUP(E177,CHOOSE({1,2,3,4,5},'Main Data'!A174:A1173,'Main Data'!B174:B1173,'Main Data'!C174:C1173,'Main Data'!M174:M1173,'Main Data'!N174:N1173),{2,3,4,5},0)</f>
        <v>58</v>
      </c>
      <c r="G177" t="str">
        <v>Other</v>
      </c>
      <c r="H177" t="str">
        <v>UK</v>
      </c>
      <c r="I177">
        <v>2.0499999999999998</v>
      </c>
      <c r="L177" s="6" t="s">
        <v>401</v>
      </c>
      <c r="M177" t="str" cm="1">
        <f t="array" ref="M177:O177">INDEX('Main Data'!A174:O1173,MATCH(L177,'Main Data'!A174:A1173,0),{3,7,14})</f>
        <v>Other</v>
      </c>
      <c r="N177">
        <v>128933.96</v>
      </c>
      <c r="O177">
        <v>2.0499999999999998</v>
      </c>
    </row>
    <row r="178" spans="1:15" x14ac:dyDescent="0.3">
      <c r="A178" s="6" t="s">
        <v>403</v>
      </c>
      <c r="B178" cm="1">
        <f t="array" ref="B178:C178">_xlfn.XLOOKUP(A178,'Main Data'!A175:A1174,'Main Data'!B175:C1174,"Data Not Found",0)</f>
        <v>28</v>
      </c>
      <c r="C178" t="str">
        <v>Other</v>
      </c>
      <c r="E178" s="6" t="s">
        <v>403</v>
      </c>
      <c r="F178" cm="1">
        <f t="array" ref="F178:I178">VLOOKUP(E178,CHOOSE({1,2,3,4,5},'Main Data'!A175:A1174,'Main Data'!B175:B1174,'Main Data'!C175:C1174,'Main Data'!M175:M1174,'Main Data'!N175:N1174),{2,3,4,5},0)</f>
        <v>28</v>
      </c>
      <c r="G178" t="str">
        <v>Other</v>
      </c>
      <c r="H178" t="str">
        <v>UAE</v>
      </c>
      <c r="I178">
        <v>2.56</v>
      </c>
      <c r="L178" s="6" t="s">
        <v>403</v>
      </c>
      <c r="M178" t="str" cm="1">
        <f t="array" ref="M178:O178">INDEX('Main Data'!A175:O1174,MATCH(L178,'Main Data'!A175:A1174,0),{3,7,14})</f>
        <v>Other</v>
      </c>
      <c r="N178">
        <v>117712.36</v>
      </c>
      <c r="O178">
        <v>2.56</v>
      </c>
    </row>
    <row r="179" spans="1:15" x14ac:dyDescent="0.3">
      <c r="A179" s="6" t="s">
        <v>405</v>
      </c>
      <c r="B179" cm="1">
        <f t="array" ref="B179:C179">_xlfn.XLOOKUP(A179,'Main Data'!A176:A1175,'Main Data'!B176:C1175,"Data Not Found",0)</f>
        <v>43</v>
      </c>
      <c r="C179" t="str">
        <v>Male</v>
      </c>
      <c r="E179" s="6" t="s">
        <v>405</v>
      </c>
      <c r="F179" cm="1">
        <f t="array" ref="F179:I179">VLOOKUP(E179,CHOOSE({1,2,3,4,5},'Main Data'!A176:A1175,'Main Data'!B176:B1175,'Main Data'!C176:C1175,'Main Data'!M176:M1175,'Main Data'!N176:N1175),{2,3,4,5},0)</f>
        <v>43</v>
      </c>
      <c r="G179" t="str">
        <v>Male</v>
      </c>
      <c r="H179" t="str">
        <v>Japan</v>
      </c>
      <c r="I179">
        <v>2.06</v>
      </c>
      <c r="L179" s="6" t="s">
        <v>405</v>
      </c>
      <c r="M179" t="str" cm="1">
        <f t="array" ref="M179:O179">INDEX('Main Data'!A176:O1175,MATCH(L179,'Main Data'!A176:A1175,0),{3,7,14})</f>
        <v>Male</v>
      </c>
      <c r="N179">
        <v>130926.87</v>
      </c>
      <c r="O179">
        <v>2.06</v>
      </c>
    </row>
    <row r="180" spans="1:15" x14ac:dyDescent="0.3">
      <c r="A180" s="6" t="s">
        <v>407</v>
      </c>
      <c r="B180" cm="1">
        <f t="array" ref="B180:C180">_xlfn.XLOOKUP(A180,'Main Data'!A177:A1176,'Main Data'!B177:C1176,"Data Not Found",0)</f>
        <v>53</v>
      </c>
      <c r="C180" t="str">
        <v>Female</v>
      </c>
      <c r="E180" s="6" t="s">
        <v>407</v>
      </c>
      <c r="F180" cm="1">
        <f t="array" ref="F180:I180">VLOOKUP(E180,CHOOSE({1,2,3,4,5},'Main Data'!A177:A1176,'Main Data'!B177:B1176,'Main Data'!C177:C1176,'Main Data'!M177:M1176,'Main Data'!N177:N1176),{2,3,4,5},0)</f>
        <v>53</v>
      </c>
      <c r="G180" t="str">
        <v>Female</v>
      </c>
      <c r="H180" t="str">
        <v>USA</v>
      </c>
      <c r="I180">
        <v>4.59</v>
      </c>
      <c r="L180" s="6" t="s">
        <v>407</v>
      </c>
      <c r="M180" t="str" cm="1">
        <f t="array" ref="M180:O180">INDEX('Main Data'!A177:O1176,MATCH(L180,'Main Data'!A177:A1176,0),{3,7,14})</f>
        <v>Female</v>
      </c>
      <c r="N180">
        <v>77898.44</v>
      </c>
      <c r="O180">
        <v>4.59</v>
      </c>
    </row>
    <row r="181" spans="1:15" x14ac:dyDescent="0.3">
      <c r="A181" s="6" t="s">
        <v>409</v>
      </c>
      <c r="B181" cm="1">
        <f t="array" ref="B181:C181">_xlfn.XLOOKUP(A181,'Main Data'!A178:A1177,'Main Data'!B178:C1177,"Data Not Found",0)</f>
        <v>35</v>
      </c>
      <c r="C181" t="str">
        <v>Other</v>
      </c>
      <c r="E181" s="6" t="s">
        <v>409</v>
      </c>
      <c r="F181" cm="1">
        <f t="array" ref="F181:I181">VLOOKUP(E181,CHOOSE({1,2,3,4,5},'Main Data'!A178:A1177,'Main Data'!B178:B1177,'Main Data'!C178:C1177,'Main Data'!M178:M1177,'Main Data'!N178:N1177),{2,3,4,5},0)</f>
        <v>35</v>
      </c>
      <c r="G181" t="str">
        <v>Other</v>
      </c>
      <c r="H181" t="str">
        <v>France</v>
      </c>
      <c r="I181">
        <v>1.1200000000000001</v>
      </c>
      <c r="L181" s="6" t="s">
        <v>409</v>
      </c>
      <c r="M181" t="str" cm="1">
        <f t="array" ref="M181:O181">INDEX('Main Data'!A178:O1177,MATCH(L181,'Main Data'!A178:A1177,0),{3,7,14})</f>
        <v>Other</v>
      </c>
      <c r="N181">
        <v>178306.49</v>
      </c>
      <c r="O181">
        <v>1.1200000000000001</v>
      </c>
    </row>
    <row r="182" spans="1:15" x14ac:dyDescent="0.3">
      <c r="A182" s="6" t="s">
        <v>411</v>
      </c>
      <c r="B182" cm="1">
        <f t="array" ref="B182:C182">_xlfn.XLOOKUP(A182,'Main Data'!A179:A1178,'Main Data'!B179:C1178,"Data Not Found",0)</f>
        <v>29</v>
      </c>
      <c r="C182" t="str">
        <v>Female</v>
      </c>
      <c r="E182" s="6" t="s">
        <v>411</v>
      </c>
      <c r="F182" cm="1">
        <f t="array" ref="F182:I182">VLOOKUP(E182,CHOOSE({1,2,3,4,5},'Main Data'!A179:A1178,'Main Data'!B179:B1178,'Main Data'!C179:C1178,'Main Data'!M179:M1178,'Main Data'!N179:N1178),{2,3,4,5},0)</f>
        <v>29</v>
      </c>
      <c r="G182" t="str">
        <v>Female</v>
      </c>
      <c r="H182" t="str">
        <v>UK</v>
      </c>
      <c r="I182">
        <v>3.61</v>
      </c>
      <c r="L182" s="6" t="s">
        <v>411</v>
      </c>
      <c r="M182" t="str" cm="1">
        <f t="array" ref="M182:O182">INDEX('Main Data'!A179:O1178,MATCH(L182,'Main Data'!A179:A1178,0),{3,7,14})</f>
        <v>Female</v>
      </c>
      <c r="N182">
        <v>160380.57999999999</v>
      </c>
      <c r="O182">
        <v>3.61</v>
      </c>
    </row>
    <row r="183" spans="1:15" x14ac:dyDescent="0.3">
      <c r="A183" s="6" t="s">
        <v>413</v>
      </c>
      <c r="B183" cm="1">
        <f t="array" ref="B183:C183">_xlfn.XLOOKUP(A183,'Main Data'!A180:A1179,'Main Data'!B180:C1179,"Data Not Found",0)</f>
        <v>46</v>
      </c>
      <c r="C183" t="str">
        <v>Male</v>
      </c>
      <c r="E183" s="6" t="s">
        <v>413</v>
      </c>
      <c r="F183" cm="1">
        <f t="array" ref="F183:I183">VLOOKUP(E183,CHOOSE({1,2,3,4,5},'Main Data'!A180:A1179,'Main Data'!B180:B1179,'Main Data'!C180:C1179,'Main Data'!M180:M1179,'Main Data'!N180:N1179),{2,3,4,5},0)</f>
        <v>46</v>
      </c>
      <c r="G183" t="str">
        <v>Male</v>
      </c>
      <c r="H183" t="str">
        <v>UAE</v>
      </c>
      <c r="I183">
        <v>4.28</v>
      </c>
      <c r="L183" s="6" t="s">
        <v>413</v>
      </c>
      <c r="M183" t="str" cm="1">
        <f t="array" ref="M183:O183">INDEX('Main Data'!A180:O1179,MATCH(L183,'Main Data'!A180:A1179,0),{3,7,14})</f>
        <v>Male</v>
      </c>
      <c r="N183">
        <v>61575.01</v>
      </c>
      <c r="O183">
        <v>4.28</v>
      </c>
    </row>
    <row r="184" spans="1:15" x14ac:dyDescent="0.3">
      <c r="A184" s="6" t="s">
        <v>415</v>
      </c>
      <c r="B184" cm="1">
        <f t="array" ref="B184:C184">_xlfn.XLOOKUP(A184,'Main Data'!A181:A1180,'Main Data'!B181:C1180,"Data Not Found",0)</f>
        <v>37</v>
      </c>
      <c r="C184" t="str">
        <v>Male</v>
      </c>
      <c r="E184" s="6" t="s">
        <v>415</v>
      </c>
      <c r="F184" cm="1">
        <f t="array" ref="F184:I184">VLOOKUP(E184,CHOOSE({1,2,3,4,5},'Main Data'!A181:A1180,'Main Data'!B181:B1180,'Main Data'!C181:C1180,'Main Data'!M181:M1180,'Main Data'!N181:N1180),{2,3,4,5},0)</f>
        <v>37</v>
      </c>
      <c r="G184" t="str">
        <v>Male</v>
      </c>
      <c r="H184" t="str">
        <v>Japan</v>
      </c>
      <c r="I184">
        <v>2.61</v>
      </c>
      <c r="L184" s="6" t="s">
        <v>415</v>
      </c>
      <c r="M184" t="str" cm="1">
        <f t="array" ref="M184:O184">INDEX('Main Data'!A181:O1180,MATCH(L184,'Main Data'!A181:A1180,0),{3,7,14})</f>
        <v>Male</v>
      </c>
      <c r="N184">
        <v>183559.83</v>
      </c>
      <c r="O184">
        <v>2.61</v>
      </c>
    </row>
    <row r="185" spans="1:15" x14ac:dyDescent="0.3">
      <c r="A185" s="6" t="s">
        <v>417</v>
      </c>
      <c r="B185" cm="1">
        <f t="array" ref="B185:C185">_xlfn.XLOOKUP(A185,'Main Data'!A182:A1181,'Main Data'!B182:C1181,"Data Not Found",0)</f>
        <v>63</v>
      </c>
      <c r="C185" t="str">
        <v>Other</v>
      </c>
      <c r="E185" s="6" t="s">
        <v>417</v>
      </c>
      <c r="F185" cm="1">
        <f t="array" ref="F185:I185">VLOOKUP(E185,CHOOSE({1,2,3,4,5},'Main Data'!A182:A1181,'Main Data'!B182:B1181,'Main Data'!C182:C1181,'Main Data'!M182:M1181,'Main Data'!N182:N1181),{2,3,4,5},0)</f>
        <v>63</v>
      </c>
      <c r="G185" t="str">
        <v>Other</v>
      </c>
      <c r="H185" t="str">
        <v>USA</v>
      </c>
      <c r="I185">
        <v>1.68</v>
      </c>
      <c r="L185" s="6" t="s">
        <v>417</v>
      </c>
      <c r="M185" t="str" cm="1">
        <f t="array" ref="M185:O185">INDEX('Main Data'!A182:O1181,MATCH(L185,'Main Data'!A182:A1181,0),{3,7,14})</f>
        <v>Other</v>
      </c>
      <c r="N185">
        <v>101829.91</v>
      </c>
      <c r="O185">
        <v>1.68</v>
      </c>
    </row>
    <row r="186" spans="1:15" x14ac:dyDescent="0.3">
      <c r="A186" s="6" t="s">
        <v>419</v>
      </c>
      <c r="B186" cm="1">
        <f t="array" ref="B186:C186">_xlfn.XLOOKUP(A186,'Main Data'!A183:A1182,'Main Data'!B183:C1182,"Data Not Found",0)</f>
        <v>40</v>
      </c>
      <c r="C186" t="str">
        <v>Male</v>
      </c>
      <c r="E186" s="6" t="s">
        <v>419</v>
      </c>
      <c r="F186" cm="1">
        <f t="array" ref="F186:I186">VLOOKUP(E186,CHOOSE({1,2,3,4,5},'Main Data'!A183:A1182,'Main Data'!B183:B1182,'Main Data'!C183:C1182,'Main Data'!M183:M1182,'Main Data'!N183:N1182),{2,3,4,5},0)</f>
        <v>40</v>
      </c>
      <c r="G186" t="str">
        <v>Male</v>
      </c>
      <c r="H186" t="str">
        <v>France</v>
      </c>
      <c r="I186">
        <v>1.85</v>
      </c>
      <c r="L186" s="6" t="s">
        <v>419</v>
      </c>
      <c r="M186" t="str" cm="1">
        <f t="array" ref="M186:O186">INDEX('Main Data'!A183:O1182,MATCH(L186,'Main Data'!A183:A1182,0),{3,7,14})</f>
        <v>Male</v>
      </c>
      <c r="N186">
        <v>195532.2</v>
      </c>
      <c r="O186">
        <v>1.85</v>
      </c>
    </row>
    <row r="187" spans="1:15" x14ac:dyDescent="0.3">
      <c r="A187" s="6" t="s">
        <v>421</v>
      </c>
      <c r="B187" cm="1">
        <f t="array" ref="B187:C187">_xlfn.XLOOKUP(A187,'Main Data'!A184:A1183,'Main Data'!B184:C1183,"Data Not Found",0)</f>
        <v>62</v>
      </c>
      <c r="C187" t="str">
        <v>Female</v>
      </c>
      <c r="E187" s="6" t="s">
        <v>421</v>
      </c>
      <c r="F187" cm="1">
        <f t="array" ref="F187:I187">VLOOKUP(E187,CHOOSE({1,2,3,4,5},'Main Data'!A184:A1183,'Main Data'!B184:B1183,'Main Data'!C184:C1183,'Main Data'!M184:M1183,'Main Data'!N184:N1183),{2,3,4,5},0)</f>
        <v>62</v>
      </c>
      <c r="G187" t="str">
        <v>Female</v>
      </c>
      <c r="H187" t="str">
        <v>UK</v>
      </c>
      <c r="I187">
        <v>4.09</v>
      </c>
      <c r="L187" s="6" t="s">
        <v>421</v>
      </c>
      <c r="M187" t="str" cm="1">
        <f t="array" ref="M187:O187">INDEX('Main Data'!A184:O1183,MATCH(L187,'Main Data'!A184:A1183,0),{3,7,14})</f>
        <v>Female</v>
      </c>
      <c r="N187">
        <v>164843.44</v>
      </c>
      <c r="O187">
        <v>4.09</v>
      </c>
    </row>
    <row r="188" spans="1:15" x14ac:dyDescent="0.3">
      <c r="A188" s="6" t="s">
        <v>423</v>
      </c>
      <c r="B188" cm="1">
        <f t="array" ref="B188:C188">_xlfn.XLOOKUP(A188,'Main Data'!A185:A1184,'Main Data'!B185:C1184,"Data Not Found",0)</f>
        <v>37</v>
      </c>
      <c r="C188" t="str">
        <v>Male</v>
      </c>
      <c r="E188" s="6" t="s">
        <v>423</v>
      </c>
      <c r="F188" cm="1">
        <f t="array" ref="F188:I188">VLOOKUP(E188,CHOOSE({1,2,3,4,5},'Main Data'!A185:A1184,'Main Data'!B185:B1184,'Main Data'!C185:C1184,'Main Data'!M185:M1184,'Main Data'!N185:N1184),{2,3,4,5},0)</f>
        <v>37</v>
      </c>
      <c r="G188" t="str">
        <v>Male</v>
      </c>
      <c r="H188" t="str">
        <v>UAE</v>
      </c>
      <c r="I188">
        <v>2.46</v>
      </c>
      <c r="L188" s="6" t="s">
        <v>423</v>
      </c>
      <c r="M188" t="str" cm="1">
        <f t="array" ref="M188:O188">INDEX('Main Data'!A185:O1184,MATCH(L188,'Main Data'!A185:A1184,0),{3,7,14})</f>
        <v>Male</v>
      </c>
      <c r="N188">
        <v>132118.04</v>
      </c>
      <c r="O188">
        <v>2.46</v>
      </c>
    </row>
    <row r="189" spans="1:15" x14ac:dyDescent="0.3">
      <c r="A189" s="6" t="s">
        <v>425</v>
      </c>
      <c r="B189" cm="1">
        <f t="array" ref="B189:C189">_xlfn.XLOOKUP(A189,'Main Data'!A186:A1185,'Main Data'!B186:C1185,"Data Not Found",0)</f>
        <v>33</v>
      </c>
      <c r="C189" t="str">
        <v>Male</v>
      </c>
      <c r="E189" s="6" t="s">
        <v>425</v>
      </c>
      <c r="F189" cm="1">
        <f t="array" ref="F189:I189">VLOOKUP(E189,CHOOSE({1,2,3,4,5},'Main Data'!A186:A1185,'Main Data'!B186:B1185,'Main Data'!C186:C1185,'Main Data'!M186:M1185,'Main Data'!N186:N1185),{2,3,4,5},0)</f>
        <v>33</v>
      </c>
      <c r="G189" t="str">
        <v>Male</v>
      </c>
      <c r="H189" t="str">
        <v>Japan</v>
      </c>
      <c r="I189">
        <v>3.89</v>
      </c>
      <c r="L189" s="6" t="s">
        <v>425</v>
      </c>
      <c r="M189" t="str" cm="1">
        <f t="array" ref="M189:O189">INDEX('Main Data'!A186:O1185,MATCH(L189,'Main Data'!A186:A1185,0),{3,7,14})</f>
        <v>Male</v>
      </c>
      <c r="N189">
        <v>173839.41</v>
      </c>
      <c r="O189">
        <v>3.89</v>
      </c>
    </row>
    <row r="190" spans="1:15" x14ac:dyDescent="0.3">
      <c r="A190" s="6" t="s">
        <v>427</v>
      </c>
      <c r="B190" cm="1">
        <f t="array" ref="B190:C190">_xlfn.XLOOKUP(A190,'Main Data'!A187:A1186,'Main Data'!B187:C1186,"Data Not Found",0)</f>
        <v>60</v>
      </c>
      <c r="C190" t="str">
        <v>Male</v>
      </c>
      <c r="E190" s="6" t="s">
        <v>427</v>
      </c>
      <c r="F190" cm="1">
        <f t="array" ref="F190:I190">VLOOKUP(E190,CHOOSE({1,2,3,4,5},'Main Data'!A187:A1186,'Main Data'!B187:B1186,'Main Data'!C187:C1186,'Main Data'!M187:M1186,'Main Data'!N187:N1186),{2,3,4,5},0)</f>
        <v>60</v>
      </c>
      <c r="G190" t="str">
        <v>Male</v>
      </c>
      <c r="H190" t="str">
        <v>USA</v>
      </c>
      <c r="I190">
        <v>4.75</v>
      </c>
      <c r="L190" s="6" t="s">
        <v>427</v>
      </c>
      <c r="M190" t="str" cm="1">
        <f t="array" ref="M190:O190">INDEX('Main Data'!A187:O1186,MATCH(L190,'Main Data'!A187:A1186,0),{3,7,14})</f>
        <v>Male</v>
      </c>
      <c r="N190">
        <v>185049.93</v>
      </c>
      <c r="O190">
        <v>4.75</v>
      </c>
    </row>
    <row r="191" spans="1:15" x14ac:dyDescent="0.3">
      <c r="A191" s="6" t="s">
        <v>429</v>
      </c>
      <c r="B191" cm="1">
        <f t="array" ref="B191:C191">_xlfn.XLOOKUP(A191,'Main Data'!A188:A1187,'Main Data'!B188:C1187,"Data Not Found",0)</f>
        <v>51</v>
      </c>
      <c r="C191" t="str">
        <v>Male</v>
      </c>
      <c r="E191" s="6" t="s">
        <v>429</v>
      </c>
      <c r="F191" cm="1">
        <f t="array" ref="F191:I191">VLOOKUP(E191,CHOOSE({1,2,3,4,5},'Main Data'!A188:A1187,'Main Data'!B188:B1187,'Main Data'!C188:C1187,'Main Data'!M188:M1187,'Main Data'!N188:N1187),{2,3,4,5},0)</f>
        <v>51</v>
      </c>
      <c r="G191" t="str">
        <v>Male</v>
      </c>
      <c r="H191" t="str">
        <v>France</v>
      </c>
      <c r="I191">
        <v>3.1</v>
      </c>
      <c r="L191" s="6" t="s">
        <v>429</v>
      </c>
      <c r="M191" t="str" cm="1">
        <f t="array" ref="M191:O191">INDEX('Main Data'!A188:O1187,MATCH(L191,'Main Data'!A188:A1187,0),{3,7,14})</f>
        <v>Male</v>
      </c>
      <c r="N191">
        <v>82501.289999999994</v>
      </c>
      <c r="O191">
        <v>3.1</v>
      </c>
    </row>
    <row r="192" spans="1:15" x14ac:dyDescent="0.3">
      <c r="A192" s="6" t="s">
        <v>431</v>
      </c>
      <c r="B192" cm="1">
        <f t="array" ref="B192:C192">_xlfn.XLOOKUP(A192,'Main Data'!A189:A1188,'Main Data'!B189:C1188,"Data Not Found",0)</f>
        <v>23</v>
      </c>
      <c r="C192" t="str">
        <v>Female</v>
      </c>
      <c r="E192" s="6" t="s">
        <v>431</v>
      </c>
      <c r="F192" cm="1">
        <f t="array" ref="F192:I192">VLOOKUP(E192,CHOOSE({1,2,3,4,5},'Main Data'!A189:A1188,'Main Data'!B189:B1188,'Main Data'!C189:C1188,'Main Data'!M189:M1188,'Main Data'!N189:N1188),{2,3,4,5},0)</f>
        <v>23</v>
      </c>
      <c r="G192" t="str">
        <v>Female</v>
      </c>
      <c r="H192" t="str">
        <v>UK</v>
      </c>
      <c r="I192">
        <v>1.01</v>
      </c>
      <c r="L192" s="6" t="s">
        <v>431</v>
      </c>
      <c r="M192" t="str" cm="1">
        <f t="array" ref="M192:O192">INDEX('Main Data'!A189:O1188,MATCH(L192,'Main Data'!A189:A1188,0),{3,7,14})</f>
        <v>Female</v>
      </c>
      <c r="N192">
        <v>127951.58</v>
      </c>
      <c r="O192">
        <v>1.01</v>
      </c>
    </row>
    <row r="193" spans="1:15" x14ac:dyDescent="0.3">
      <c r="A193" s="6" t="s">
        <v>433</v>
      </c>
      <c r="B193" cm="1">
        <f t="array" ref="B193:C193">_xlfn.XLOOKUP(A193,'Main Data'!A190:A1189,'Main Data'!B190:C1189,"Data Not Found",0)</f>
        <v>53</v>
      </c>
      <c r="C193" t="str">
        <v>Female</v>
      </c>
      <c r="E193" s="6" t="s">
        <v>433</v>
      </c>
      <c r="F193" cm="1">
        <f t="array" ref="F193:I193">VLOOKUP(E193,CHOOSE({1,2,3,4,5},'Main Data'!A190:A1189,'Main Data'!B190:B1189,'Main Data'!C190:C1189,'Main Data'!M190:M1189,'Main Data'!N190:N1189),{2,3,4,5},0)</f>
        <v>53</v>
      </c>
      <c r="G193" t="str">
        <v>Female</v>
      </c>
      <c r="H193" t="str">
        <v>UAE</v>
      </c>
      <c r="I193">
        <v>2.3199999999999998</v>
      </c>
      <c r="L193" s="6" t="s">
        <v>433</v>
      </c>
      <c r="M193" t="str" cm="1">
        <f t="array" ref="M193:O193">INDEX('Main Data'!A190:O1189,MATCH(L193,'Main Data'!A190:A1189,0),{3,7,14})</f>
        <v>Female</v>
      </c>
      <c r="N193">
        <v>123811.86</v>
      </c>
      <c r="O193">
        <v>2.3199999999999998</v>
      </c>
    </row>
    <row r="194" spans="1:15" x14ac:dyDescent="0.3">
      <c r="A194" s="6" t="s">
        <v>435</v>
      </c>
      <c r="B194" cm="1">
        <f t="array" ref="B194:C194">_xlfn.XLOOKUP(A194,'Main Data'!A191:A1190,'Main Data'!B191:C1190,"Data Not Found",0)</f>
        <v>46</v>
      </c>
      <c r="C194" t="str">
        <v>Other</v>
      </c>
      <c r="E194" s="6" t="s">
        <v>435</v>
      </c>
      <c r="F194" cm="1">
        <f t="array" ref="F194:I194">VLOOKUP(E194,CHOOSE({1,2,3,4,5},'Main Data'!A191:A1190,'Main Data'!B191:B1190,'Main Data'!C191:C1190,'Main Data'!M191:M1190,'Main Data'!N191:N1190),{2,3,4,5},0)</f>
        <v>46</v>
      </c>
      <c r="G194" t="str">
        <v>Other</v>
      </c>
      <c r="H194" t="str">
        <v>Japan</v>
      </c>
      <c r="I194">
        <v>3.58</v>
      </c>
      <c r="L194" s="6" t="s">
        <v>435</v>
      </c>
      <c r="M194" t="str" cm="1">
        <f t="array" ref="M194:O194">INDEX('Main Data'!A191:O1190,MATCH(L194,'Main Data'!A191:A1190,0),{3,7,14})</f>
        <v>Other</v>
      </c>
      <c r="N194">
        <v>169519.69</v>
      </c>
      <c r="O194">
        <v>3.58</v>
      </c>
    </row>
    <row r="195" spans="1:15" x14ac:dyDescent="0.3">
      <c r="A195" s="6" t="s">
        <v>437</v>
      </c>
      <c r="B195" cm="1">
        <f t="array" ref="B195:C195">_xlfn.XLOOKUP(A195,'Main Data'!A192:A1191,'Main Data'!B192:C1191,"Data Not Found",0)</f>
        <v>46</v>
      </c>
      <c r="C195" t="str">
        <v>Male</v>
      </c>
      <c r="E195" s="6" t="s">
        <v>437</v>
      </c>
      <c r="F195" cm="1">
        <f t="array" ref="F195:I195">VLOOKUP(E195,CHOOSE({1,2,3,4,5},'Main Data'!A192:A1191,'Main Data'!B192:B1191,'Main Data'!C192:C1191,'Main Data'!M192:M1191,'Main Data'!N192:N1191),{2,3,4,5},0)</f>
        <v>46</v>
      </c>
      <c r="G195" t="str">
        <v>Male</v>
      </c>
      <c r="H195" t="str">
        <v>USA</v>
      </c>
      <c r="I195">
        <v>1.1000000000000001</v>
      </c>
      <c r="L195" s="6" t="s">
        <v>437</v>
      </c>
      <c r="M195" t="str" cm="1">
        <f t="array" ref="M195:O195">INDEX('Main Data'!A192:O1191,MATCH(L195,'Main Data'!A192:A1191,0),{3,7,14})</f>
        <v>Male</v>
      </c>
      <c r="N195">
        <v>193583.63</v>
      </c>
      <c r="O195">
        <v>1.1000000000000001</v>
      </c>
    </row>
    <row r="196" spans="1:15" x14ac:dyDescent="0.3">
      <c r="A196" s="6" t="s">
        <v>439</v>
      </c>
      <c r="B196" cm="1">
        <f t="array" ref="B196:C196">_xlfn.XLOOKUP(A196,'Main Data'!A193:A1192,'Main Data'!B193:C1192,"Data Not Found",0)</f>
        <v>25</v>
      </c>
      <c r="C196" t="str">
        <v>Other</v>
      </c>
      <c r="E196" s="6" t="s">
        <v>439</v>
      </c>
      <c r="F196" cm="1">
        <f t="array" ref="F196:I196">VLOOKUP(E196,CHOOSE({1,2,3,4,5},'Main Data'!A193:A1192,'Main Data'!B193:B1192,'Main Data'!C193:C1192,'Main Data'!M193:M1192,'Main Data'!N193:N1192),{2,3,4,5},0)</f>
        <v>25</v>
      </c>
      <c r="G196" t="str">
        <v>Other</v>
      </c>
      <c r="H196" t="str">
        <v>France</v>
      </c>
      <c r="I196">
        <v>4.99</v>
      </c>
      <c r="L196" s="6" t="s">
        <v>439</v>
      </c>
      <c r="M196" t="str" cm="1">
        <f t="array" ref="M196:O196">INDEX('Main Data'!A193:O1192,MATCH(L196,'Main Data'!A193:A1192,0),{3,7,14})</f>
        <v>Other</v>
      </c>
      <c r="N196">
        <v>125357.1</v>
      </c>
      <c r="O196">
        <v>4.99</v>
      </c>
    </row>
    <row r="197" spans="1:15" x14ac:dyDescent="0.3">
      <c r="A197" s="6" t="s">
        <v>441</v>
      </c>
      <c r="B197" cm="1">
        <f t="array" ref="B197:C197">_xlfn.XLOOKUP(A197,'Main Data'!A194:A1193,'Main Data'!B194:C1193,"Data Not Found",0)</f>
        <v>40</v>
      </c>
      <c r="C197" t="str">
        <v>Other</v>
      </c>
      <c r="E197" s="6" t="s">
        <v>441</v>
      </c>
      <c r="F197" cm="1">
        <f t="array" ref="F197:I197">VLOOKUP(E197,CHOOSE({1,2,3,4,5},'Main Data'!A194:A1193,'Main Data'!B194:B1193,'Main Data'!C194:C1193,'Main Data'!M194:M1193,'Main Data'!N194:N1193),{2,3,4,5},0)</f>
        <v>40</v>
      </c>
      <c r="G197" t="str">
        <v>Other</v>
      </c>
      <c r="H197" t="str">
        <v>UK</v>
      </c>
      <c r="I197">
        <v>3.69</v>
      </c>
      <c r="L197" s="6" t="s">
        <v>441</v>
      </c>
      <c r="M197" t="str" cm="1">
        <f t="array" ref="M197:O197">INDEX('Main Data'!A194:O1193,MATCH(L197,'Main Data'!A194:A1193,0),{3,7,14})</f>
        <v>Other</v>
      </c>
      <c r="N197">
        <v>134070.73000000001</v>
      </c>
      <c r="O197">
        <v>3.69</v>
      </c>
    </row>
    <row r="198" spans="1:15" x14ac:dyDescent="0.3">
      <c r="A198" s="6" t="s">
        <v>443</v>
      </c>
      <c r="B198" cm="1">
        <f t="array" ref="B198:C198">_xlfn.XLOOKUP(A198,'Main Data'!A195:A1194,'Main Data'!B195:C1194,"Data Not Found",0)</f>
        <v>25</v>
      </c>
      <c r="C198" t="str">
        <v>Female</v>
      </c>
      <c r="E198" s="6" t="s">
        <v>443</v>
      </c>
      <c r="F198" cm="1">
        <f t="array" ref="F198:I198">VLOOKUP(E198,CHOOSE({1,2,3,4,5},'Main Data'!A195:A1194,'Main Data'!B195:B1194,'Main Data'!C195:C1194,'Main Data'!M195:M1194,'Main Data'!N195:N1194),{2,3,4,5},0)</f>
        <v>25</v>
      </c>
      <c r="G198" t="str">
        <v>Female</v>
      </c>
      <c r="H198" t="str">
        <v>UAE</v>
      </c>
      <c r="I198">
        <v>2.5299999999999998</v>
      </c>
      <c r="L198" s="6" t="s">
        <v>443</v>
      </c>
      <c r="M198" t="str" cm="1">
        <f t="array" ref="M198:O198">INDEX('Main Data'!A195:O1194,MATCH(L198,'Main Data'!A195:A1194,0),{3,7,14})</f>
        <v>Female</v>
      </c>
      <c r="N198">
        <v>113482.71</v>
      </c>
      <c r="O198">
        <v>2.5299999999999998</v>
      </c>
    </row>
    <row r="199" spans="1:15" x14ac:dyDescent="0.3">
      <c r="A199" s="6" t="s">
        <v>445</v>
      </c>
      <c r="B199" cm="1">
        <f t="array" ref="B199:C199">_xlfn.XLOOKUP(A199,'Main Data'!A196:A1195,'Main Data'!B196:C1195,"Data Not Found",0)</f>
        <v>64</v>
      </c>
      <c r="C199" t="str">
        <v>Male</v>
      </c>
      <c r="E199" s="6" t="s">
        <v>445</v>
      </c>
      <c r="F199" cm="1">
        <f t="array" ref="F199:I199">VLOOKUP(E199,CHOOSE({1,2,3,4,5},'Main Data'!A196:A1195,'Main Data'!B196:B1195,'Main Data'!C196:C1195,'Main Data'!M196:M1195,'Main Data'!N196:N1195),{2,3,4,5},0)</f>
        <v>64</v>
      </c>
      <c r="G199" t="str">
        <v>Male</v>
      </c>
      <c r="H199" t="str">
        <v>Japan</v>
      </c>
      <c r="I199">
        <v>3.09</v>
      </c>
      <c r="L199" s="6" t="s">
        <v>445</v>
      </c>
      <c r="M199" t="str" cm="1">
        <f t="array" ref="M199:O199">INDEX('Main Data'!A196:O1195,MATCH(L199,'Main Data'!A196:A1195,0),{3,7,14})</f>
        <v>Male</v>
      </c>
      <c r="N199">
        <v>124727.5</v>
      </c>
      <c r="O199">
        <v>3.09</v>
      </c>
    </row>
    <row r="200" spans="1:15" x14ac:dyDescent="0.3">
      <c r="A200" s="6" t="s">
        <v>447</v>
      </c>
      <c r="B200" cm="1">
        <f t="array" ref="B200:C200">_xlfn.XLOOKUP(A200,'Main Data'!A197:A1196,'Main Data'!B197:C1196,"Data Not Found",0)</f>
        <v>34</v>
      </c>
      <c r="C200" t="str">
        <v>Male</v>
      </c>
      <c r="E200" s="6" t="s">
        <v>447</v>
      </c>
      <c r="F200" cm="1">
        <f t="array" ref="F200:I200">VLOOKUP(E200,CHOOSE({1,2,3,4,5},'Main Data'!A197:A1196,'Main Data'!B197:B1196,'Main Data'!C197:C1196,'Main Data'!M197:M1196,'Main Data'!N197:N1196),{2,3,4,5},0)</f>
        <v>34</v>
      </c>
      <c r="G200" t="str">
        <v>Male</v>
      </c>
      <c r="H200" t="str">
        <v>USA</v>
      </c>
      <c r="I200">
        <v>4.88</v>
      </c>
      <c r="L200" s="6" t="s">
        <v>447</v>
      </c>
      <c r="M200" t="str" cm="1">
        <f t="array" ref="M200:O200">INDEX('Main Data'!A197:O1196,MATCH(L200,'Main Data'!A197:A1196,0),{3,7,14})</f>
        <v>Male</v>
      </c>
      <c r="N200">
        <v>130015.62</v>
      </c>
      <c r="O200">
        <v>4.88</v>
      </c>
    </row>
    <row r="201" spans="1:15" x14ac:dyDescent="0.3">
      <c r="A201" s="6" t="s">
        <v>449</v>
      </c>
      <c r="B201" cm="1">
        <f t="array" ref="B201:C201">_xlfn.XLOOKUP(A201,'Main Data'!A198:A1197,'Main Data'!B198:C1197,"Data Not Found",0)</f>
        <v>60</v>
      </c>
      <c r="C201" t="str">
        <v>Female</v>
      </c>
      <c r="E201" s="6" t="s">
        <v>449</v>
      </c>
      <c r="F201" cm="1">
        <f t="array" ref="F201:I201">VLOOKUP(E201,CHOOSE({1,2,3,4,5},'Main Data'!A198:A1197,'Main Data'!B198:B1197,'Main Data'!C198:C1197,'Main Data'!M198:M1197,'Main Data'!N198:N1197),{2,3,4,5},0)</f>
        <v>60</v>
      </c>
      <c r="G201" t="str">
        <v>Female</v>
      </c>
      <c r="H201" t="str">
        <v>France</v>
      </c>
      <c r="I201">
        <v>6.01</v>
      </c>
      <c r="L201" s="6" t="s">
        <v>449</v>
      </c>
      <c r="M201" t="str" cm="1">
        <f t="array" ref="M201:O201">INDEX('Main Data'!A198:O1197,MATCH(L201,'Main Data'!A198:A1197,0),{3,7,14})</f>
        <v>Female</v>
      </c>
      <c r="N201">
        <v>163719.73000000001</v>
      </c>
      <c r="O201">
        <v>6.01</v>
      </c>
    </row>
    <row r="202" spans="1:15" x14ac:dyDescent="0.3">
      <c r="A202" s="6" t="s">
        <v>451</v>
      </c>
      <c r="B202" cm="1">
        <f t="array" ref="B202:C202">_xlfn.XLOOKUP(A202,'Main Data'!A199:A1198,'Main Data'!B199:C1198,"Data Not Found",0)</f>
        <v>57</v>
      </c>
      <c r="C202" t="str">
        <v>Female</v>
      </c>
      <c r="E202" s="6" t="s">
        <v>451</v>
      </c>
      <c r="F202" cm="1">
        <f t="array" ref="F202:I202">VLOOKUP(E202,CHOOSE({1,2,3,4,5},'Main Data'!A199:A1198,'Main Data'!B199:B1198,'Main Data'!C199:C1198,'Main Data'!M199:M1198,'Main Data'!N199:N1198),{2,3,4,5},0)</f>
        <v>57</v>
      </c>
      <c r="G202" t="str">
        <v>Female</v>
      </c>
      <c r="H202" t="str">
        <v>UK</v>
      </c>
      <c r="I202">
        <v>4.17</v>
      </c>
      <c r="L202" s="6" t="s">
        <v>451</v>
      </c>
      <c r="M202" t="str" cm="1">
        <f t="array" ref="M202:O202">INDEX('Main Data'!A199:O1198,MATCH(L202,'Main Data'!A199:A1198,0),{3,7,14})</f>
        <v>Female</v>
      </c>
      <c r="N202">
        <v>197654.17</v>
      </c>
      <c r="O202">
        <v>4.17</v>
      </c>
    </row>
    <row r="203" spans="1:15" x14ac:dyDescent="0.3">
      <c r="A203" s="6" t="s">
        <v>453</v>
      </c>
      <c r="B203" cm="1">
        <f t="array" ref="B203:C203">_xlfn.XLOOKUP(A203,'Main Data'!A200:A1199,'Main Data'!B200:C1199,"Data Not Found",0)</f>
        <v>44</v>
      </c>
      <c r="C203" t="str">
        <v>Female</v>
      </c>
      <c r="E203" s="6" t="s">
        <v>453</v>
      </c>
      <c r="F203" cm="1">
        <f t="array" ref="F203:I203">VLOOKUP(E203,CHOOSE({1,2,3,4,5},'Main Data'!A200:A1199,'Main Data'!B200:B1199,'Main Data'!C200:C1199,'Main Data'!M200:M1199,'Main Data'!N200:N1199),{2,3,4,5},0)</f>
        <v>44</v>
      </c>
      <c r="G203" t="str">
        <v>Female</v>
      </c>
      <c r="H203" t="str">
        <v>UAE</v>
      </c>
      <c r="I203">
        <v>2.41</v>
      </c>
      <c r="L203" s="6" t="s">
        <v>453</v>
      </c>
      <c r="M203" t="str" cm="1">
        <f t="array" ref="M203:O203">INDEX('Main Data'!A200:O1199,MATCH(L203,'Main Data'!A200:A1199,0),{3,7,14})</f>
        <v>Female</v>
      </c>
      <c r="N203">
        <v>173855.59</v>
      </c>
      <c r="O203">
        <v>2.41</v>
      </c>
    </row>
    <row r="204" spans="1:15" x14ac:dyDescent="0.3">
      <c r="A204" s="6" t="s">
        <v>455</v>
      </c>
      <c r="B204" cm="1">
        <f t="array" ref="B204:C204">_xlfn.XLOOKUP(A204,'Main Data'!A201:A1200,'Main Data'!B201:C1200,"Data Not Found",0)</f>
        <v>27</v>
      </c>
      <c r="C204" t="str">
        <v>Male</v>
      </c>
      <c r="E204" s="6" t="s">
        <v>455</v>
      </c>
      <c r="F204" cm="1">
        <f t="array" ref="F204:I204">VLOOKUP(E204,CHOOSE({1,2,3,4,5},'Main Data'!A201:A1200,'Main Data'!B201:B1200,'Main Data'!C201:C1200,'Main Data'!M201:M1200,'Main Data'!N201:N1200),{2,3,4,5},0)</f>
        <v>27</v>
      </c>
      <c r="G204" t="str">
        <v>Male</v>
      </c>
      <c r="H204" t="str">
        <v>Japan</v>
      </c>
      <c r="I204">
        <v>2.0299999999999998</v>
      </c>
      <c r="L204" s="6" t="s">
        <v>455</v>
      </c>
      <c r="M204" t="str" cm="1">
        <f t="array" ref="M204:O204">INDEX('Main Data'!A201:O1200,MATCH(L204,'Main Data'!A201:A1200,0),{3,7,14})</f>
        <v>Male</v>
      </c>
      <c r="N204">
        <v>192673.27</v>
      </c>
      <c r="O204">
        <v>2.0299999999999998</v>
      </c>
    </row>
    <row r="205" spans="1:15" x14ac:dyDescent="0.3">
      <c r="A205" s="6" t="s">
        <v>457</v>
      </c>
      <c r="B205" cm="1">
        <f t="array" ref="B205:C205">_xlfn.XLOOKUP(A205,'Main Data'!A202:A1201,'Main Data'!B202:C1201,"Data Not Found",0)</f>
        <v>45</v>
      </c>
      <c r="C205" t="str">
        <v>Other</v>
      </c>
      <c r="E205" s="6" t="s">
        <v>457</v>
      </c>
      <c r="F205" cm="1">
        <f t="array" ref="F205:I205">VLOOKUP(E205,CHOOSE({1,2,3,4,5},'Main Data'!A202:A1201,'Main Data'!B202:B1201,'Main Data'!C202:C1201,'Main Data'!M202:M1201,'Main Data'!N202:N1201),{2,3,4,5},0)</f>
        <v>45</v>
      </c>
      <c r="G205" t="str">
        <v>Other</v>
      </c>
      <c r="H205" t="str">
        <v>USA</v>
      </c>
      <c r="I205">
        <v>3.75</v>
      </c>
      <c r="L205" s="6" t="s">
        <v>457</v>
      </c>
      <c r="M205" t="str" cm="1">
        <f t="array" ref="M205:O205">INDEX('Main Data'!A202:O1201,MATCH(L205,'Main Data'!A202:A1201,0),{3,7,14})</f>
        <v>Other</v>
      </c>
      <c r="N205">
        <v>71992.12</v>
      </c>
      <c r="O205">
        <v>3.75</v>
      </c>
    </row>
    <row r="206" spans="1:15" x14ac:dyDescent="0.3">
      <c r="A206" s="6" t="s">
        <v>459</v>
      </c>
      <c r="B206" cm="1">
        <f t="array" ref="B206:C206">_xlfn.XLOOKUP(A206,'Main Data'!A203:A1202,'Main Data'!B203:C1202,"Data Not Found",0)</f>
        <v>54</v>
      </c>
      <c r="C206" t="str">
        <v>Other</v>
      </c>
      <c r="E206" s="6" t="s">
        <v>459</v>
      </c>
      <c r="F206" cm="1">
        <f t="array" ref="F206:I206">VLOOKUP(E206,CHOOSE({1,2,3,4,5},'Main Data'!A203:A1202,'Main Data'!B203:B1202,'Main Data'!C203:C1202,'Main Data'!M203:M1202,'Main Data'!N203:N1202),{2,3,4,5},0)</f>
        <v>54</v>
      </c>
      <c r="G206" t="str">
        <v>Other</v>
      </c>
      <c r="H206" t="str">
        <v>France</v>
      </c>
      <c r="I206">
        <v>3.17</v>
      </c>
      <c r="L206" s="6" t="s">
        <v>459</v>
      </c>
      <c r="M206" t="str" cm="1">
        <f t="array" ref="M206:O206">INDEX('Main Data'!A203:O1202,MATCH(L206,'Main Data'!A203:A1202,0),{3,7,14})</f>
        <v>Other</v>
      </c>
      <c r="N206">
        <v>74990.37</v>
      </c>
      <c r="O206">
        <v>3.17</v>
      </c>
    </row>
    <row r="207" spans="1:15" x14ac:dyDescent="0.3">
      <c r="A207" s="6" t="s">
        <v>461</v>
      </c>
      <c r="B207" cm="1">
        <f t="array" ref="B207:C207">_xlfn.XLOOKUP(A207,'Main Data'!A204:A1203,'Main Data'!B204:C1203,"Data Not Found",0)</f>
        <v>33</v>
      </c>
      <c r="C207" t="str">
        <v>Male</v>
      </c>
      <c r="E207" s="6" t="s">
        <v>461</v>
      </c>
      <c r="F207" cm="1">
        <f t="array" ref="F207:I207">VLOOKUP(E207,CHOOSE({1,2,3,4,5},'Main Data'!A204:A1203,'Main Data'!B204:B1203,'Main Data'!C204:C1203,'Main Data'!M204:M1203,'Main Data'!N204:N1203),{2,3,4,5},0)</f>
        <v>33</v>
      </c>
      <c r="G207" t="str">
        <v>Male</v>
      </c>
      <c r="H207" t="str">
        <v>UK</v>
      </c>
      <c r="I207">
        <v>4.13</v>
      </c>
      <c r="L207" s="6" t="s">
        <v>461</v>
      </c>
      <c r="M207" t="str" cm="1">
        <f t="array" ref="M207:O207">INDEX('Main Data'!A204:O1203,MATCH(L207,'Main Data'!A204:A1203,0),{3,7,14})</f>
        <v>Male</v>
      </c>
      <c r="N207">
        <v>109528.23</v>
      </c>
      <c r="O207">
        <v>4.13</v>
      </c>
    </row>
    <row r="208" spans="1:15" x14ac:dyDescent="0.3">
      <c r="A208" s="6" t="s">
        <v>463</v>
      </c>
      <c r="B208" cm="1">
        <f t="array" ref="B208:C208">_xlfn.XLOOKUP(A208,'Main Data'!A205:A1204,'Main Data'!B205:C1204,"Data Not Found",0)</f>
        <v>62</v>
      </c>
      <c r="C208" t="str">
        <v>Other</v>
      </c>
      <c r="E208" s="6" t="s">
        <v>463</v>
      </c>
      <c r="F208" cm="1">
        <f t="array" ref="F208:I208">VLOOKUP(E208,CHOOSE({1,2,3,4,5},'Main Data'!A205:A1204,'Main Data'!B205:B1204,'Main Data'!C205:C1204,'Main Data'!M205:M1204,'Main Data'!N205:N1204),{2,3,4,5},0)</f>
        <v>62</v>
      </c>
      <c r="G208" t="str">
        <v>Other</v>
      </c>
      <c r="H208" t="str">
        <v>UAE</v>
      </c>
      <c r="I208">
        <v>3.77</v>
      </c>
      <c r="L208" s="6" t="s">
        <v>463</v>
      </c>
      <c r="M208" t="str" cm="1">
        <f t="array" ref="M208:O208">INDEX('Main Data'!A205:O1204,MATCH(L208,'Main Data'!A205:A1204,0),{3,7,14})</f>
        <v>Other</v>
      </c>
      <c r="N208">
        <v>113534.96</v>
      </c>
      <c r="O208">
        <v>3.77</v>
      </c>
    </row>
    <row r="209" spans="1:15" x14ac:dyDescent="0.3">
      <c r="A209" s="6" t="s">
        <v>465</v>
      </c>
      <c r="B209" cm="1">
        <f t="array" ref="B209:C209">_xlfn.XLOOKUP(A209,'Main Data'!A206:A1205,'Main Data'!B206:C1205,"Data Not Found",0)</f>
        <v>42</v>
      </c>
      <c r="C209" t="str">
        <v>Male</v>
      </c>
      <c r="E209" s="6" t="s">
        <v>465</v>
      </c>
      <c r="F209" cm="1">
        <f t="array" ref="F209:I209">VLOOKUP(E209,CHOOSE({1,2,3,4,5},'Main Data'!A206:A1205,'Main Data'!B206:B1205,'Main Data'!C206:C1205,'Main Data'!M206:M1205,'Main Data'!N206:N1205),{2,3,4,5},0)</f>
        <v>42</v>
      </c>
      <c r="G209" t="str">
        <v>Male</v>
      </c>
      <c r="H209" t="str">
        <v>Japan</v>
      </c>
      <c r="I209">
        <v>1.79</v>
      </c>
      <c r="L209" s="6" t="s">
        <v>465</v>
      </c>
      <c r="M209" t="str" cm="1">
        <f t="array" ref="M209:O209">INDEX('Main Data'!A206:O1205,MATCH(L209,'Main Data'!A206:A1205,0),{3,7,14})</f>
        <v>Male</v>
      </c>
      <c r="N209">
        <v>193982.72</v>
      </c>
      <c r="O209">
        <v>1.79</v>
      </c>
    </row>
    <row r="210" spans="1:15" x14ac:dyDescent="0.3">
      <c r="A210" s="6" t="s">
        <v>467</v>
      </c>
      <c r="B210" cm="1">
        <f t="array" ref="B210:C210">_xlfn.XLOOKUP(A210,'Main Data'!A207:A1206,'Main Data'!B207:C1206,"Data Not Found",0)</f>
        <v>32</v>
      </c>
      <c r="C210" t="str">
        <v>Male</v>
      </c>
      <c r="E210" s="6" t="s">
        <v>467</v>
      </c>
      <c r="F210" cm="1">
        <f t="array" ref="F210:I210">VLOOKUP(E210,CHOOSE({1,2,3,4,5},'Main Data'!A207:A1206,'Main Data'!B207:B1206,'Main Data'!C207:C1206,'Main Data'!M207:M1206,'Main Data'!N207:N1206),{2,3,4,5},0)</f>
        <v>32</v>
      </c>
      <c r="G210" t="str">
        <v>Male</v>
      </c>
      <c r="H210" t="str">
        <v>USA</v>
      </c>
      <c r="I210">
        <v>3.59</v>
      </c>
      <c r="L210" s="6" t="s">
        <v>467</v>
      </c>
      <c r="M210" t="str" cm="1">
        <f t="array" ref="M210:O210">INDEX('Main Data'!A207:O1206,MATCH(L210,'Main Data'!A207:A1206,0),{3,7,14})</f>
        <v>Male</v>
      </c>
      <c r="N210">
        <v>164553.85</v>
      </c>
      <c r="O210">
        <v>3.59</v>
      </c>
    </row>
    <row r="211" spans="1:15" x14ac:dyDescent="0.3">
      <c r="A211" s="6" t="s">
        <v>469</v>
      </c>
      <c r="B211" cm="1">
        <f t="array" ref="B211:C211">_xlfn.XLOOKUP(A211,'Main Data'!A208:A1207,'Main Data'!B208:C1207,"Data Not Found",0)</f>
        <v>59</v>
      </c>
      <c r="C211" t="str">
        <v>Female</v>
      </c>
      <c r="E211" s="6" t="s">
        <v>469</v>
      </c>
      <c r="F211" cm="1">
        <f t="array" ref="F211:I211">VLOOKUP(E211,CHOOSE({1,2,3,4,5},'Main Data'!A208:A1207,'Main Data'!B208:B1207,'Main Data'!C208:C1207,'Main Data'!M208:M1207,'Main Data'!N208:N1207),{2,3,4,5},0)</f>
        <v>59</v>
      </c>
      <c r="G211" t="str">
        <v>Female</v>
      </c>
      <c r="H211" t="str">
        <v>France</v>
      </c>
      <c r="I211">
        <v>3.97</v>
      </c>
      <c r="L211" s="6" t="s">
        <v>469</v>
      </c>
      <c r="M211" t="str" cm="1">
        <f t="array" ref="M211:O211">INDEX('Main Data'!A208:O1207,MATCH(L211,'Main Data'!A208:A1207,0),{3,7,14})</f>
        <v>Female</v>
      </c>
      <c r="N211">
        <v>192770.19</v>
      </c>
      <c r="O211">
        <v>3.97</v>
      </c>
    </row>
    <row r="212" spans="1:15" x14ac:dyDescent="0.3">
      <c r="A212" s="6" t="s">
        <v>471</v>
      </c>
      <c r="B212" cm="1">
        <f t="array" ref="B212:C212">_xlfn.XLOOKUP(A212,'Main Data'!A209:A1208,'Main Data'!B209:C1208,"Data Not Found",0)</f>
        <v>50</v>
      </c>
      <c r="C212" t="str">
        <v>Male</v>
      </c>
      <c r="E212" s="6" t="s">
        <v>471</v>
      </c>
      <c r="F212" cm="1">
        <f t="array" ref="F212:I212">VLOOKUP(E212,CHOOSE({1,2,3,4,5},'Main Data'!A209:A1208,'Main Data'!B209:B1208,'Main Data'!C209:C1208,'Main Data'!M209:M1208,'Main Data'!N209:N1208),{2,3,4,5},0)</f>
        <v>50</v>
      </c>
      <c r="G212" t="str">
        <v>Male</v>
      </c>
      <c r="H212" t="str">
        <v>UK</v>
      </c>
      <c r="I212">
        <v>2.82</v>
      </c>
      <c r="L212" s="6" t="s">
        <v>471</v>
      </c>
      <c r="M212" t="str" cm="1">
        <f t="array" ref="M212:O212">INDEX('Main Data'!A209:O1208,MATCH(L212,'Main Data'!A209:A1208,0),{3,7,14})</f>
        <v>Male</v>
      </c>
      <c r="N212">
        <v>101364.32</v>
      </c>
      <c r="O212">
        <v>2.82</v>
      </c>
    </row>
    <row r="213" spans="1:15" x14ac:dyDescent="0.3">
      <c r="A213" s="6" t="s">
        <v>473</v>
      </c>
      <c r="B213" cm="1">
        <f t="array" ref="B213:C213">_xlfn.XLOOKUP(A213,'Main Data'!A210:A1209,'Main Data'!B210:C1209,"Data Not Found",0)</f>
        <v>62</v>
      </c>
      <c r="C213" t="str">
        <v>Female</v>
      </c>
      <c r="E213" s="6" t="s">
        <v>473</v>
      </c>
      <c r="F213" cm="1">
        <f t="array" ref="F213:I213">VLOOKUP(E213,CHOOSE({1,2,3,4,5},'Main Data'!A210:A1209,'Main Data'!B210:B1209,'Main Data'!C210:C1209,'Main Data'!M210:M1209,'Main Data'!N210:N1209),{2,3,4,5},0)</f>
        <v>62</v>
      </c>
      <c r="G213" t="str">
        <v>Female</v>
      </c>
      <c r="H213" t="str">
        <v>UAE</v>
      </c>
      <c r="I213">
        <v>4.29</v>
      </c>
      <c r="L213" s="6" t="s">
        <v>473</v>
      </c>
      <c r="M213" t="str" cm="1">
        <f t="array" ref="M213:O213">INDEX('Main Data'!A210:O1209,MATCH(L213,'Main Data'!A210:A1209,0),{3,7,14})</f>
        <v>Female</v>
      </c>
      <c r="N213">
        <v>138571.32999999999</v>
      </c>
      <c r="O213">
        <v>4.29</v>
      </c>
    </row>
    <row r="214" spans="1:15" x14ac:dyDescent="0.3">
      <c r="A214" s="6" t="s">
        <v>475</v>
      </c>
      <c r="B214" cm="1">
        <f t="array" ref="B214:C214">_xlfn.XLOOKUP(A214,'Main Data'!A211:A1210,'Main Data'!B211:C1210,"Data Not Found",0)</f>
        <v>24</v>
      </c>
      <c r="C214" t="str">
        <v>Female</v>
      </c>
      <c r="E214" s="6" t="s">
        <v>475</v>
      </c>
      <c r="F214" cm="1">
        <f t="array" ref="F214:I214">VLOOKUP(E214,CHOOSE({1,2,3,4,5},'Main Data'!A211:A1210,'Main Data'!B211:B1210,'Main Data'!C211:C1210,'Main Data'!M211:M1210,'Main Data'!N211:N1210),{2,3,4,5},0)</f>
        <v>24</v>
      </c>
      <c r="G214" t="str">
        <v>Female</v>
      </c>
      <c r="H214" t="str">
        <v>Japan</v>
      </c>
      <c r="I214">
        <v>3.19</v>
      </c>
      <c r="L214" s="6" t="s">
        <v>475</v>
      </c>
      <c r="M214" t="str" cm="1">
        <f t="array" ref="M214:O214">INDEX('Main Data'!A211:O1210,MATCH(L214,'Main Data'!A211:A1210,0),{3,7,14})</f>
        <v>Female</v>
      </c>
      <c r="N214">
        <v>182403.37</v>
      </c>
      <c r="O214">
        <v>3.19</v>
      </c>
    </row>
    <row r="215" spans="1:15" x14ac:dyDescent="0.3">
      <c r="A215" s="6" t="s">
        <v>477</v>
      </c>
      <c r="B215" cm="1">
        <f t="array" ref="B215:C215">_xlfn.XLOOKUP(A215,'Main Data'!A212:A1211,'Main Data'!B212:C1211,"Data Not Found",0)</f>
        <v>49</v>
      </c>
      <c r="C215" t="str">
        <v>Other</v>
      </c>
      <c r="E215" s="6" t="s">
        <v>477</v>
      </c>
      <c r="F215" cm="1">
        <f t="array" ref="F215:I215">VLOOKUP(E215,CHOOSE({1,2,3,4,5},'Main Data'!A212:A1211,'Main Data'!B212:B1211,'Main Data'!C212:C1211,'Main Data'!M212:M1211,'Main Data'!N212:N1211),{2,3,4,5},0)</f>
        <v>49</v>
      </c>
      <c r="G215" t="str">
        <v>Other</v>
      </c>
      <c r="H215" t="str">
        <v>USA</v>
      </c>
      <c r="I215">
        <v>4.7300000000000004</v>
      </c>
      <c r="L215" s="6" t="s">
        <v>477</v>
      </c>
      <c r="M215" t="str" cm="1">
        <f t="array" ref="M215:O215">INDEX('Main Data'!A212:O1211,MATCH(L215,'Main Data'!A212:A1211,0),{3,7,14})</f>
        <v>Other</v>
      </c>
      <c r="N215">
        <v>99791.67</v>
      </c>
      <c r="O215">
        <v>4.7300000000000004</v>
      </c>
    </row>
    <row r="216" spans="1:15" x14ac:dyDescent="0.3">
      <c r="A216" s="6" t="s">
        <v>479</v>
      </c>
      <c r="B216" cm="1">
        <f t="array" ref="B216:C216">_xlfn.XLOOKUP(A216,'Main Data'!A213:A1212,'Main Data'!B213:C1212,"Data Not Found",0)</f>
        <v>41</v>
      </c>
      <c r="C216" t="str">
        <v>Female</v>
      </c>
      <c r="E216" s="6" t="s">
        <v>479</v>
      </c>
      <c r="F216" cm="1">
        <f t="array" ref="F216:I216">VLOOKUP(E216,CHOOSE({1,2,3,4,5},'Main Data'!A213:A1212,'Main Data'!B213:B1212,'Main Data'!C213:C1212,'Main Data'!M213:M1212,'Main Data'!N213:N1212),{2,3,4,5},0)</f>
        <v>41</v>
      </c>
      <c r="G216" t="str">
        <v>Female</v>
      </c>
      <c r="H216" t="str">
        <v>France</v>
      </c>
      <c r="I216">
        <v>4.38</v>
      </c>
      <c r="L216" s="6" t="s">
        <v>479</v>
      </c>
      <c r="M216" t="str" cm="1">
        <f t="array" ref="M216:O216">INDEX('Main Data'!A213:O1212,MATCH(L216,'Main Data'!A213:A1212,0),{3,7,14})</f>
        <v>Female</v>
      </c>
      <c r="N216">
        <v>76041.3</v>
      </c>
      <c r="O216">
        <v>4.38</v>
      </c>
    </row>
    <row r="217" spans="1:15" x14ac:dyDescent="0.3">
      <c r="A217" s="6" t="s">
        <v>481</v>
      </c>
      <c r="B217" cm="1">
        <f t="array" ref="B217:C217">_xlfn.XLOOKUP(A217,'Main Data'!A214:A1213,'Main Data'!B214:C1213,"Data Not Found",0)</f>
        <v>47</v>
      </c>
      <c r="C217" t="str">
        <v>Other</v>
      </c>
      <c r="E217" s="6" t="s">
        <v>481</v>
      </c>
      <c r="F217" cm="1">
        <f t="array" ref="F217:I217">VLOOKUP(E217,CHOOSE({1,2,3,4,5},'Main Data'!A214:A1213,'Main Data'!B214:B1213,'Main Data'!C214:C1213,'Main Data'!M214:M1213,'Main Data'!N214:N1213),{2,3,4,5},0)</f>
        <v>47</v>
      </c>
      <c r="G217" t="str">
        <v>Other</v>
      </c>
      <c r="H217" t="str">
        <v>UK</v>
      </c>
      <c r="I217">
        <v>3.52</v>
      </c>
      <c r="L217" s="6" t="s">
        <v>481</v>
      </c>
      <c r="M217" t="str" cm="1">
        <f t="array" ref="M217:O217">INDEX('Main Data'!A214:O1213,MATCH(L217,'Main Data'!A214:A1213,0),{3,7,14})</f>
        <v>Other</v>
      </c>
      <c r="N217">
        <v>89391.84</v>
      </c>
      <c r="O217">
        <v>3.52</v>
      </c>
    </row>
    <row r="218" spans="1:15" x14ac:dyDescent="0.3">
      <c r="A218" s="6" t="s">
        <v>483</v>
      </c>
      <c r="B218" cm="1">
        <f t="array" ref="B218:C218">_xlfn.XLOOKUP(A218,'Main Data'!A215:A1214,'Main Data'!B215:C1214,"Data Not Found",0)</f>
        <v>45</v>
      </c>
      <c r="C218" t="str">
        <v>Male</v>
      </c>
      <c r="E218" s="6" t="s">
        <v>483</v>
      </c>
      <c r="F218" cm="1">
        <f t="array" ref="F218:I218">VLOOKUP(E218,CHOOSE({1,2,3,4,5},'Main Data'!A215:A1214,'Main Data'!B215:B1214,'Main Data'!C215:C1214,'Main Data'!M215:M1214,'Main Data'!N215:N1214),{2,3,4,5},0)</f>
        <v>45</v>
      </c>
      <c r="G218" t="str">
        <v>Male</v>
      </c>
      <c r="H218" t="str">
        <v>UAE</v>
      </c>
      <c r="I218">
        <v>2.77</v>
      </c>
      <c r="L218" s="6" t="s">
        <v>483</v>
      </c>
      <c r="M218" t="str" cm="1">
        <f t="array" ref="M218:O218">INDEX('Main Data'!A215:O1214,MATCH(L218,'Main Data'!A215:A1214,0),{3,7,14})</f>
        <v>Male</v>
      </c>
      <c r="N218">
        <v>89788.08</v>
      </c>
      <c r="O218">
        <v>2.77</v>
      </c>
    </row>
    <row r="219" spans="1:15" x14ac:dyDescent="0.3">
      <c r="A219" s="6" t="s">
        <v>485</v>
      </c>
      <c r="B219" cm="1">
        <f t="array" ref="B219:C219">_xlfn.XLOOKUP(A219,'Main Data'!A216:A1215,'Main Data'!B216:C1215,"Data Not Found",0)</f>
        <v>42</v>
      </c>
      <c r="C219" t="str">
        <v>Other</v>
      </c>
      <c r="E219" s="6" t="s">
        <v>485</v>
      </c>
      <c r="F219" cm="1">
        <f t="array" ref="F219:I219">VLOOKUP(E219,CHOOSE({1,2,3,4,5},'Main Data'!A216:A1215,'Main Data'!B216:B1215,'Main Data'!C216:C1215,'Main Data'!M216:M1215,'Main Data'!N216:N1215),{2,3,4,5},0)</f>
        <v>42</v>
      </c>
      <c r="G219" t="str">
        <v>Other</v>
      </c>
      <c r="H219" t="str">
        <v>Japan</v>
      </c>
      <c r="I219">
        <v>4.08</v>
      </c>
      <c r="L219" s="6" t="s">
        <v>485</v>
      </c>
      <c r="M219" t="str" cm="1">
        <f t="array" ref="M219:O219">INDEX('Main Data'!A216:O1215,MATCH(L219,'Main Data'!A216:A1215,0),{3,7,14})</f>
        <v>Other</v>
      </c>
      <c r="N219">
        <v>184949.46</v>
      </c>
      <c r="O219">
        <v>4.08</v>
      </c>
    </row>
    <row r="220" spans="1:15" x14ac:dyDescent="0.3">
      <c r="A220" s="6" t="s">
        <v>487</v>
      </c>
      <c r="B220" cm="1">
        <f t="array" ref="B220:C220">_xlfn.XLOOKUP(A220,'Main Data'!A217:A1216,'Main Data'!B217:C1216,"Data Not Found",0)</f>
        <v>51</v>
      </c>
      <c r="C220" t="str">
        <v>Other</v>
      </c>
      <c r="E220" s="6" t="s">
        <v>487</v>
      </c>
      <c r="F220" cm="1">
        <f t="array" ref="F220:I220">VLOOKUP(E220,CHOOSE({1,2,3,4,5},'Main Data'!A217:A1216,'Main Data'!B217:B1216,'Main Data'!C217:C1216,'Main Data'!M217:M1216,'Main Data'!N217:N1216),{2,3,4,5},0)</f>
        <v>51</v>
      </c>
      <c r="G220" t="str">
        <v>Other</v>
      </c>
      <c r="H220" t="str">
        <v>USA</v>
      </c>
      <c r="I220">
        <v>2.2999999999999998</v>
      </c>
      <c r="L220" s="6" t="s">
        <v>487</v>
      </c>
      <c r="M220" t="str" cm="1">
        <f t="array" ref="M220:O220">INDEX('Main Data'!A217:O1216,MATCH(L220,'Main Data'!A217:A1216,0),{3,7,14})</f>
        <v>Other</v>
      </c>
      <c r="N220">
        <v>167271.48000000001</v>
      </c>
      <c r="O220">
        <v>2.2999999999999998</v>
      </c>
    </row>
    <row r="221" spans="1:15" x14ac:dyDescent="0.3">
      <c r="A221" s="6" t="s">
        <v>489</v>
      </c>
      <c r="B221" cm="1">
        <f t="array" ref="B221:C221">_xlfn.XLOOKUP(A221,'Main Data'!A218:A1217,'Main Data'!B218:C1217,"Data Not Found",0)</f>
        <v>25</v>
      </c>
      <c r="C221" t="str">
        <v>Other</v>
      </c>
      <c r="E221" s="6" t="s">
        <v>489</v>
      </c>
      <c r="F221" cm="1">
        <f t="array" ref="F221:I221">VLOOKUP(E221,CHOOSE({1,2,3,4,5},'Main Data'!A218:A1217,'Main Data'!B218:B1217,'Main Data'!C218:C1217,'Main Data'!M218:M1217,'Main Data'!N218:N1217),{2,3,4,5},0)</f>
        <v>25</v>
      </c>
      <c r="G221" t="str">
        <v>Other</v>
      </c>
      <c r="H221" t="str">
        <v>France</v>
      </c>
      <c r="I221">
        <v>2.0299999999999998</v>
      </c>
      <c r="L221" s="6" t="s">
        <v>489</v>
      </c>
      <c r="M221" t="str" cm="1">
        <f t="array" ref="M221:O221">INDEX('Main Data'!A218:O1217,MATCH(L221,'Main Data'!A218:A1217,0),{3,7,14})</f>
        <v>Other</v>
      </c>
      <c r="N221">
        <v>132362.87</v>
      </c>
      <c r="O221">
        <v>2.0299999999999998</v>
      </c>
    </row>
    <row r="222" spans="1:15" x14ac:dyDescent="0.3">
      <c r="A222" s="6" t="s">
        <v>491</v>
      </c>
      <c r="B222" cm="1">
        <f t="array" ref="B222:C222">_xlfn.XLOOKUP(A222,'Main Data'!A219:A1218,'Main Data'!B219:C1218,"Data Not Found",0)</f>
        <v>57</v>
      </c>
      <c r="C222" t="str">
        <v>Male</v>
      </c>
      <c r="E222" s="6" t="s">
        <v>491</v>
      </c>
      <c r="F222" cm="1">
        <f t="array" ref="F222:I222">VLOOKUP(E222,CHOOSE({1,2,3,4,5},'Main Data'!A219:A1218,'Main Data'!B219:B1218,'Main Data'!C219:C1218,'Main Data'!M219:M1218,'Main Data'!N219:N1218),{2,3,4,5},0)</f>
        <v>57</v>
      </c>
      <c r="G222" t="str">
        <v>Male</v>
      </c>
      <c r="H222" t="str">
        <v>UK</v>
      </c>
      <c r="I222">
        <v>1.5</v>
      </c>
      <c r="L222" s="6" t="s">
        <v>491</v>
      </c>
      <c r="M222" t="str" cm="1">
        <f t="array" ref="M222:O222">INDEX('Main Data'!A219:O1218,MATCH(L222,'Main Data'!A219:A1218,0),{3,7,14})</f>
        <v>Male</v>
      </c>
      <c r="N222">
        <v>131962.38</v>
      </c>
      <c r="O222">
        <v>1.5</v>
      </c>
    </row>
    <row r="223" spans="1:15" x14ac:dyDescent="0.3">
      <c r="A223" s="6" t="s">
        <v>493</v>
      </c>
      <c r="B223" cm="1">
        <f t="array" ref="B223:C223">_xlfn.XLOOKUP(A223,'Main Data'!A220:A1219,'Main Data'!B220:C1219,"Data Not Found",0)</f>
        <v>61</v>
      </c>
      <c r="C223" t="str">
        <v>Male</v>
      </c>
      <c r="E223" s="6" t="s">
        <v>493</v>
      </c>
      <c r="F223" cm="1">
        <f t="array" ref="F223:I223">VLOOKUP(E223,CHOOSE({1,2,3,4,5},'Main Data'!A220:A1219,'Main Data'!B220:B1219,'Main Data'!C220:C1219,'Main Data'!M220:M1219,'Main Data'!N220:N1219),{2,3,4,5},0)</f>
        <v>61</v>
      </c>
      <c r="G223" t="str">
        <v>Male</v>
      </c>
      <c r="H223" t="str">
        <v>UAE</v>
      </c>
      <c r="I223">
        <v>1.89</v>
      </c>
      <c r="L223" s="6" t="s">
        <v>493</v>
      </c>
      <c r="M223" t="str" cm="1">
        <f t="array" ref="M223:O223">INDEX('Main Data'!A220:O1219,MATCH(L223,'Main Data'!A220:A1219,0),{3,7,14})</f>
        <v>Male</v>
      </c>
      <c r="N223">
        <v>74255.320000000007</v>
      </c>
      <c r="O223">
        <v>1.89</v>
      </c>
    </row>
    <row r="224" spans="1:15" x14ac:dyDescent="0.3">
      <c r="A224" s="6" t="s">
        <v>495</v>
      </c>
      <c r="B224" cm="1">
        <f t="array" ref="B224:C224">_xlfn.XLOOKUP(A224,'Main Data'!A221:A1220,'Main Data'!B221:C1220,"Data Not Found",0)</f>
        <v>31</v>
      </c>
      <c r="C224" t="str">
        <v>Female</v>
      </c>
      <c r="E224" s="6" t="s">
        <v>495</v>
      </c>
      <c r="F224" cm="1">
        <f t="array" ref="F224:I224">VLOOKUP(E224,CHOOSE({1,2,3,4,5},'Main Data'!A221:A1220,'Main Data'!B221:B1220,'Main Data'!C221:C1220,'Main Data'!M221:M1220,'Main Data'!N221:N1220),{2,3,4,5},0)</f>
        <v>31</v>
      </c>
      <c r="G224" t="str">
        <v>Female</v>
      </c>
      <c r="H224" t="str">
        <v>Japan</v>
      </c>
      <c r="I224">
        <v>2.86</v>
      </c>
      <c r="L224" s="6" t="s">
        <v>495</v>
      </c>
      <c r="M224" t="str" cm="1">
        <f t="array" ref="M224:O224">INDEX('Main Data'!A221:O1220,MATCH(L224,'Main Data'!A221:A1220,0),{3,7,14})</f>
        <v>Female</v>
      </c>
      <c r="N224">
        <v>99664.94</v>
      </c>
      <c r="O224">
        <v>2.86</v>
      </c>
    </row>
    <row r="225" spans="1:15" x14ac:dyDescent="0.3">
      <c r="A225" s="6" t="s">
        <v>497</v>
      </c>
      <c r="B225" cm="1">
        <f t="array" ref="B225:C225">_xlfn.XLOOKUP(A225,'Main Data'!A222:A1221,'Main Data'!B222:C1221,"Data Not Found",0)</f>
        <v>31</v>
      </c>
      <c r="C225" t="str">
        <v>Male</v>
      </c>
      <c r="E225" s="6" t="s">
        <v>497</v>
      </c>
      <c r="F225" cm="1">
        <f t="array" ref="F225:I225">VLOOKUP(E225,CHOOSE({1,2,3,4,5},'Main Data'!A222:A1221,'Main Data'!B222:B1221,'Main Data'!C222:C1221,'Main Data'!M222:M1221,'Main Data'!N222:N1221),{2,3,4,5},0)</f>
        <v>31</v>
      </c>
      <c r="G225" t="str">
        <v>Male</v>
      </c>
      <c r="H225" t="str">
        <v>USA</v>
      </c>
      <c r="I225">
        <v>4.5599999999999996</v>
      </c>
      <c r="L225" s="6" t="s">
        <v>497</v>
      </c>
      <c r="M225" t="str" cm="1">
        <f t="array" ref="M225:O225">INDEX('Main Data'!A222:O1221,MATCH(L225,'Main Data'!A222:A1221,0),{3,7,14})</f>
        <v>Male</v>
      </c>
      <c r="N225">
        <v>81216.87</v>
      </c>
      <c r="O225">
        <v>4.5599999999999996</v>
      </c>
    </row>
    <row r="226" spans="1:15" x14ac:dyDescent="0.3">
      <c r="A226" s="6" t="s">
        <v>499</v>
      </c>
      <c r="B226" cm="1">
        <f t="array" ref="B226:C226">_xlfn.XLOOKUP(A226,'Main Data'!A223:A1222,'Main Data'!B223:C1222,"Data Not Found",0)</f>
        <v>63</v>
      </c>
      <c r="C226" t="str">
        <v>Female</v>
      </c>
      <c r="E226" s="6" t="s">
        <v>499</v>
      </c>
      <c r="F226" cm="1">
        <f t="array" ref="F226:I226">VLOOKUP(E226,CHOOSE({1,2,3,4,5},'Main Data'!A223:A1222,'Main Data'!B223:B1222,'Main Data'!C223:C1222,'Main Data'!M223:M1222,'Main Data'!N223:N1222),{2,3,4,5},0)</f>
        <v>63</v>
      </c>
      <c r="G226" t="str">
        <v>Female</v>
      </c>
      <c r="H226" t="str">
        <v>France</v>
      </c>
      <c r="I226">
        <v>2.9</v>
      </c>
      <c r="L226" s="6" t="s">
        <v>499</v>
      </c>
      <c r="M226" t="str" cm="1">
        <f t="array" ref="M226:O226">INDEX('Main Data'!A223:O1222,MATCH(L226,'Main Data'!A223:A1222,0),{3,7,14})</f>
        <v>Female</v>
      </c>
      <c r="N226">
        <v>112649.78</v>
      </c>
      <c r="O226">
        <v>2.9</v>
      </c>
    </row>
    <row r="227" spans="1:15" x14ac:dyDescent="0.3">
      <c r="A227" s="6" t="s">
        <v>501</v>
      </c>
      <c r="B227" cm="1">
        <f t="array" ref="B227:C227">_xlfn.XLOOKUP(A227,'Main Data'!A224:A1223,'Main Data'!B224:C1223,"Data Not Found",0)</f>
        <v>45</v>
      </c>
      <c r="C227" t="str">
        <v>Male</v>
      </c>
      <c r="E227" s="6" t="s">
        <v>501</v>
      </c>
      <c r="F227" cm="1">
        <f t="array" ref="F227:I227">VLOOKUP(E227,CHOOSE({1,2,3,4,5},'Main Data'!A224:A1223,'Main Data'!B224:B1223,'Main Data'!C224:C1223,'Main Data'!M224:M1223,'Main Data'!N224:N1223),{2,3,4,5},0)</f>
        <v>45</v>
      </c>
      <c r="G227" t="str">
        <v>Male</v>
      </c>
      <c r="H227" t="str">
        <v>UK</v>
      </c>
      <c r="I227">
        <v>1.82</v>
      </c>
      <c r="L227" s="6" t="s">
        <v>501</v>
      </c>
      <c r="M227" t="str" cm="1">
        <f t="array" ref="M227:O227">INDEX('Main Data'!A224:O1223,MATCH(L227,'Main Data'!A224:A1223,0),{3,7,14})</f>
        <v>Male</v>
      </c>
      <c r="N227">
        <v>135377.04999999999</v>
      </c>
      <c r="O227">
        <v>1.82</v>
      </c>
    </row>
    <row r="228" spans="1:15" x14ac:dyDescent="0.3">
      <c r="A228" s="6" t="s">
        <v>503</v>
      </c>
      <c r="B228" cm="1">
        <f t="array" ref="B228:C228">_xlfn.XLOOKUP(A228,'Main Data'!A225:A1224,'Main Data'!B225:C1224,"Data Not Found",0)</f>
        <v>25</v>
      </c>
      <c r="C228" t="str">
        <v>Other</v>
      </c>
      <c r="E228" s="6" t="s">
        <v>503</v>
      </c>
      <c r="F228" cm="1">
        <f t="array" ref="F228:I228">VLOOKUP(E228,CHOOSE({1,2,3,4,5},'Main Data'!A225:A1224,'Main Data'!B225:B1224,'Main Data'!C225:C1224,'Main Data'!M225:M1224,'Main Data'!N225:N1224),{2,3,4,5},0)</f>
        <v>25</v>
      </c>
      <c r="G228" t="str">
        <v>Other</v>
      </c>
      <c r="H228" t="str">
        <v>UAE</v>
      </c>
      <c r="I228">
        <v>2.17</v>
      </c>
      <c r="L228" s="6" t="s">
        <v>503</v>
      </c>
      <c r="M228" t="str" cm="1">
        <f t="array" ref="M228:O228">INDEX('Main Data'!A225:O1224,MATCH(L228,'Main Data'!A225:A1224,0),{3,7,14})</f>
        <v>Other</v>
      </c>
      <c r="N228">
        <v>75203.62</v>
      </c>
      <c r="O228">
        <v>2.17</v>
      </c>
    </row>
    <row r="229" spans="1:15" x14ac:dyDescent="0.3">
      <c r="A229" s="6" t="s">
        <v>505</v>
      </c>
      <c r="B229" cm="1">
        <f t="array" ref="B229:C229">_xlfn.XLOOKUP(A229,'Main Data'!A226:A1225,'Main Data'!B226:C1225,"Data Not Found",0)</f>
        <v>48</v>
      </c>
      <c r="C229" t="str">
        <v>Female</v>
      </c>
      <c r="E229" s="6" t="s">
        <v>505</v>
      </c>
      <c r="F229" cm="1">
        <f t="array" ref="F229:I229">VLOOKUP(E229,CHOOSE({1,2,3,4,5},'Main Data'!A226:A1225,'Main Data'!B226:B1225,'Main Data'!C226:C1225,'Main Data'!M226:M1225,'Main Data'!N226:N1225),{2,3,4,5},0)</f>
        <v>48</v>
      </c>
      <c r="G229" t="str">
        <v>Female</v>
      </c>
      <c r="H229" t="str">
        <v>Japan</v>
      </c>
      <c r="I229">
        <v>4.18</v>
      </c>
      <c r="L229" s="6" t="s">
        <v>505</v>
      </c>
      <c r="M229" t="str" cm="1">
        <f t="array" ref="M229:O229">INDEX('Main Data'!A226:O1225,MATCH(L229,'Main Data'!A226:A1225,0),{3,7,14})</f>
        <v>Female</v>
      </c>
      <c r="N229">
        <v>172822.37</v>
      </c>
      <c r="O229">
        <v>4.18</v>
      </c>
    </row>
    <row r="230" spans="1:15" x14ac:dyDescent="0.3">
      <c r="A230" s="6" t="s">
        <v>507</v>
      </c>
      <c r="B230" cm="1">
        <f t="array" ref="B230:C230">_xlfn.XLOOKUP(A230,'Main Data'!A227:A1226,'Main Data'!B227:C1226,"Data Not Found",0)</f>
        <v>25</v>
      </c>
      <c r="C230" t="str">
        <v>Male</v>
      </c>
      <c r="E230" s="6" t="s">
        <v>507</v>
      </c>
      <c r="F230" cm="1">
        <f t="array" ref="F230:I230">VLOOKUP(E230,CHOOSE({1,2,3,4,5},'Main Data'!A227:A1226,'Main Data'!B227:B1226,'Main Data'!C227:C1226,'Main Data'!M227:M1226,'Main Data'!N227:N1226),{2,3,4,5},0)</f>
        <v>25</v>
      </c>
      <c r="G230" t="str">
        <v>Male</v>
      </c>
      <c r="H230" t="str">
        <v>USA</v>
      </c>
      <c r="I230">
        <v>3.99</v>
      </c>
      <c r="L230" s="6" t="s">
        <v>507</v>
      </c>
      <c r="M230" t="str" cm="1">
        <f t="array" ref="M230:O230">INDEX('Main Data'!A227:O1226,MATCH(L230,'Main Data'!A227:A1226,0),{3,7,14})</f>
        <v>Male</v>
      </c>
      <c r="N230">
        <v>121301.24</v>
      </c>
      <c r="O230">
        <v>3.99</v>
      </c>
    </row>
    <row r="231" spans="1:15" x14ac:dyDescent="0.3">
      <c r="A231" s="6" t="s">
        <v>509</v>
      </c>
      <c r="B231" cm="1">
        <f t="array" ref="B231:C231">_xlfn.XLOOKUP(A231,'Main Data'!A228:A1227,'Main Data'!B228:C1227,"Data Not Found",0)</f>
        <v>53</v>
      </c>
      <c r="C231" t="str">
        <v>Male</v>
      </c>
      <c r="E231" s="6" t="s">
        <v>509</v>
      </c>
      <c r="F231" cm="1">
        <f t="array" ref="F231:I231">VLOOKUP(E231,CHOOSE({1,2,3,4,5},'Main Data'!A228:A1227,'Main Data'!B228:B1227,'Main Data'!C228:C1227,'Main Data'!M228:M1227,'Main Data'!N228:N1227),{2,3,4,5},0)</f>
        <v>53</v>
      </c>
      <c r="G231" t="str">
        <v>Male</v>
      </c>
      <c r="H231" t="str">
        <v>France</v>
      </c>
      <c r="I231">
        <v>4.8</v>
      </c>
      <c r="L231" s="6" t="s">
        <v>509</v>
      </c>
      <c r="M231" t="str" cm="1">
        <f t="array" ref="M231:O231">INDEX('Main Data'!A228:O1227,MATCH(L231,'Main Data'!A228:A1227,0),{3,7,14})</f>
        <v>Male</v>
      </c>
      <c r="N231">
        <v>81721.25</v>
      </c>
      <c r="O231">
        <v>4.8</v>
      </c>
    </row>
    <row r="232" spans="1:15" x14ac:dyDescent="0.3">
      <c r="A232" s="6" t="s">
        <v>511</v>
      </c>
      <c r="B232" cm="1">
        <f t="array" ref="B232:C232">_xlfn.XLOOKUP(A232,'Main Data'!A229:A1228,'Main Data'!B229:C1228,"Data Not Found",0)</f>
        <v>31</v>
      </c>
      <c r="C232" t="str">
        <v>Male</v>
      </c>
      <c r="E232" s="6" t="s">
        <v>511</v>
      </c>
      <c r="F232" cm="1">
        <f t="array" ref="F232:I232">VLOOKUP(E232,CHOOSE({1,2,3,4,5},'Main Data'!A229:A1228,'Main Data'!B229:B1228,'Main Data'!C229:C1228,'Main Data'!M229:M1228,'Main Data'!N229:N1228),{2,3,4,5},0)</f>
        <v>31</v>
      </c>
      <c r="G232" t="str">
        <v>Male</v>
      </c>
      <c r="H232" t="str">
        <v>UK</v>
      </c>
      <c r="I232">
        <v>1.03</v>
      </c>
      <c r="L232" s="6" t="s">
        <v>511</v>
      </c>
      <c r="M232" t="str" cm="1">
        <f t="array" ref="M232:O232">INDEX('Main Data'!A229:O1228,MATCH(L232,'Main Data'!A229:A1228,0),{3,7,14})</f>
        <v>Male</v>
      </c>
      <c r="N232">
        <v>143421.70000000001</v>
      </c>
      <c r="O232">
        <v>1.03</v>
      </c>
    </row>
    <row r="233" spans="1:15" x14ac:dyDescent="0.3">
      <c r="A233" s="6" t="s">
        <v>513</v>
      </c>
      <c r="B233" cm="1">
        <f t="array" ref="B233:C233">_xlfn.XLOOKUP(A233,'Main Data'!A230:A1229,'Main Data'!B230:C1229,"Data Not Found",0)</f>
        <v>32</v>
      </c>
      <c r="C233" t="str">
        <v>Other</v>
      </c>
      <c r="E233" s="6" t="s">
        <v>513</v>
      </c>
      <c r="F233" cm="1">
        <f t="array" ref="F233:I233">VLOOKUP(E233,CHOOSE({1,2,3,4,5},'Main Data'!A230:A1229,'Main Data'!B230:B1229,'Main Data'!C230:C1229,'Main Data'!M230:M1229,'Main Data'!N230:N1229),{2,3,4,5},0)</f>
        <v>32</v>
      </c>
      <c r="G233" t="str">
        <v>Other</v>
      </c>
      <c r="H233" t="str">
        <v>UAE</v>
      </c>
      <c r="I233">
        <v>1.78</v>
      </c>
      <c r="L233" s="6" t="s">
        <v>513</v>
      </c>
      <c r="M233" t="str" cm="1">
        <f t="array" ref="M233:O233">INDEX('Main Data'!A230:O1229,MATCH(L233,'Main Data'!A230:A1229,0),{3,7,14})</f>
        <v>Other</v>
      </c>
      <c r="N233">
        <v>54925.41</v>
      </c>
      <c r="O233">
        <v>1.78</v>
      </c>
    </row>
    <row r="234" spans="1:15" x14ac:dyDescent="0.3">
      <c r="A234" s="6" t="s">
        <v>515</v>
      </c>
      <c r="B234" cm="1">
        <f t="array" ref="B234:C234">_xlfn.XLOOKUP(A234,'Main Data'!A231:A1230,'Main Data'!B231:C1230,"Data Not Found",0)</f>
        <v>49</v>
      </c>
      <c r="C234" t="str">
        <v>Female</v>
      </c>
      <c r="E234" s="6" t="s">
        <v>515</v>
      </c>
      <c r="F234" cm="1">
        <f t="array" ref="F234:I234">VLOOKUP(E234,CHOOSE({1,2,3,4,5},'Main Data'!A231:A1230,'Main Data'!B231:B1230,'Main Data'!C231:C1230,'Main Data'!M231:M1230,'Main Data'!N231:N1230),{2,3,4,5},0)</f>
        <v>49</v>
      </c>
      <c r="G234" t="str">
        <v>Female</v>
      </c>
      <c r="H234" t="str">
        <v>Japan</v>
      </c>
      <c r="I234">
        <v>4.45</v>
      </c>
      <c r="L234" s="6" t="s">
        <v>515</v>
      </c>
      <c r="M234" t="str" cm="1">
        <f t="array" ref="M234:O234">INDEX('Main Data'!A231:O1230,MATCH(L234,'Main Data'!A231:A1230,0),{3,7,14})</f>
        <v>Female</v>
      </c>
      <c r="N234">
        <v>118633.76</v>
      </c>
      <c r="O234">
        <v>4.45</v>
      </c>
    </row>
    <row r="235" spans="1:15" x14ac:dyDescent="0.3">
      <c r="A235" s="6" t="s">
        <v>517</v>
      </c>
      <c r="B235" cm="1">
        <f t="array" ref="B235:C235">_xlfn.XLOOKUP(A235,'Main Data'!A232:A1231,'Main Data'!B232:C1231,"Data Not Found",0)</f>
        <v>29</v>
      </c>
      <c r="C235" t="str">
        <v>Female</v>
      </c>
      <c r="E235" s="6" t="s">
        <v>517</v>
      </c>
      <c r="F235" cm="1">
        <f t="array" ref="F235:I235">VLOOKUP(E235,CHOOSE({1,2,3,4,5},'Main Data'!A232:A1231,'Main Data'!B232:B1231,'Main Data'!C232:C1231,'Main Data'!M232:M1231,'Main Data'!N232:N1231),{2,3,4,5},0)</f>
        <v>29</v>
      </c>
      <c r="G235" t="str">
        <v>Female</v>
      </c>
      <c r="H235" t="str">
        <v>USA</v>
      </c>
      <c r="I235">
        <v>4.2699999999999996</v>
      </c>
      <c r="L235" s="6" t="s">
        <v>517</v>
      </c>
      <c r="M235" t="str" cm="1">
        <f t="array" ref="M235:O235">INDEX('Main Data'!A232:O1231,MATCH(L235,'Main Data'!A232:A1231,0),{3,7,14})</f>
        <v>Female</v>
      </c>
      <c r="N235">
        <v>59600.23</v>
      </c>
      <c r="O235">
        <v>4.2699999999999996</v>
      </c>
    </row>
    <row r="236" spans="1:15" x14ac:dyDescent="0.3">
      <c r="A236" s="6" t="s">
        <v>519</v>
      </c>
      <c r="B236" cm="1">
        <f t="array" ref="B236:C236">_xlfn.XLOOKUP(A236,'Main Data'!A233:A1232,'Main Data'!B233:C1232,"Data Not Found",0)</f>
        <v>61</v>
      </c>
      <c r="C236" t="str">
        <v>Female</v>
      </c>
      <c r="E236" s="6" t="s">
        <v>519</v>
      </c>
      <c r="F236" cm="1">
        <f t="array" ref="F236:I236">VLOOKUP(E236,CHOOSE({1,2,3,4,5},'Main Data'!A233:A1232,'Main Data'!B233:B1232,'Main Data'!C233:C1232,'Main Data'!M233:M1232,'Main Data'!N233:N1232),{2,3,4,5},0)</f>
        <v>61</v>
      </c>
      <c r="G236" t="str">
        <v>Female</v>
      </c>
      <c r="H236" t="str">
        <v>France</v>
      </c>
      <c r="I236">
        <v>1.71</v>
      </c>
      <c r="L236" s="6" t="s">
        <v>519</v>
      </c>
      <c r="M236" t="str" cm="1">
        <f t="array" ref="M236:O236">INDEX('Main Data'!A233:O1232,MATCH(L236,'Main Data'!A233:A1232,0),{3,7,14})</f>
        <v>Female</v>
      </c>
      <c r="N236">
        <v>155324.64000000001</v>
      </c>
      <c r="O236">
        <v>1.71</v>
      </c>
    </row>
    <row r="237" spans="1:15" x14ac:dyDescent="0.3">
      <c r="A237" s="6" t="s">
        <v>521</v>
      </c>
      <c r="B237" cm="1">
        <f t="array" ref="B237:C237">_xlfn.XLOOKUP(A237,'Main Data'!A234:A1233,'Main Data'!B234:C1233,"Data Not Found",0)</f>
        <v>43</v>
      </c>
      <c r="C237" t="str">
        <v>Male</v>
      </c>
      <c r="E237" s="6" t="s">
        <v>521</v>
      </c>
      <c r="F237" cm="1">
        <f t="array" ref="F237:I237">VLOOKUP(E237,CHOOSE({1,2,3,4,5},'Main Data'!A234:A1233,'Main Data'!B234:B1233,'Main Data'!C234:C1233,'Main Data'!M234:M1233,'Main Data'!N234:N1233),{2,3,4,5},0)</f>
        <v>43</v>
      </c>
      <c r="G237" t="str">
        <v>Male</v>
      </c>
      <c r="H237" t="str">
        <v>UK</v>
      </c>
      <c r="I237">
        <v>4.53</v>
      </c>
      <c r="L237" s="6" t="s">
        <v>521</v>
      </c>
      <c r="M237" t="str" cm="1">
        <f t="array" ref="M237:O237">INDEX('Main Data'!A234:O1233,MATCH(L237,'Main Data'!A234:A1233,0),{3,7,14})</f>
        <v>Male</v>
      </c>
      <c r="N237">
        <v>130433.43</v>
      </c>
      <c r="O237">
        <v>4.53</v>
      </c>
    </row>
    <row r="238" spans="1:15" x14ac:dyDescent="0.3">
      <c r="A238" s="6" t="s">
        <v>523</v>
      </c>
      <c r="B238" cm="1">
        <f t="array" ref="B238:C238">_xlfn.XLOOKUP(A238,'Main Data'!A235:A1234,'Main Data'!B235:C1234,"Data Not Found",0)</f>
        <v>55</v>
      </c>
      <c r="C238" t="str">
        <v>Female</v>
      </c>
      <c r="E238" s="6" t="s">
        <v>523</v>
      </c>
      <c r="F238" cm="1">
        <f t="array" ref="F238:I238">VLOOKUP(E238,CHOOSE({1,2,3,4,5},'Main Data'!A235:A1234,'Main Data'!B235:B1234,'Main Data'!C235:C1234,'Main Data'!M235:M1234,'Main Data'!N235:N1234),{2,3,4,5},0)</f>
        <v>55</v>
      </c>
      <c r="G238" t="str">
        <v>Female</v>
      </c>
      <c r="H238" t="str">
        <v>UAE</v>
      </c>
      <c r="I238">
        <v>1.93</v>
      </c>
      <c r="L238" s="6" t="s">
        <v>523</v>
      </c>
      <c r="M238" t="str" cm="1">
        <f t="array" ref="M238:O238">INDEX('Main Data'!A235:O1234,MATCH(L238,'Main Data'!A235:A1234,0),{3,7,14})</f>
        <v>Female</v>
      </c>
      <c r="N238">
        <v>142181</v>
      </c>
      <c r="O238">
        <v>1.93</v>
      </c>
    </row>
    <row r="239" spans="1:15" x14ac:dyDescent="0.3">
      <c r="A239" s="6" t="s">
        <v>525</v>
      </c>
      <c r="B239" cm="1">
        <f t="array" ref="B239:C239">_xlfn.XLOOKUP(A239,'Main Data'!A236:A1235,'Main Data'!B236:C1235,"Data Not Found",0)</f>
        <v>56</v>
      </c>
      <c r="C239" t="str">
        <v>Female</v>
      </c>
      <c r="E239" s="6" t="s">
        <v>525</v>
      </c>
      <c r="F239" cm="1">
        <f t="array" ref="F239:I239">VLOOKUP(E239,CHOOSE({1,2,3,4,5},'Main Data'!A236:A1235,'Main Data'!B236:B1235,'Main Data'!C236:C1235,'Main Data'!M236:M1235,'Main Data'!N236:N1235),{2,3,4,5},0)</f>
        <v>56</v>
      </c>
      <c r="G239" t="str">
        <v>Female</v>
      </c>
      <c r="H239" t="str">
        <v>Japan</v>
      </c>
      <c r="I239">
        <v>1.31</v>
      </c>
      <c r="L239" s="6" t="s">
        <v>525</v>
      </c>
      <c r="M239" t="str" cm="1">
        <f t="array" ref="M239:O239">INDEX('Main Data'!A236:O1235,MATCH(L239,'Main Data'!A236:A1235,0),{3,7,14})</f>
        <v>Female</v>
      </c>
      <c r="N239">
        <v>62515.58</v>
      </c>
      <c r="O239">
        <v>1.31</v>
      </c>
    </row>
    <row r="240" spans="1:15" x14ac:dyDescent="0.3">
      <c r="A240" s="6" t="s">
        <v>527</v>
      </c>
      <c r="B240" cm="1">
        <f t="array" ref="B240:C240">_xlfn.XLOOKUP(A240,'Main Data'!A237:A1236,'Main Data'!B237:C1236,"Data Not Found",0)</f>
        <v>56</v>
      </c>
      <c r="C240" t="str">
        <v>Male</v>
      </c>
      <c r="E240" s="6" t="s">
        <v>527</v>
      </c>
      <c r="F240" cm="1">
        <f t="array" ref="F240:I240">VLOOKUP(E240,CHOOSE({1,2,3,4,5},'Main Data'!A237:A1236,'Main Data'!B237:B1236,'Main Data'!C237:C1236,'Main Data'!M237:M1236,'Main Data'!N237:N1236),{2,3,4,5},0)</f>
        <v>56</v>
      </c>
      <c r="G240" t="str">
        <v>Male</v>
      </c>
      <c r="H240" t="str">
        <v>USA</v>
      </c>
      <c r="I240">
        <v>3.89</v>
      </c>
      <c r="L240" s="6" t="s">
        <v>527</v>
      </c>
      <c r="M240" t="str" cm="1">
        <f t="array" ref="M240:O240">INDEX('Main Data'!A237:O1236,MATCH(L240,'Main Data'!A237:A1236,0),{3,7,14})</f>
        <v>Male</v>
      </c>
      <c r="N240">
        <v>83871.509999999995</v>
      </c>
      <c r="O240">
        <v>3.89</v>
      </c>
    </row>
    <row r="241" spans="1:15" x14ac:dyDescent="0.3">
      <c r="A241" s="6" t="s">
        <v>529</v>
      </c>
      <c r="B241" cm="1">
        <f t="array" ref="B241:C241">_xlfn.XLOOKUP(A241,'Main Data'!A238:A1237,'Main Data'!B238:C1237,"Data Not Found",0)</f>
        <v>46</v>
      </c>
      <c r="C241" t="str">
        <v>Male</v>
      </c>
      <c r="E241" s="6" t="s">
        <v>529</v>
      </c>
      <c r="F241" cm="1">
        <f t="array" ref="F241:I241">VLOOKUP(E241,CHOOSE({1,2,3,4,5},'Main Data'!A238:A1237,'Main Data'!B238:B1237,'Main Data'!C238:C1237,'Main Data'!M238:M1237,'Main Data'!N238:N1237),{2,3,4,5},0)</f>
        <v>46</v>
      </c>
      <c r="G241" t="str">
        <v>Male</v>
      </c>
      <c r="H241" t="str">
        <v>France</v>
      </c>
      <c r="I241">
        <v>1.21</v>
      </c>
      <c r="L241" s="6" t="s">
        <v>529</v>
      </c>
      <c r="M241" t="str" cm="1">
        <f t="array" ref="M241:O241">INDEX('Main Data'!A238:O1237,MATCH(L241,'Main Data'!A238:A1237,0),{3,7,14})</f>
        <v>Male</v>
      </c>
      <c r="N241">
        <v>112677.21</v>
      </c>
      <c r="O241">
        <v>1.21</v>
      </c>
    </row>
    <row r="242" spans="1:15" x14ac:dyDescent="0.3">
      <c r="A242" s="6" t="s">
        <v>531</v>
      </c>
      <c r="B242" cm="1">
        <f t="array" ref="B242:C242">_xlfn.XLOOKUP(A242,'Main Data'!A239:A1238,'Main Data'!B239:C1238,"Data Not Found",0)</f>
        <v>55</v>
      </c>
      <c r="C242" t="str">
        <v>Male</v>
      </c>
      <c r="E242" s="6" t="s">
        <v>531</v>
      </c>
      <c r="F242" cm="1">
        <f t="array" ref="F242:I242">VLOOKUP(E242,CHOOSE({1,2,3,4,5},'Main Data'!A239:A1238,'Main Data'!B239:B1238,'Main Data'!C239:C1238,'Main Data'!M239:M1238,'Main Data'!N239:N1238),{2,3,4,5},0)</f>
        <v>55</v>
      </c>
      <c r="G242" t="str">
        <v>Male</v>
      </c>
      <c r="H242" t="str">
        <v>UK</v>
      </c>
      <c r="I242">
        <v>4.43</v>
      </c>
      <c r="L242" s="6" t="s">
        <v>531</v>
      </c>
      <c r="M242" t="str" cm="1">
        <f t="array" ref="M242:O242">INDEX('Main Data'!A239:O1238,MATCH(L242,'Main Data'!A239:A1238,0),{3,7,14})</f>
        <v>Male</v>
      </c>
      <c r="N242">
        <v>175174.77</v>
      </c>
      <c r="O242">
        <v>4.43</v>
      </c>
    </row>
    <row r="243" spans="1:15" x14ac:dyDescent="0.3">
      <c r="A243" s="6" t="s">
        <v>533</v>
      </c>
      <c r="B243" cm="1">
        <f t="array" ref="B243:C243">_xlfn.XLOOKUP(A243,'Main Data'!A240:A1239,'Main Data'!B240:C1239,"Data Not Found",0)</f>
        <v>27</v>
      </c>
      <c r="C243" t="str">
        <v>Male</v>
      </c>
      <c r="E243" s="6" t="s">
        <v>533</v>
      </c>
      <c r="F243" cm="1">
        <f t="array" ref="F243:I243">VLOOKUP(E243,CHOOSE({1,2,3,4,5},'Main Data'!A240:A1239,'Main Data'!B240:B1239,'Main Data'!C240:C1239,'Main Data'!M240:M1239,'Main Data'!N240:N1239),{2,3,4,5},0)</f>
        <v>27</v>
      </c>
      <c r="G243" t="str">
        <v>Male</v>
      </c>
      <c r="H243" t="str">
        <v>UAE</v>
      </c>
      <c r="I243">
        <v>4.13</v>
      </c>
      <c r="L243" s="6" t="s">
        <v>533</v>
      </c>
      <c r="M243" t="str" cm="1">
        <f t="array" ref="M243:O243">INDEX('Main Data'!A240:O1239,MATCH(L243,'Main Data'!A240:A1239,0),{3,7,14})</f>
        <v>Male</v>
      </c>
      <c r="N243">
        <v>128635.02</v>
      </c>
      <c r="O243">
        <v>4.13</v>
      </c>
    </row>
    <row r="244" spans="1:15" x14ac:dyDescent="0.3">
      <c r="A244" s="6" t="s">
        <v>535</v>
      </c>
      <c r="B244" cm="1">
        <f t="array" ref="B244:C244">_xlfn.XLOOKUP(A244,'Main Data'!A241:A1240,'Main Data'!B241:C1240,"Data Not Found",0)</f>
        <v>62</v>
      </c>
      <c r="C244" t="str">
        <v>Other</v>
      </c>
      <c r="E244" s="6" t="s">
        <v>535</v>
      </c>
      <c r="F244" cm="1">
        <f t="array" ref="F244:I244">VLOOKUP(E244,CHOOSE({1,2,3,4,5},'Main Data'!A241:A1240,'Main Data'!B241:B1240,'Main Data'!C241:C1240,'Main Data'!M241:M1240,'Main Data'!N241:N1240),{2,3,4,5},0)</f>
        <v>62</v>
      </c>
      <c r="G244" t="str">
        <v>Other</v>
      </c>
      <c r="H244" t="str">
        <v>Japan</v>
      </c>
      <c r="I244">
        <v>1.1399999999999999</v>
      </c>
      <c r="L244" s="6" t="s">
        <v>535</v>
      </c>
      <c r="M244" t="str" cm="1">
        <f t="array" ref="M244:O244">INDEX('Main Data'!A241:O1240,MATCH(L244,'Main Data'!A241:A1240,0),{3,7,14})</f>
        <v>Other</v>
      </c>
      <c r="N244">
        <v>113961.94</v>
      </c>
      <c r="O244">
        <v>1.1399999999999999</v>
      </c>
    </row>
    <row r="245" spans="1:15" x14ac:dyDescent="0.3">
      <c r="A245" s="6" t="s">
        <v>537</v>
      </c>
      <c r="B245" cm="1">
        <f t="array" ref="B245:C245">_xlfn.XLOOKUP(A245,'Main Data'!A242:A1241,'Main Data'!B242:C1241,"Data Not Found",0)</f>
        <v>58</v>
      </c>
      <c r="C245" t="str">
        <v>Other</v>
      </c>
      <c r="E245" s="6" t="s">
        <v>537</v>
      </c>
      <c r="F245" cm="1">
        <f t="array" ref="F245:I245">VLOOKUP(E245,CHOOSE({1,2,3,4,5},'Main Data'!A242:A1241,'Main Data'!B242:B1241,'Main Data'!C242:C1241,'Main Data'!M242:M1241,'Main Data'!N242:N1241),{2,3,4,5},0)</f>
        <v>58</v>
      </c>
      <c r="G245" t="str">
        <v>Other</v>
      </c>
      <c r="H245" t="str">
        <v>USA</v>
      </c>
      <c r="I245">
        <v>4.95</v>
      </c>
      <c r="L245" s="6" t="s">
        <v>537</v>
      </c>
      <c r="M245" t="str" cm="1">
        <f t="array" ref="M245:O245">INDEX('Main Data'!A242:O1241,MATCH(L245,'Main Data'!A242:A1241,0),{3,7,14})</f>
        <v>Other</v>
      </c>
      <c r="N245">
        <v>100375.51</v>
      </c>
      <c r="O245">
        <v>4.95</v>
      </c>
    </row>
    <row r="246" spans="1:15" x14ac:dyDescent="0.3">
      <c r="A246" s="6" t="s">
        <v>539</v>
      </c>
      <c r="B246" cm="1">
        <f t="array" ref="B246:C246">_xlfn.XLOOKUP(A246,'Main Data'!A243:A1242,'Main Data'!B243:C1242,"Data Not Found",0)</f>
        <v>22</v>
      </c>
      <c r="C246" t="str">
        <v>Female</v>
      </c>
      <c r="E246" s="6" t="s">
        <v>539</v>
      </c>
      <c r="F246" cm="1">
        <f t="array" ref="F246:I246">VLOOKUP(E246,CHOOSE({1,2,3,4,5},'Main Data'!A243:A1242,'Main Data'!B243:B1242,'Main Data'!C243:C1242,'Main Data'!M243:M1242,'Main Data'!N243:N1242),{2,3,4,5},0)</f>
        <v>22</v>
      </c>
      <c r="G246" t="str">
        <v>Female</v>
      </c>
      <c r="H246" t="str">
        <v>France</v>
      </c>
      <c r="I246">
        <v>3.25</v>
      </c>
      <c r="L246" s="6" t="s">
        <v>539</v>
      </c>
      <c r="M246" t="str" cm="1">
        <f t="array" ref="M246:O246">INDEX('Main Data'!A243:O1242,MATCH(L246,'Main Data'!A243:A1242,0),{3,7,14})</f>
        <v>Female</v>
      </c>
      <c r="N246">
        <v>84741.68</v>
      </c>
      <c r="O246">
        <v>3.25</v>
      </c>
    </row>
    <row r="247" spans="1:15" x14ac:dyDescent="0.3">
      <c r="A247" s="6" t="s">
        <v>541</v>
      </c>
      <c r="B247" cm="1">
        <f t="array" ref="B247:C247">_xlfn.XLOOKUP(A247,'Main Data'!A244:A1243,'Main Data'!B244:C1243,"Data Not Found",0)</f>
        <v>33</v>
      </c>
      <c r="C247" t="str">
        <v>Other</v>
      </c>
      <c r="E247" s="6" t="s">
        <v>541</v>
      </c>
      <c r="F247" cm="1">
        <f t="array" ref="F247:I247">VLOOKUP(E247,CHOOSE({1,2,3,4,5},'Main Data'!A244:A1243,'Main Data'!B244:B1243,'Main Data'!C244:C1243,'Main Data'!M244:M1243,'Main Data'!N244:N1243),{2,3,4,5},0)</f>
        <v>33</v>
      </c>
      <c r="G247" t="str">
        <v>Other</v>
      </c>
      <c r="H247" t="str">
        <v>UK</v>
      </c>
      <c r="I247">
        <v>1.29</v>
      </c>
      <c r="L247" s="6" t="s">
        <v>541</v>
      </c>
      <c r="M247" t="str" cm="1">
        <f t="array" ref="M247:O247">INDEX('Main Data'!A244:O1243,MATCH(L247,'Main Data'!A244:A1243,0),{3,7,14})</f>
        <v>Other</v>
      </c>
      <c r="N247">
        <v>57050.02</v>
      </c>
      <c r="O247">
        <v>1.29</v>
      </c>
    </row>
    <row r="248" spans="1:15" x14ac:dyDescent="0.3">
      <c r="A248" s="6" t="s">
        <v>543</v>
      </c>
      <c r="B248" cm="1">
        <f t="array" ref="B248:C248">_xlfn.XLOOKUP(A248,'Main Data'!A245:A1244,'Main Data'!B245:C1244,"Data Not Found",0)</f>
        <v>56</v>
      </c>
      <c r="C248" t="str">
        <v>Male</v>
      </c>
      <c r="E248" s="6" t="s">
        <v>543</v>
      </c>
      <c r="F248" cm="1">
        <f t="array" ref="F248:I248">VLOOKUP(E248,CHOOSE({1,2,3,4,5},'Main Data'!A245:A1244,'Main Data'!B245:B1244,'Main Data'!C245:C1244,'Main Data'!M245:M1244,'Main Data'!N245:N1244),{2,3,4,5},0)</f>
        <v>56</v>
      </c>
      <c r="G248" t="str">
        <v>Male</v>
      </c>
      <c r="H248" t="str">
        <v>UAE</v>
      </c>
      <c r="I248">
        <v>4.91</v>
      </c>
      <c r="L248" s="6" t="s">
        <v>543</v>
      </c>
      <c r="M248" t="str" cm="1">
        <f t="array" ref="M248:O248">INDEX('Main Data'!A245:O1244,MATCH(L248,'Main Data'!A245:A1244,0),{3,7,14})</f>
        <v>Male</v>
      </c>
      <c r="N248">
        <v>85831.32</v>
      </c>
      <c r="O248">
        <v>4.91</v>
      </c>
    </row>
    <row r="249" spans="1:15" x14ac:dyDescent="0.3">
      <c r="A249" s="6" t="s">
        <v>545</v>
      </c>
      <c r="B249" cm="1">
        <f t="array" ref="B249:C249">_xlfn.XLOOKUP(A249,'Main Data'!A246:A1245,'Main Data'!B246:C1245,"Data Not Found",0)</f>
        <v>27</v>
      </c>
      <c r="C249" t="str">
        <v>Other</v>
      </c>
      <c r="E249" s="6" t="s">
        <v>545</v>
      </c>
      <c r="F249" cm="1">
        <f t="array" ref="F249:I249">VLOOKUP(E249,CHOOSE({1,2,3,4,5},'Main Data'!A246:A1245,'Main Data'!B246:B1245,'Main Data'!C246:C1245,'Main Data'!M246:M1245,'Main Data'!N246:N1245),{2,3,4,5},0)</f>
        <v>27</v>
      </c>
      <c r="G249" t="str">
        <v>Other</v>
      </c>
      <c r="H249" t="str">
        <v>Japan</v>
      </c>
      <c r="I249">
        <v>4.5199999999999996</v>
      </c>
      <c r="L249" s="6" t="s">
        <v>545</v>
      </c>
      <c r="M249" t="str" cm="1">
        <f t="array" ref="M249:O249">INDEX('Main Data'!A246:O1245,MATCH(L249,'Main Data'!A246:A1245,0),{3,7,14})</f>
        <v>Other</v>
      </c>
      <c r="N249">
        <v>92977.95</v>
      </c>
      <c r="O249">
        <v>4.5199999999999996</v>
      </c>
    </row>
    <row r="250" spans="1:15" x14ac:dyDescent="0.3">
      <c r="A250" s="6" t="s">
        <v>547</v>
      </c>
      <c r="B250" cm="1">
        <f t="array" ref="B250:C250">_xlfn.XLOOKUP(A250,'Main Data'!A247:A1246,'Main Data'!B247:C1246,"Data Not Found",0)</f>
        <v>38</v>
      </c>
      <c r="C250" t="str">
        <v>Male</v>
      </c>
      <c r="E250" s="6" t="s">
        <v>547</v>
      </c>
      <c r="F250" cm="1">
        <f t="array" ref="F250:I250">VLOOKUP(E250,CHOOSE({1,2,3,4,5},'Main Data'!A247:A1246,'Main Data'!B247:B1246,'Main Data'!C247:C1246,'Main Data'!M247:M1246,'Main Data'!N247:N1246),{2,3,4,5},0)</f>
        <v>38</v>
      </c>
      <c r="G250" t="str">
        <v>Male</v>
      </c>
      <c r="H250" t="str">
        <v>USA</v>
      </c>
      <c r="I250">
        <v>4.92</v>
      </c>
      <c r="L250" s="6" t="s">
        <v>547</v>
      </c>
      <c r="M250" t="str" cm="1">
        <f t="array" ref="M250:O250">INDEX('Main Data'!A247:O1246,MATCH(L250,'Main Data'!A247:A1246,0),{3,7,14})</f>
        <v>Male</v>
      </c>
      <c r="N250">
        <v>168191.05</v>
      </c>
      <c r="O250">
        <v>4.92</v>
      </c>
    </row>
    <row r="251" spans="1:15" x14ac:dyDescent="0.3">
      <c r="A251" s="6" t="s">
        <v>549</v>
      </c>
      <c r="B251" cm="1">
        <f t="array" ref="B251:C251">_xlfn.XLOOKUP(A251,'Main Data'!A248:A1247,'Main Data'!B248:C1247,"Data Not Found",0)</f>
        <v>30</v>
      </c>
      <c r="C251" t="str">
        <v>Other</v>
      </c>
      <c r="E251" s="6" t="s">
        <v>549</v>
      </c>
      <c r="F251" cm="1">
        <f t="array" ref="F251:I251">VLOOKUP(E251,CHOOSE({1,2,3,4,5},'Main Data'!A248:A1247,'Main Data'!B248:B1247,'Main Data'!C248:C1247,'Main Data'!M248:M1247,'Main Data'!N248:N1247),{2,3,4,5},0)</f>
        <v>30</v>
      </c>
      <c r="G251" t="str">
        <v>Other</v>
      </c>
      <c r="H251" t="str">
        <v>France</v>
      </c>
      <c r="I251">
        <v>4.5999999999999996</v>
      </c>
      <c r="L251" s="6" t="s">
        <v>549</v>
      </c>
      <c r="M251" t="str" cm="1">
        <f t="array" ref="M251:O251">INDEX('Main Data'!A248:O1247,MATCH(L251,'Main Data'!A248:A1247,0),{3,7,14})</f>
        <v>Other</v>
      </c>
      <c r="N251">
        <v>170068.4</v>
      </c>
      <c r="O251">
        <v>4.5999999999999996</v>
      </c>
    </row>
    <row r="252" spans="1:15" x14ac:dyDescent="0.3">
      <c r="A252" s="6" t="s">
        <v>551</v>
      </c>
      <c r="B252" cm="1">
        <f t="array" ref="B252:C252">_xlfn.XLOOKUP(A252,'Main Data'!A249:A1248,'Main Data'!B249:C1248,"Data Not Found",0)</f>
        <v>23</v>
      </c>
      <c r="C252" t="str">
        <v>Male</v>
      </c>
      <c r="E252" s="6" t="s">
        <v>551</v>
      </c>
      <c r="F252" cm="1">
        <f t="array" ref="F252:I252">VLOOKUP(E252,CHOOSE({1,2,3,4,5},'Main Data'!A249:A1248,'Main Data'!B249:B1248,'Main Data'!C249:C1248,'Main Data'!M249:M1248,'Main Data'!N249:N1248),{2,3,4,5},0)</f>
        <v>23</v>
      </c>
      <c r="G252" t="str">
        <v>Male</v>
      </c>
      <c r="H252" t="str">
        <v>UK</v>
      </c>
      <c r="I252">
        <v>3.23</v>
      </c>
      <c r="L252" s="6" t="s">
        <v>551</v>
      </c>
      <c r="M252" t="str" cm="1">
        <f t="array" ref="M252:O252">INDEX('Main Data'!A249:O1248,MATCH(L252,'Main Data'!A249:A1248,0),{3,7,14})</f>
        <v>Male</v>
      </c>
      <c r="N252">
        <v>106539.51</v>
      </c>
      <c r="O252">
        <v>3.23</v>
      </c>
    </row>
    <row r="253" spans="1:15" x14ac:dyDescent="0.3">
      <c r="A253" s="6" t="s">
        <v>553</v>
      </c>
      <c r="B253" cm="1">
        <f t="array" ref="B253:C253">_xlfn.XLOOKUP(A253,'Main Data'!A250:A1249,'Main Data'!B250:C1249,"Data Not Found",0)</f>
        <v>39</v>
      </c>
      <c r="C253" t="str">
        <v>Female</v>
      </c>
      <c r="E253" s="6" t="s">
        <v>553</v>
      </c>
      <c r="F253" cm="1">
        <f t="array" ref="F253:I253">VLOOKUP(E253,CHOOSE({1,2,3,4,5},'Main Data'!A250:A1249,'Main Data'!B250:B1249,'Main Data'!C250:C1249,'Main Data'!M250:M1249,'Main Data'!N250:N1249),{2,3,4,5},0)</f>
        <v>39</v>
      </c>
      <c r="G253" t="str">
        <v>Female</v>
      </c>
      <c r="H253" t="str">
        <v>UAE</v>
      </c>
      <c r="I253">
        <v>4.59</v>
      </c>
      <c r="L253" s="6" t="s">
        <v>553</v>
      </c>
      <c r="M253" t="str" cm="1">
        <f t="array" ref="M253:O253">INDEX('Main Data'!A250:O1249,MATCH(L253,'Main Data'!A250:A1249,0),{3,7,14})</f>
        <v>Female</v>
      </c>
      <c r="N253">
        <v>53768.17</v>
      </c>
      <c r="O253">
        <v>4.59</v>
      </c>
    </row>
    <row r="254" spans="1:15" x14ac:dyDescent="0.3">
      <c r="A254" s="6" t="s">
        <v>555</v>
      </c>
      <c r="B254" cm="1">
        <f t="array" ref="B254:C254">_xlfn.XLOOKUP(A254,'Main Data'!A251:A1250,'Main Data'!B251:C1250,"Data Not Found",0)</f>
        <v>57</v>
      </c>
      <c r="C254" t="str">
        <v>Female</v>
      </c>
      <c r="E254" s="6" t="s">
        <v>555</v>
      </c>
      <c r="F254" cm="1">
        <f t="array" ref="F254:I254">VLOOKUP(E254,CHOOSE({1,2,3,4,5},'Main Data'!A251:A1250,'Main Data'!B251:B1250,'Main Data'!C251:C1250,'Main Data'!M251:M1250,'Main Data'!N251:N1250),{2,3,4,5},0)</f>
        <v>57</v>
      </c>
      <c r="G254" t="str">
        <v>Female</v>
      </c>
      <c r="H254" t="str">
        <v>Japan</v>
      </c>
      <c r="I254">
        <v>1.94</v>
      </c>
      <c r="L254" s="6" t="s">
        <v>555</v>
      </c>
      <c r="M254" t="str" cm="1">
        <f t="array" ref="M254:O254">INDEX('Main Data'!A251:O1250,MATCH(L254,'Main Data'!A251:A1250,0),{3,7,14})</f>
        <v>Female</v>
      </c>
      <c r="N254">
        <v>120671.16</v>
      </c>
      <c r="O254">
        <v>1.94</v>
      </c>
    </row>
    <row r="255" spans="1:15" x14ac:dyDescent="0.3">
      <c r="A255" s="6" t="s">
        <v>557</v>
      </c>
      <c r="B255" cm="1">
        <f t="array" ref="B255:C255">_xlfn.XLOOKUP(A255,'Main Data'!A252:A1251,'Main Data'!B252:C1251,"Data Not Found",0)</f>
        <v>49</v>
      </c>
      <c r="C255" t="str">
        <v>Other</v>
      </c>
      <c r="E255" s="6" t="s">
        <v>557</v>
      </c>
      <c r="F255" cm="1">
        <f t="array" ref="F255:I255">VLOOKUP(E255,CHOOSE({1,2,3,4,5},'Main Data'!A252:A1251,'Main Data'!B252:B1251,'Main Data'!C252:C1251,'Main Data'!M252:M1251,'Main Data'!N252:N1251),{2,3,4,5},0)</f>
        <v>49</v>
      </c>
      <c r="G255" t="str">
        <v>Other</v>
      </c>
      <c r="H255" t="str">
        <v>USA</v>
      </c>
      <c r="I255">
        <v>4.5199999999999996</v>
      </c>
      <c r="L255" s="6" t="s">
        <v>557</v>
      </c>
      <c r="M255" t="str" cm="1">
        <f t="array" ref="M255:O255">INDEX('Main Data'!A252:O1251,MATCH(L255,'Main Data'!A252:A1251,0),{3,7,14})</f>
        <v>Other</v>
      </c>
      <c r="N255">
        <v>184784.51</v>
      </c>
      <c r="O255">
        <v>4.5199999999999996</v>
      </c>
    </row>
    <row r="256" spans="1:15" x14ac:dyDescent="0.3">
      <c r="A256" s="6" t="s">
        <v>559</v>
      </c>
      <c r="B256" cm="1">
        <f t="array" ref="B256:C256">_xlfn.XLOOKUP(A256,'Main Data'!A253:A1252,'Main Data'!B253:C1252,"Data Not Found",0)</f>
        <v>62</v>
      </c>
      <c r="C256" t="str">
        <v>Male</v>
      </c>
      <c r="E256" s="6" t="s">
        <v>559</v>
      </c>
      <c r="F256" cm="1">
        <f t="array" ref="F256:I256">VLOOKUP(E256,CHOOSE({1,2,3,4,5},'Main Data'!A253:A1252,'Main Data'!B253:B1252,'Main Data'!C253:C1252,'Main Data'!M253:M1252,'Main Data'!N253:N1252),{2,3,4,5},0)</f>
        <v>62</v>
      </c>
      <c r="G256" t="str">
        <v>Male</v>
      </c>
      <c r="H256" t="str">
        <v>France</v>
      </c>
      <c r="I256">
        <v>2.62</v>
      </c>
      <c r="L256" s="6" t="s">
        <v>559</v>
      </c>
      <c r="M256" t="str" cm="1">
        <f t="array" ref="M256:O256">INDEX('Main Data'!A253:O1252,MATCH(L256,'Main Data'!A253:A1252,0),{3,7,14})</f>
        <v>Male</v>
      </c>
      <c r="N256">
        <v>159433.12</v>
      </c>
      <c r="O256">
        <v>2.62</v>
      </c>
    </row>
    <row r="257" spans="1:15" x14ac:dyDescent="0.3">
      <c r="A257" s="6" t="s">
        <v>561</v>
      </c>
      <c r="B257" cm="1">
        <f t="array" ref="B257:C257">_xlfn.XLOOKUP(A257,'Main Data'!A254:A1253,'Main Data'!B254:C1253,"Data Not Found",0)</f>
        <v>58</v>
      </c>
      <c r="C257" t="str">
        <v>Female</v>
      </c>
      <c r="E257" s="6" t="s">
        <v>561</v>
      </c>
      <c r="F257" cm="1">
        <f t="array" ref="F257:I257">VLOOKUP(E257,CHOOSE({1,2,3,4,5},'Main Data'!A254:A1253,'Main Data'!B254:B1253,'Main Data'!C254:C1253,'Main Data'!M254:M1253,'Main Data'!N254:N1253),{2,3,4,5},0)</f>
        <v>58</v>
      </c>
      <c r="G257" t="str">
        <v>Female</v>
      </c>
      <c r="H257" t="str">
        <v>UK</v>
      </c>
      <c r="I257">
        <v>2.25</v>
      </c>
      <c r="L257" s="6" t="s">
        <v>561</v>
      </c>
      <c r="M257" t="str" cm="1">
        <f t="array" ref="M257:O257">INDEX('Main Data'!A254:O1253,MATCH(L257,'Main Data'!A254:A1253,0),{3,7,14})</f>
        <v>Female</v>
      </c>
      <c r="N257">
        <v>61498.81</v>
      </c>
      <c r="O257">
        <v>2.25</v>
      </c>
    </row>
    <row r="258" spans="1:15" x14ac:dyDescent="0.3">
      <c r="A258" s="6" t="s">
        <v>563</v>
      </c>
      <c r="B258" cm="1">
        <f t="array" ref="B258:C258">_xlfn.XLOOKUP(A258,'Main Data'!A255:A1254,'Main Data'!B255:C1254,"Data Not Found",0)</f>
        <v>47</v>
      </c>
      <c r="C258" t="str">
        <v>Male</v>
      </c>
      <c r="E258" s="6" t="s">
        <v>563</v>
      </c>
      <c r="F258" cm="1">
        <f t="array" ref="F258:I258">VLOOKUP(E258,CHOOSE({1,2,3,4,5},'Main Data'!A255:A1254,'Main Data'!B255:B1254,'Main Data'!C255:C1254,'Main Data'!M255:M1254,'Main Data'!N255:N1254),{2,3,4,5},0)</f>
        <v>47</v>
      </c>
      <c r="G258" t="str">
        <v>Male</v>
      </c>
      <c r="H258" t="str">
        <v>UAE</v>
      </c>
      <c r="I258">
        <v>4.92</v>
      </c>
      <c r="L258" s="6" t="s">
        <v>563</v>
      </c>
      <c r="M258" t="str" cm="1">
        <f t="array" ref="M258:O258">INDEX('Main Data'!A255:O1254,MATCH(L258,'Main Data'!A255:A1254,0),{3,7,14})</f>
        <v>Male</v>
      </c>
      <c r="N258">
        <v>151849.89000000001</v>
      </c>
      <c r="O258">
        <v>4.92</v>
      </c>
    </row>
    <row r="259" spans="1:15" x14ac:dyDescent="0.3">
      <c r="A259" s="6" t="s">
        <v>565</v>
      </c>
      <c r="B259" cm="1">
        <f t="array" ref="B259:C259">_xlfn.XLOOKUP(A259,'Main Data'!A256:A1255,'Main Data'!B256:C1255,"Data Not Found",0)</f>
        <v>25</v>
      </c>
      <c r="C259" t="str">
        <v>Other</v>
      </c>
      <c r="E259" s="6" t="s">
        <v>565</v>
      </c>
      <c r="F259" cm="1">
        <f t="array" ref="F259:I259">VLOOKUP(E259,CHOOSE({1,2,3,4,5},'Main Data'!A256:A1255,'Main Data'!B256:B1255,'Main Data'!C256:C1255,'Main Data'!M256:M1255,'Main Data'!N256:N1255),{2,3,4,5},0)</f>
        <v>25</v>
      </c>
      <c r="G259" t="str">
        <v>Other</v>
      </c>
      <c r="H259" t="str">
        <v>Japan</v>
      </c>
      <c r="I259">
        <v>1.92</v>
      </c>
      <c r="L259" s="6" t="s">
        <v>565</v>
      </c>
      <c r="M259" t="str" cm="1">
        <f t="array" ref="M259:O259">INDEX('Main Data'!A256:O1255,MATCH(L259,'Main Data'!A256:A1255,0),{3,7,14})</f>
        <v>Other</v>
      </c>
      <c r="N259">
        <v>138610.54</v>
      </c>
      <c r="O259">
        <v>1.92</v>
      </c>
    </row>
    <row r="260" spans="1:15" x14ac:dyDescent="0.3">
      <c r="A260" s="6" t="s">
        <v>567</v>
      </c>
      <c r="B260" cm="1">
        <f t="array" ref="B260:C260">_xlfn.XLOOKUP(A260,'Main Data'!A257:A1256,'Main Data'!B257:C1256,"Data Not Found",0)</f>
        <v>61</v>
      </c>
      <c r="C260" t="str">
        <v>Male</v>
      </c>
      <c r="E260" s="6" t="s">
        <v>567</v>
      </c>
      <c r="F260" cm="1">
        <f t="array" ref="F260:I260">VLOOKUP(E260,CHOOSE({1,2,3,4,5},'Main Data'!A257:A1256,'Main Data'!B257:B1256,'Main Data'!C257:C1256,'Main Data'!M257:M1256,'Main Data'!N257:N1256),{2,3,4,5},0)</f>
        <v>61</v>
      </c>
      <c r="G260" t="str">
        <v>Male</v>
      </c>
      <c r="H260" t="str">
        <v>USA</v>
      </c>
      <c r="I260">
        <v>4.38</v>
      </c>
      <c r="L260" s="6" t="s">
        <v>567</v>
      </c>
      <c r="M260" t="str" cm="1">
        <f t="array" ref="M260:O260">INDEX('Main Data'!A257:O1256,MATCH(L260,'Main Data'!A257:A1256,0),{3,7,14})</f>
        <v>Male</v>
      </c>
      <c r="N260">
        <v>177443.98</v>
      </c>
      <c r="O260">
        <v>4.38</v>
      </c>
    </row>
    <row r="261" spans="1:15" x14ac:dyDescent="0.3">
      <c r="A261" s="6" t="s">
        <v>569</v>
      </c>
      <c r="B261" cm="1">
        <f t="array" ref="B261:C261">_xlfn.XLOOKUP(A261,'Main Data'!A258:A1257,'Main Data'!B258:C1257,"Data Not Found",0)</f>
        <v>57</v>
      </c>
      <c r="C261" t="str">
        <v>Male</v>
      </c>
      <c r="E261" s="6" t="s">
        <v>569</v>
      </c>
      <c r="F261" cm="1">
        <f t="array" ref="F261:I261">VLOOKUP(E261,CHOOSE({1,2,3,4,5},'Main Data'!A258:A1257,'Main Data'!B258:B1257,'Main Data'!C258:C1257,'Main Data'!M258:M1257,'Main Data'!N258:N1257),{2,3,4,5},0)</f>
        <v>57</v>
      </c>
      <c r="G261" t="str">
        <v>Male</v>
      </c>
      <c r="H261" t="str">
        <v>France</v>
      </c>
      <c r="I261">
        <v>2.34</v>
      </c>
      <c r="L261" s="6" t="s">
        <v>569</v>
      </c>
      <c r="M261" t="str" cm="1">
        <f t="array" ref="M261:O261">INDEX('Main Data'!A258:O1257,MATCH(L261,'Main Data'!A258:A1257,0),{3,7,14})</f>
        <v>Male</v>
      </c>
      <c r="N261">
        <v>120788.75</v>
      </c>
      <c r="O261">
        <v>2.34</v>
      </c>
    </row>
    <row r="262" spans="1:15" x14ac:dyDescent="0.3">
      <c r="A262" s="6" t="s">
        <v>571</v>
      </c>
      <c r="B262" cm="1">
        <f t="array" ref="B262:C262">_xlfn.XLOOKUP(A262,'Main Data'!A259:A1258,'Main Data'!B259:C1258,"Data Not Found",0)</f>
        <v>52</v>
      </c>
      <c r="C262" t="str">
        <v>Other</v>
      </c>
      <c r="E262" s="6" t="s">
        <v>571</v>
      </c>
      <c r="F262" cm="1">
        <f t="array" ref="F262:I262">VLOOKUP(E262,CHOOSE({1,2,3,4,5},'Main Data'!A259:A1258,'Main Data'!B259:B1258,'Main Data'!C259:C1258,'Main Data'!M259:M1258,'Main Data'!N259:N1258),{2,3,4,5},0)</f>
        <v>52</v>
      </c>
      <c r="G262" t="str">
        <v>Other</v>
      </c>
      <c r="H262" t="str">
        <v>UK</v>
      </c>
      <c r="I262">
        <v>1.42</v>
      </c>
      <c r="L262" s="6" t="s">
        <v>571</v>
      </c>
      <c r="M262" t="str" cm="1">
        <f t="array" ref="M262:O262">INDEX('Main Data'!A259:O1258,MATCH(L262,'Main Data'!A259:A1258,0),{3,7,14})</f>
        <v>Other</v>
      </c>
      <c r="N262">
        <v>86559.05</v>
      </c>
      <c r="O262">
        <v>1.42</v>
      </c>
    </row>
    <row r="263" spans="1:15" x14ac:dyDescent="0.3">
      <c r="A263" s="6" t="s">
        <v>573</v>
      </c>
      <c r="B263" cm="1">
        <f t="array" ref="B263:C263">_xlfn.XLOOKUP(A263,'Main Data'!A260:A1259,'Main Data'!B260:C1259,"Data Not Found",0)</f>
        <v>51</v>
      </c>
      <c r="C263" t="str">
        <v>Female</v>
      </c>
      <c r="E263" s="6" t="s">
        <v>573</v>
      </c>
      <c r="F263" cm="1">
        <f t="array" ref="F263:I263">VLOOKUP(E263,CHOOSE({1,2,3,4,5},'Main Data'!A260:A1259,'Main Data'!B260:B1259,'Main Data'!C260:C1259,'Main Data'!M260:M1259,'Main Data'!N260:N1259),{2,3,4,5},0)</f>
        <v>51</v>
      </c>
      <c r="G263" t="str">
        <v>Female</v>
      </c>
      <c r="H263" t="str">
        <v>UAE</v>
      </c>
      <c r="I263">
        <v>1.1299999999999999</v>
      </c>
      <c r="L263" s="6" t="s">
        <v>573</v>
      </c>
      <c r="M263" t="str" cm="1">
        <f t="array" ref="M263:O263">INDEX('Main Data'!A260:O1259,MATCH(L263,'Main Data'!A260:A1259,0),{3,7,14})</f>
        <v>Female</v>
      </c>
      <c r="N263">
        <v>178608.16</v>
      </c>
      <c r="O263">
        <v>1.1299999999999999</v>
      </c>
    </row>
    <row r="264" spans="1:15" x14ac:dyDescent="0.3">
      <c r="A264" s="6" t="s">
        <v>575</v>
      </c>
      <c r="B264" cm="1">
        <f t="array" ref="B264:C264">_xlfn.XLOOKUP(A264,'Main Data'!A261:A1260,'Main Data'!B261:C1260,"Data Not Found",0)</f>
        <v>55</v>
      </c>
      <c r="C264" t="str">
        <v>Other</v>
      </c>
      <c r="E264" s="6" t="s">
        <v>575</v>
      </c>
      <c r="F264" cm="1">
        <f t="array" ref="F264:I264">VLOOKUP(E264,CHOOSE({1,2,3,4,5},'Main Data'!A261:A1260,'Main Data'!B261:B1260,'Main Data'!C261:C1260,'Main Data'!M261:M1260,'Main Data'!N261:N1260),{2,3,4,5},0)</f>
        <v>55</v>
      </c>
      <c r="G264" t="str">
        <v>Other</v>
      </c>
      <c r="H264" t="str">
        <v>Japan</v>
      </c>
      <c r="I264">
        <v>3.79</v>
      </c>
      <c r="L264" s="6" t="s">
        <v>575</v>
      </c>
      <c r="M264" t="str" cm="1">
        <f t="array" ref="M264:O264">INDEX('Main Data'!A261:O1260,MATCH(L264,'Main Data'!A261:A1260,0),{3,7,14})</f>
        <v>Other</v>
      </c>
      <c r="N264">
        <v>164742.84</v>
      </c>
      <c r="O264">
        <v>3.79</v>
      </c>
    </row>
    <row r="265" spans="1:15" x14ac:dyDescent="0.3">
      <c r="A265" s="6" t="s">
        <v>577</v>
      </c>
      <c r="B265" cm="1">
        <f t="array" ref="B265:C265">_xlfn.XLOOKUP(A265,'Main Data'!A262:A1261,'Main Data'!B262:C1261,"Data Not Found",0)</f>
        <v>40</v>
      </c>
      <c r="C265" t="str">
        <v>Male</v>
      </c>
      <c r="E265" s="6" t="s">
        <v>577</v>
      </c>
      <c r="F265" cm="1">
        <f t="array" ref="F265:I265">VLOOKUP(E265,CHOOSE({1,2,3,4,5},'Main Data'!A262:A1261,'Main Data'!B262:B1261,'Main Data'!C262:C1261,'Main Data'!M262:M1261,'Main Data'!N262:N1261),{2,3,4,5},0)</f>
        <v>40</v>
      </c>
      <c r="G265" t="str">
        <v>Male</v>
      </c>
      <c r="H265" t="str">
        <v>USA</v>
      </c>
      <c r="I265">
        <v>1.34</v>
      </c>
      <c r="L265" s="6" t="s">
        <v>577</v>
      </c>
      <c r="M265" t="str" cm="1">
        <f t="array" ref="M265:O265">INDEX('Main Data'!A262:O1261,MATCH(L265,'Main Data'!A262:A1261,0),{3,7,14})</f>
        <v>Male</v>
      </c>
      <c r="N265">
        <v>148731.92000000001</v>
      </c>
      <c r="O265">
        <v>1.34</v>
      </c>
    </row>
    <row r="266" spans="1:15" x14ac:dyDescent="0.3">
      <c r="A266" s="6" t="s">
        <v>579</v>
      </c>
      <c r="B266" cm="1">
        <f t="array" ref="B266:C266">_xlfn.XLOOKUP(A266,'Main Data'!A263:A1262,'Main Data'!B263:C1262,"Data Not Found",0)</f>
        <v>39</v>
      </c>
      <c r="C266" t="str">
        <v>Other</v>
      </c>
      <c r="E266" s="6" t="s">
        <v>579</v>
      </c>
      <c r="F266" cm="1">
        <f t="array" ref="F266:I266">VLOOKUP(E266,CHOOSE({1,2,3,4,5},'Main Data'!A263:A1262,'Main Data'!B263:B1262,'Main Data'!C263:C1262,'Main Data'!M263:M1262,'Main Data'!N263:N1262),{2,3,4,5},0)</f>
        <v>39</v>
      </c>
      <c r="G266" t="str">
        <v>Other</v>
      </c>
      <c r="H266" t="str">
        <v>France</v>
      </c>
      <c r="I266">
        <v>2.98</v>
      </c>
      <c r="L266" s="6" t="s">
        <v>579</v>
      </c>
      <c r="M266" t="str" cm="1">
        <f t="array" ref="M266:O266">INDEX('Main Data'!A263:O1262,MATCH(L266,'Main Data'!A263:A1262,0),{3,7,14})</f>
        <v>Other</v>
      </c>
      <c r="N266">
        <v>54169.54</v>
      </c>
      <c r="O266">
        <v>2.98</v>
      </c>
    </row>
    <row r="267" spans="1:15" x14ac:dyDescent="0.3">
      <c r="A267" s="6" t="s">
        <v>581</v>
      </c>
      <c r="B267" cm="1">
        <f t="array" ref="B267:C267">_xlfn.XLOOKUP(A267,'Main Data'!A264:A1263,'Main Data'!B264:C1263,"Data Not Found",0)</f>
        <v>51</v>
      </c>
      <c r="C267" t="str">
        <v>Other</v>
      </c>
      <c r="E267" s="6" t="s">
        <v>581</v>
      </c>
      <c r="F267" cm="1">
        <f t="array" ref="F267:I267">VLOOKUP(E267,CHOOSE({1,2,3,4,5},'Main Data'!A264:A1263,'Main Data'!B264:B1263,'Main Data'!C264:C1263,'Main Data'!M264:M1263,'Main Data'!N264:N1263),{2,3,4,5},0)</f>
        <v>51</v>
      </c>
      <c r="G267" t="str">
        <v>Other</v>
      </c>
      <c r="H267" t="str">
        <v>UK</v>
      </c>
      <c r="I267">
        <v>2.54</v>
      </c>
      <c r="L267" s="6" t="s">
        <v>581</v>
      </c>
      <c r="M267" t="str" cm="1">
        <f t="array" ref="M267:O267">INDEX('Main Data'!A264:O1263,MATCH(L267,'Main Data'!A264:A1263,0),{3,7,14})</f>
        <v>Other</v>
      </c>
      <c r="N267">
        <v>111304.76</v>
      </c>
      <c r="O267">
        <v>2.54</v>
      </c>
    </row>
    <row r="268" spans="1:15" x14ac:dyDescent="0.3">
      <c r="A268" s="6" t="s">
        <v>583</v>
      </c>
      <c r="B268" cm="1">
        <f t="array" ref="B268:C268">_xlfn.XLOOKUP(A268,'Main Data'!A265:A1264,'Main Data'!B265:C1264,"Data Not Found",0)</f>
        <v>42</v>
      </c>
      <c r="C268" t="str">
        <v>Male</v>
      </c>
      <c r="E268" s="6" t="s">
        <v>583</v>
      </c>
      <c r="F268" cm="1">
        <f t="array" ref="F268:I268">VLOOKUP(E268,CHOOSE({1,2,3,4,5},'Main Data'!A265:A1264,'Main Data'!B265:B1264,'Main Data'!C265:C1264,'Main Data'!M265:M1264,'Main Data'!N265:N1264),{2,3,4,5},0)</f>
        <v>42</v>
      </c>
      <c r="G268" t="str">
        <v>Male</v>
      </c>
      <c r="H268" t="str">
        <v>UAE</v>
      </c>
      <c r="I268">
        <v>4.12</v>
      </c>
      <c r="L268" s="6" t="s">
        <v>583</v>
      </c>
      <c r="M268" t="str" cm="1">
        <f t="array" ref="M268:O268">INDEX('Main Data'!A265:O1264,MATCH(L268,'Main Data'!A265:A1264,0),{3,7,14})</f>
        <v>Male</v>
      </c>
      <c r="N268">
        <v>70896.56</v>
      </c>
      <c r="O268">
        <v>4.12</v>
      </c>
    </row>
    <row r="269" spans="1:15" x14ac:dyDescent="0.3">
      <c r="A269" s="6" t="s">
        <v>585</v>
      </c>
      <c r="B269" cm="1">
        <f t="array" ref="B269:C269">_xlfn.XLOOKUP(A269,'Main Data'!A266:A1265,'Main Data'!B266:C1265,"Data Not Found",0)</f>
        <v>24</v>
      </c>
      <c r="C269" t="str">
        <v>Other</v>
      </c>
      <c r="E269" s="6" t="s">
        <v>585</v>
      </c>
      <c r="F269" cm="1">
        <f t="array" ref="F269:I269">VLOOKUP(E269,CHOOSE({1,2,3,4,5},'Main Data'!A266:A1265,'Main Data'!B266:B1265,'Main Data'!C266:C1265,'Main Data'!M266:M1265,'Main Data'!N266:N1265),{2,3,4,5},0)</f>
        <v>24</v>
      </c>
      <c r="G269" t="str">
        <v>Other</v>
      </c>
      <c r="H269" t="str">
        <v>Japan</v>
      </c>
      <c r="I269">
        <v>2.78</v>
      </c>
      <c r="L269" s="6" t="s">
        <v>585</v>
      </c>
      <c r="M269" t="str" cm="1">
        <f t="array" ref="M269:O269">INDEX('Main Data'!A266:O1265,MATCH(L269,'Main Data'!A266:A1265,0),{3,7,14})</f>
        <v>Other</v>
      </c>
      <c r="N269">
        <v>119251.38</v>
      </c>
      <c r="O269">
        <v>2.78</v>
      </c>
    </row>
    <row r="270" spans="1:15" x14ac:dyDescent="0.3">
      <c r="A270" s="6" t="s">
        <v>587</v>
      </c>
      <c r="B270" cm="1">
        <f t="array" ref="B270:C270">_xlfn.XLOOKUP(A270,'Main Data'!A267:A1266,'Main Data'!B267:C1266,"Data Not Found",0)</f>
        <v>27</v>
      </c>
      <c r="C270" t="str">
        <v>Female</v>
      </c>
      <c r="E270" s="6" t="s">
        <v>587</v>
      </c>
      <c r="F270" cm="1">
        <f t="array" ref="F270:I270">VLOOKUP(E270,CHOOSE({1,2,3,4,5},'Main Data'!A267:A1266,'Main Data'!B267:B1266,'Main Data'!C267:C1266,'Main Data'!M267:M1266,'Main Data'!N267:N1266),{2,3,4,5},0)</f>
        <v>27</v>
      </c>
      <c r="G270" t="str">
        <v>Female</v>
      </c>
      <c r="H270" t="str">
        <v>USA</v>
      </c>
      <c r="I270">
        <v>3.7</v>
      </c>
      <c r="L270" s="6" t="s">
        <v>587</v>
      </c>
      <c r="M270" t="str" cm="1">
        <f t="array" ref="M270:O270">INDEX('Main Data'!A267:O1266,MATCH(L270,'Main Data'!A267:A1266,0),{3,7,14})</f>
        <v>Female</v>
      </c>
      <c r="N270">
        <v>185497.47</v>
      </c>
      <c r="O270">
        <v>3.7</v>
      </c>
    </row>
    <row r="271" spans="1:15" x14ac:dyDescent="0.3">
      <c r="A271" s="6" t="s">
        <v>589</v>
      </c>
      <c r="B271" cm="1">
        <f t="array" ref="B271:C271">_xlfn.XLOOKUP(A271,'Main Data'!A268:A1267,'Main Data'!B268:C1267,"Data Not Found",0)</f>
        <v>59</v>
      </c>
      <c r="C271" t="str">
        <v>Female</v>
      </c>
      <c r="E271" s="6" t="s">
        <v>589</v>
      </c>
      <c r="F271" cm="1">
        <f t="array" ref="F271:I271">VLOOKUP(E271,CHOOSE({1,2,3,4,5},'Main Data'!A268:A1267,'Main Data'!B268:B1267,'Main Data'!C268:C1267,'Main Data'!M268:M1267,'Main Data'!N268:N1267),{2,3,4,5},0)</f>
        <v>59</v>
      </c>
      <c r="G271" t="str">
        <v>Female</v>
      </c>
      <c r="H271" t="str">
        <v>France</v>
      </c>
      <c r="I271">
        <v>3.35</v>
      </c>
      <c r="L271" s="6" t="s">
        <v>589</v>
      </c>
      <c r="M271" t="str" cm="1">
        <f t="array" ref="M271:O271">INDEX('Main Data'!A268:O1267,MATCH(L271,'Main Data'!A268:A1267,0),{3,7,14})</f>
        <v>Female</v>
      </c>
      <c r="N271">
        <v>76888.94</v>
      </c>
      <c r="O271">
        <v>3.35</v>
      </c>
    </row>
    <row r="272" spans="1:15" x14ac:dyDescent="0.3">
      <c r="A272" s="6" t="s">
        <v>591</v>
      </c>
      <c r="B272" cm="1">
        <f t="array" ref="B272:C272">_xlfn.XLOOKUP(A272,'Main Data'!A269:A1268,'Main Data'!B269:C1268,"Data Not Found",0)</f>
        <v>34</v>
      </c>
      <c r="C272" t="str">
        <v>Other</v>
      </c>
      <c r="E272" s="6" t="s">
        <v>591</v>
      </c>
      <c r="F272" cm="1">
        <f t="array" ref="F272:I272">VLOOKUP(E272,CHOOSE({1,2,3,4,5},'Main Data'!A269:A1268,'Main Data'!B269:B1268,'Main Data'!C269:C1268,'Main Data'!M269:M1268,'Main Data'!N269:N1268),{2,3,4,5},0)</f>
        <v>34</v>
      </c>
      <c r="G272" t="str">
        <v>Other</v>
      </c>
      <c r="H272" t="str">
        <v>UK</v>
      </c>
      <c r="I272">
        <v>1.8</v>
      </c>
      <c r="L272" s="6" t="s">
        <v>591</v>
      </c>
      <c r="M272" t="str" cm="1">
        <f t="array" ref="M272:O272">INDEX('Main Data'!A269:O1268,MATCH(L272,'Main Data'!A269:A1268,0),{3,7,14})</f>
        <v>Other</v>
      </c>
      <c r="N272">
        <v>111964.28</v>
      </c>
      <c r="O272">
        <v>1.8</v>
      </c>
    </row>
    <row r="273" spans="1:15" x14ac:dyDescent="0.3">
      <c r="A273" s="6" t="s">
        <v>593</v>
      </c>
      <c r="B273" cm="1">
        <f t="array" ref="B273:C273">_xlfn.XLOOKUP(A273,'Main Data'!A270:A1269,'Main Data'!B270:C1269,"Data Not Found",0)</f>
        <v>24</v>
      </c>
      <c r="C273" t="str">
        <v>Male</v>
      </c>
      <c r="E273" s="6" t="s">
        <v>593</v>
      </c>
      <c r="F273" cm="1">
        <f t="array" ref="F273:I273">VLOOKUP(E273,CHOOSE({1,2,3,4,5},'Main Data'!A270:A1269,'Main Data'!B270:B1269,'Main Data'!C270:C1269,'Main Data'!M270:M1269,'Main Data'!N270:N1269),{2,3,4,5},0)</f>
        <v>24</v>
      </c>
      <c r="G273" t="str">
        <v>Male</v>
      </c>
      <c r="H273" t="str">
        <v>UAE</v>
      </c>
      <c r="I273">
        <v>4.7</v>
      </c>
      <c r="L273" s="6" t="s">
        <v>593</v>
      </c>
      <c r="M273" t="str" cm="1">
        <f t="array" ref="M273:O273">INDEX('Main Data'!A270:O1269,MATCH(L273,'Main Data'!A270:A1269,0),{3,7,14})</f>
        <v>Male</v>
      </c>
      <c r="N273">
        <v>99758.57</v>
      </c>
      <c r="O273">
        <v>4.7</v>
      </c>
    </row>
    <row r="274" spans="1:15" x14ac:dyDescent="0.3">
      <c r="A274" s="6" t="s">
        <v>595</v>
      </c>
      <c r="B274" cm="1">
        <f t="array" ref="B274:C274">_xlfn.XLOOKUP(A274,'Main Data'!A271:A1270,'Main Data'!B271:C1270,"Data Not Found",0)</f>
        <v>49</v>
      </c>
      <c r="C274" t="str">
        <v>Other</v>
      </c>
      <c r="E274" s="6" t="s">
        <v>595</v>
      </c>
      <c r="F274" cm="1">
        <f t="array" ref="F274:I274">VLOOKUP(E274,CHOOSE({1,2,3,4,5},'Main Data'!A271:A1270,'Main Data'!B271:B1270,'Main Data'!C271:C1270,'Main Data'!M271:M1270,'Main Data'!N271:N1270),{2,3,4,5},0)</f>
        <v>49</v>
      </c>
      <c r="G274" t="str">
        <v>Other</v>
      </c>
      <c r="H274" t="str">
        <v>Japan</v>
      </c>
      <c r="I274">
        <v>1.48</v>
      </c>
      <c r="L274" s="6" t="s">
        <v>595</v>
      </c>
      <c r="M274" t="str" cm="1">
        <f t="array" ref="M274:O274">INDEX('Main Data'!A271:O1270,MATCH(L274,'Main Data'!A271:A1270,0),{3,7,14})</f>
        <v>Other</v>
      </c>
      <c r="N274">
        <v>54618.06</v>
      </c>
      <c r="O274">
        <v>1.48</v>
      </c>
    </row>
    <row r="275" spans="1:15" x14ac:dyDescent="0.3">
      <c r="A275" s="6" t="s">
        <v>597</v>
      </c>
      <c r="B275" cm="1">
        <f t="array" ref="B275:C275">_xlfn.XLOOKUP(A275,'Main Data'!A272:A1271,'Main Data'!B272:C1271,"Data Not Found",0)</f>
        <v>43</v>
      </c>
      <c r="C275" t="str">
        <v>Other</v>
      </c>
      <c r="E275" s="6" t="s">
        <v>597</v>
      </c>
      <c r="F275" cm="1">
        <f t="array" ref="F275:I275">VLOOKUP(E275,CHOOSE({1,2,3,4,5},'Main Data'!A272:A1271,'Main Data'!B272:B1271,'Main Data'!C272:C1271,'Main Data'!M272:M1271,'Main Data'!N272:N1271),{2,3,4,5},0)</f>
        <v>43</v>
      </c>
      <c r="G275" t="str">
        <v>Other</v>
      </c>
      <c r="H275" t="str">
        <v>USA</v>
      </c>
      <c r="I275">
        <v>2.87</v>
      </c>
      <c r="L275" s="6" t="s">
        <v>597</v>
      </c>
      <c r="M275" t="str" cm="1">
        <f t="array" ref="M275:O275">INDEX('Main Data'!A272:O1271,MATCH(L275,'Main Data'!A272:A1271,0),{3,7,14})</f>
        <v>Other</v>
      </c>
      <c r="N275">
        <v>74378.06</v>
      </c>
      <c r="O275">
        <v>2.87</v>
      </c>
    </row>
    <row r="276" spans="1:15" x14ac:dyDescent="0.3">
      <c r="A276" s="6" t="s">
        <v>599</v>
      </c>
      <c r="B276" cm="1">
        <f t="array" ref="B276:C276">_xlfn.XLOOKUP(A276,'Main Data'!A273:A1272,'Main Data'!B273:C1272,"Data Not Found",0)</f>
        <v>61</v>
      </c>
      <c r="C276" t="str">
        <v>Female</v>
      </c>
      <c r="E276" s="6" t="s">
        <v>599</v>
      </c>
      <c r="F276" cm="1">
        <f t="array" ref="F276:I276">VLOOKUP(E276,CHOOSE({1,2,3,4,5},'Main Data'!A273:A1272,'Main Data'!B273:B1272,'Main Data'!C273:C1272,'Main Data'!M273:M1272,'Main Data'!N273:N1272),{2,3,4,5},0)</f>
        <v>61</v>
      </c>
      <c r="G276" t="str">
        <v>Female</v>
      </c>
      <c r="H276" t="str">
        <v>France</v>
      </c>
      <c r="I276">
        <v>2.97</v>
      </c>
      <c r="L276" s="6" t="s">
        <v>599</v>
      </c>
      <c r="M276" t="str" cm="1">
        <f t="array" ref="M276:O276">INDEX('Main Data'!A273:O1272,MATCH(L276,'Main Data'!A273:A1272,0),{3,7,14})</f>
        <v>Female</v>
      </c>
      <c r="N276">
        <v>115673.3</v>
      </c>
      <c r="O276">
        <v>2.97</v>
      </c>
    </row>
    <row r="277" spans="1:15" x14ac:dyDescent="0.3">
      <c r="A277" s="6" t="s">
        <v>601</v>
      </c>
      <c r="B277" cm="1">
        <f t="array" ref="B277:C277">_xlfn.XLOOKUP(A277,'Main Data'!A274:A1273,'Main Data'!B274:C1273,"Data Not Found",0)</f>
        <v>61</v>
      </c>
      <c r="C277" t="str">
        <v>Female</v>
      </c>
      <c r="E277" s="6" t="s">
        <v>601</v>
      </c>
      <c r="F277" cm="1">
        <f t="array" ref="F277:I277">VLOOKUP(E277,CHOOSE({1,2,3,4,5},'Main Data'!A274:A1273,'Main Data'!B274:B1273,'Main Data'!C274:C1273,'Main Data'!M274:M1273,'Main Data'!N274:N1273),{2,3,4,5},0)</f>
        <v>61</v>
      </c>
      <c r="G277" t="str">
        <v>Female</v>
      </c>
      <c r="H277" t="str">
        <v>UK</v>
      </c>
      <c r="I277">
        <v>3.08</v>
      </c>
      <c r="L277" s="6" t="s">
        <v>601</v>
      </c>
      <c r="M277" t="str" cm="1">
        <f t="array" ref="M277:O277">INDEX('Main Data'!A274:O1273,MATCH(L277,'Main Data'!A274:A1273,0),{3,7,14})</f>
        <v>Female</v>
      </c>
      <c r="N277">
        <v>169588.36</v>
      </c>
      <c r="O277">
        <v>3.08</v>
      </c>
    </row>
    <row r="278" spans="1:15" x14ac:dyDescent="0.3">
      <c r="A278" s="6" t="s">
        <v>603</v>
      </c>
      <c r="B278" cm="1">
        <f t="array" ref="B278:C278">_xlfn.XLOOKUP(A278,'Main Data'!A275:A1274,'Main Data'!B275:C1274,"Data Not Found",0)</f>
        <v>33</v>
      </c>
      <c r="C278" t="str">
        <v>Male</v>
      </c>
      <c r="E278" s="6" t="s">
        <v>603</v>
      </c>
      <c r="F278" cm="1">
        <f t="array" ref="F278:I278">VLOOKUP(E278,CHOOSE({1,2,3,4,5},'Main Data'!A275:A1274,'Main Data'!B275:B1274,'Main Data'!C275:C1274,'Main Data'!M275:M1274,'Main Data'!N275:N1274),{2,3,4,5},0)</f>
        <v>33</v>
      </c>
      <c r="G278" t="str">
        <v>Male</v>
      </c>
      <c r="H278" t="str">
        <v>UAE</v>
      </c>
      <c r="I278">
        <v>3.7</v>
      </c>
      <c r="L278" s="6" t="s">
        <v>603</v>
      </c>
      <c r="M278" t="str" cm="1">
        <f t="array" ref="M278:O278">INDEX('Main Data'!A275:O1274,MATCH(L278,'Main Data'!A275:A1274,0),{3,7,14})</f>
        <v>Male</v>
      </c>
      <c r="N278">
        <v>88571.34</v>
      </c>
      <c r="O278">
        <v>3.7</v>
      </c>
    </row>
    <row r="279" spans="1:15" x14ac:dyDescent="0.3">
      <c r="A279" s="6" t="s">
        <v>605</v>
      </c>
      <c r="B279" cm="1">
        <f t="array" ref="B279:C279">_xlfn.XLOOKUP(A279,'Main Data'!A276:A1275,'Main Data'!B276:C1275,"Data Not Found",0)</f>
        <v>44</v>
      </c>
      <c r="C279" t="str">
        <v>Male</v>
      </c>
      <c r="E279" s="6" t="s">
        <v>605</v>
      </c>
      <c r="F279" cm="1">
        <f t="array" ref="F279:I279">VLOOKUP(E279,CHOOSE({1,2,3,4,5},'Main Data'!A276:A1275,'Main Data'!B276:B1275,'Main Data'!C276:C1275,'Main Data'!M276:M1275,'Main Data'!N276:N1275),{2,3,4,5},0)</f>
        <v>44</v>
      </c>
      <c r="G279" t="str">
        <v>Male</v>
      </c>
      <c r="H279" t="str">
        <v>Japan</v>
      </c>
      <c r="I279">
        <v>1.07</v>
      </c>
      <c r="L279" s="6" t="s">
        <v>605</v>
      </c>
      <c r="M279" t="str" cm="1">
        <f t="array" ref="M279:O279">INDEX('Main Data'!A276:O1275,MATCH(L279,'Main Data'!A276:A1275,0),{3,7,14})</f>
        <v>Male</v>
      </c>
      <c r="N279">
        <v>142590.68</v>
      </c>
      <c r="O279">
        <v>1.07</v>
      </c>
    </row>
    <row r="280" spans="1:15" x14ac:dyDescent="0.3">
      <c r="A280" s="6" t="s">
        <v>607</v>
      </c>
      <c r="B280" cm="1">
        <f t="array" ref="B280:C280">_xlfn.XLOOKUP(A280,'Main Data'!A277:A1276,'Main Data'!B277:C1276,"Data Not Found",0)</f>
        <v>52</v>
      </c>
      <c r="C280" t="str">
        <v>Male</v>
      </c>
      <c r="E280" s="6" t="s">
        <v>607</v>
      </c>
      <c r="F280" cm="1">
        <f t="array" ref="F280:I280">VLOOKUP(E280,CHOOSE({1,2,3,4,5},'Main Data'!A277:A1276,'Main Data'!B277:B1276,'Main Data'!C277:C1276,'Main Data'!M277:M1276,'Main Data'!N277:N1276),{2,3,4,5},0)</f>
        <v>52</v>
      </c>
      <c r="G280" t="str">
        <v>Male</v>
      </c>
      <c r="H280" t="str">
        <v>USA</v>
      </c>
      <c r="I280">
        <v>1.52</v>
      </c>
      <c r="L280" s="6" t="s">
        <v>607</v>
      </c>
      <c r="M280" t="str" cm="1">
        <f t="array" ref="M280:O280">INDEX('Main Data'!A277:O1276,MATCH(L280,'Main Data'!A277:A1276,0),{3,7,14})</f>
        <v>Male</v>
      </c>
      <c r="N280">
        <v>109148.24</v>
      </c>
      <c r="O280">
        <v>1.52</v>
      </c>
    </row>
    <row r="281" spans="1:15" x14ac:dyDescent="0.3">
      <c r="A281" s="6" t="s">
        <v>609</v>
      </c>
      <c r="B281" cm="1">
        <f t="array" ref="B281:C281">_xlfn.XLOOKUP(A281,'Main Data'!A278:A1277,'Main Data'!B278:C1277,"Data Not Found",0)</f>
        <v>39</v>
      </c>
      <c r="C281" t="str">
        <v>Other</v>
      </c>
      <c r="E281" s="6" t="s">
        <v>609</v>
      </c>
      <c r="F281" cm="1">
        <f t="array" ref="F281:I281">VLOOKUP(E281,CHOOSE({1,2,3,4,5},'Main Data'!A278:A1277,'Main Data'!B278:B1277,'Main Data'!C278:C1277,'Main Data'!M278:M1277,'Main Data'!N278:N1277),{2,3,4,5},0)</f>
        <v>39</v>
      </c>
      <c r="G281" t="str">
        <v>Other</v>
      </c>
      <c r="H281" t="str">
        <v>France</v>
      </c>
      <c r="I281">
        <v>2.83</v>
      </c>
      <c r="L281" s="6" t="s">
        <v>609</v>
      </c>
      <c r="M281" t="str" cm="1">
        <f t="array" ref="M281:O281">INDEX('Main Data'!A278:O1277,MATCH(L281,'Main Data'!A278:A1277,0),{3,7,14})</f>
        <v>Other</v>
      </c>
      <c r="N281">
        <v>136160.51</v>
      </c>
      <c r="O281">
        <v>2.83</v>
      </c>
    </row>
    <row r="282" spans="1:15" x14ac:dyDescent="0.3">
      <c r="A282" s="6" t="s">
        <v>611</v>
      </c>
      <c r="B282" cm="1">
        <f t="array" ref="B282:C282">_xlfn.XLOOKUP(A282,'Main Data'!A279:A1278,'Main Data'!B279:C1278,"Data Not Found",0)</f>
        <v>28</v>
      </c>
      <c r="C282" t="str">
        <v>Other</v>
      </c>
      <c r="E282" s="6" t="s">
        <v>611</v>
      </c>
      <c r="F282" cm="1">
        <f t="array" ref="F282:I282">VLOOKUP(E282,CHOOSE({1,2,3,4,5},'Main Data'!A279:A1278,'Main Data'!B279:B1278,'Main Data'!C279:C1278,'Main Data'!M279:M1278,'Main Data'!N279:N1278),{2,3,4,5},0)</f>
        <v>28</v>
      </c>
      <c r="G282" t="str">
        <v>Other</v>
      </c>
      <c r="H282" t="str">
        <v>UK</v>
      </c>
      <c r="I282">
        <v>2</v>
      </c>
      <c r="L282" s="6" t="s">
        <v>611</v>
      </c>
      <c r="M282" t="str" cm="1">
        <f t="array" ref="M282:O282">INDEX('Main Data'!A279:O1278,MATCH(L282,'Main Data'!A279:A1278,0),{3,7,14})</f>
        <v>Other</v>
      </c>
      <c r="N282">
        <v>116788.28</v>
      </c>
      <c r="O282">
        <v>2</v>
      </c>
    </row>
    <row r="283" spans="1:15" x14ac:dyDescent="0.3">
      <c r="A283" s="6" t="s">
        <v>613</v>
      </c>
      <c r="B283" cm="1">
        <f t="array" ref="B283:C283">_xlfn.XLOOKUP(A283,'Main Data'!A280:A1279,'Main Data'!B280:C1279,"Data Not Found",0)</f>
        <v>29</v>
      </c>
      <c r="C283" t="str">
        <v>Other</v>
      </c>
      <c r="E283" s="6" t="s">
        <v>613</v>
      </c>
      <c r="F283" cm="1">
        <f t="array" ref="F283:I283">VLOOKUP(E283,CHOOSE({1,2,3,4,5},'Main Data'!A280:A1279,'Main Data'!B280:B1279,'Main Data'!C280:C1279,'Main Data'!M280:M1279,'Main Data'!N280:N1279),{2,3,4,5},0)</f>
        <v>29</v>
      </c>
      <c r="G283" t="str">
        <v>Other</v>
      </c>
      <c r="H283" t="str">
        <v>UAE</v>
      </c>
      <c r="I283">
        <v>1.4</v>
      </c>
      <c r="L283" s="6" t="s">
        <v>613</v>
      </c>
      <c r="M283" t="str" cm="1">
        <f t="array" ref="M283:O283">INDEX('Main Data'!A280:O1279,MATCH(L283,'Main Data'!A280:A1279,0),{3,7,14})</f>
        <v>Other</v>
      </c>
      <c r="N283">
        <v>161981.01</v>
      </c>
      <c r="O283">
        <v>1.4</v>
      </c>
    </row>
    <row r="284" spans="1:15" x14ac:dyDescent="0.3">
      <c r="A284" s="6" t="s">
        <v>615</v>
      </c>
      <c r="B284" cm="1">
        <f t="array" ref="B284:C284">_xlfn.XLOOKUP(A284,'Main Data'!A281:A1280,'Main Data'!B281:C1280,"Data Not Found",0)</f>
        <v>40</v>
      </c>
      <c r="C284" t="str">
        <v>Other</v>
      </c>
      <c r="E284" s="6" t="s">
        <v>615</v>
      </c>
      <c r="F284" cm="1">
        <f t="array" ref="F284:I284">VLOOKUP(E284,CHOOSE({1,2,3,4,5},'Main Data'!A281:A1280,'Main Data'!B281:B1280,'Main Data'!C281:C1280,'Main Data'!M281:M1280,'Main Data'!N281:N1280),{2,3,4,5},0)</f>
        <v>40</v>
      </c>
      <c r="G284" t="str">
        <v>Other</v>
      </c>
      <c r="H284" t="str">
        <v>Japan</v>
      </c>
      <c r="I284">
        <v>3.34</v>
      </c>
      <c r="L284" s="6" t="s">
        <v>615</v>
      </c>
      <c r="M284" t="str" cm="1">
        <f t="array" ref="M284:O284">INDEX('Main Data'!A281:O1280,MATCH(L284,'Main Data'!A281:A1280,0),{3,7,14})</f>
        <v>Other</v>
      </c>
      <c r="N284">
        <v>103253.23</v>
      </c>
      <c r="O284">
        <v>3.34</v>
      </c>
    </row>
    <row r="285" spans="1:15" x14ac:dyDescent="0.3">
      <c r="A285" s="6" t="s">
        <v>617</v>
      </c>
      <c r="B285" cm="1">
        <f t="array" ref="B285:C285">_xlfn.XLOOKUP(A285,'Main Data'!A282:A1281,'Main Data'!B282:C1281,"Data Not Found",0)</f>
        <v>50</v>
      </c>
      <c r="C285" t="str">
        <v>Male</v>
      </c>
      <c r="E285" s="6" t="s">
        <v>617</v>
      </c>
      <c r="F285" cm="1">
        <f t="array" ref="F285:I285">VLOOKUP(E285,CHOOSE({1,2,3,4,5},'Main Data'!A282:A1281,'Main Data'!B282:B1281,'Main Data'!C282:C1281,'Main Data'!M282:M1281,'Main Data'!N282:N1281),{2,3,4,5},0)</f>
        <v>50</v>
      </c>
      <c r="G285" t="str">
        <v>Male</v>
      </c>
      <c r="H285" t="str">
        <v>USA</v>
      </c>
      <c r="I285">
        <v>3.48</v>
      </c>
      <c r="L285" s="6" t="s">
        <v>617</v>
      </c>
      <c r="M285" t="str" cm="1">
        <f t="array" ref="M285:O285">INDEX('Main Data'!A282:O1281,MATCH(L285,'Main Data'!A282:A1281,0),{3,7,14})</f>
        <v>Male</v>
      </c>
      <c r="N285">
        <v>193535.9</v>
      </c>
      <c r="O285">
        <v>3.48</v>
      </c>
    </row>
    <row r="286" spans="1:15" x14ac:dyDescent="0.3">
      <c r="A286" s="6" t="s">
        <v>619</v>
      </c>
      <c r="B286" cm="1">
        <f t="array" ref="B286:C286">_xlfn.XLOOKUP(A286,'Main Data'!A283:A1282,'Main Data'!B283:C1282,"Data Not Found",0)</f>
        <v>41</v>
      </c>
      <c r="C286" t="str">
        <v>Male</v>
      </c>
      <c r="E286" s="6" t="s">
        <v>619</v>
      </c>
      <c r="F286" cm="1">
        <f t="array" ref="F286:I286">VLOOKUP(E286,CHOOSE({1,2,3,4,5},'Main Data'!A283:A1282,'Main Data'!B283:B1282,'Main Data'!C283:C1282,'Main Data'!M283:M1282,'Main Data'!N283:N1282),{2,3,4,5},0)</f>
        <v>41</v>
      </c>
      <c r="G286" t="str">
        <v>Male</v>
      </c>
      <c r="H286" t="str">
        <v>France</v>
      </c>
      <c r="I286">
        <v>2.0099999999999998</v>
      </c>
      <c r="L286" s="6" t="s">
        <v>619</v>
      </c>
      <c r="M286" t="str" cm="1">
        <f t="array" ref="M286:O286">INDEX('Main Data'!A283:O1282,MATCH(L286,'Main Data'!A283:A1282,0),{3,7,14})</f>
        <v>Male</v>
      </c>
      <c r="N286">
        <v>126059.32</v>
      </c>
      <c r="O286">
        <v>2.0099999999999998</v>
      </c>
    </row>
    <row r="287" spans="1:15" x14ac:dyDescent="0.3">
      <c r="A287" s="6" t="s">
        <v>621</v>
      </c>
      <c r="B287" cm="1">
        <f t="array" ref="B287:C287">_xlfn.XLOOKUP(A287,'Main Data'!A284:A1283,'Main Data'!B284:C1283,"Data Not Found",0)</f>
        <v>63</v>
      </c>
      <c r="C287" t="str">
        <v>Male</v>
      </c>
      <c r="E287" s="6" t="s">
        <v>621</v>
      </c>
      <c r="F287" cm="1">
        <f t="array" ref="F287:I287">VLOOKUP(E287,CHOOSE({1,2,3,4,5},'Main Data'!A284:A1283,'Main Data'!B284:B1283,'Main Data'!C284:C1283,'Main Data'!M284:M1283,'Main Data'!N284:N1283),{2,3,4,5},0)</f>
        <v>63</v>
      </c>
      <c r="G287" t="str">
        <v>Male</v>
      </c>
      <c r="H287" t="str">
        <v>UK</v>
      </c>
      <c r="I287">
        <v>4.0999999999999996</v>
      </c>
      <c r="L287" s="6" t="s">
        <v>621</v>
      </c>
      <c r="M287" t="str" cm="1">
        <f t="array" ref="M287:O287">INDEX('Main Data'!A284:O1283,MATCH(L287,'Main Data'!A284:A1283,0),{3,7,14})</f>
        <v>Male</v>
      </c>
      <c r="N287">
        <v>76570.59</v>
      </c>
      <c r="O287">
        <v>4.0999999999999996</v>
      </c>
    </row>
    <row r="288" spans="1:15" x14ac:dyDescent="0.3">
      <c r="A288" s="6" t="s">
        <v>623</v>
      </c>
      <c r="B288" cm="1">
        <f t="array" ref="B288:C288">_xlfn.XLOOKUP(A288,'Main Data'!A285:A1284,'Main Data'!B285:C1284,"Data Not Found",0)</f>
        <v>51</v>
      </c>
      <c r="C288" t="str">
        <v>Other</v>
      </c>
      <c r="E288" s="6" t="s">
        <v>623</v>
      </c>
      <c r="F288" cm="1">
        <f t="array" ref="F288:I288">VLOOKUP(E288,CHOOSE({1,2,3,4,5},'Main Data'!A285:A1284,'Main Data'!B285:B1284,'Main Data'!C285:C1284,'Main Data'!M285:M1284,'Main Data'!N285:N1284),{2,3,4,5},0)</f>
        <v>51</v>
      </c>
      <c r="G288" t="str">
        <v>Other</v>
      </c>
      <c r="H288" t="str">
        <v>UAE</v>
      </c>
      <c r="I288">
        <v>4.8</v>
      </c>
      <c r="L288" s="6" t="s">
        <v>623</v>
      </c>
      <c r="M288" t="str" cm="1">
        <f t="array" ref="M288:O288">INDEX('Main Data'!A285:O1284,MATCH(L288,'Main Data'!A285:A1284,0),{3,7,14})</f>
        <v>Other</v>
      </c>
      <c r="N288">
        <v>149758.34</v>
      </c>
      <c r="O288">
        <v>4.8</v>
      </c>
    </row>
    <row r="289" spans="1:15" x14ac:dyDescent="0.3">
      <c r="A289" s="6" t="s">
        <v>625</v>
      </c>
      <c r="B289" cm="1">
        <f t="array" ref="B289:C289">_xlfn.XLOOKUP(A289,'Main Data'!A286:A1285,'Main Data'!B286:C1285,"Data Not Found",0)</f>
        <v>43</v>
      </c>
      <c r="C289" t="str">
        <v>Other</v>
      </c>
      <c r="E289" s="6" t="s">
        <v>625</v>
      </c>
      <c r="F289" cm="1">
        <f t="array" ref="F289:I289">VLOOKUP(E289,CHOOSE({1,2,3,4,5},'Main Data'!A286:A1285,'Main Data'!B286:B1285,'Main Data'!C286:C1285,'Main Data'!M286:M1285,'Main Data'!N286:N1285),{2,3,4,5},0)</f>
        <v>43</v>
      </c>
      <c r="G289" t="str">
        <v>Other</v>
      </c>
      <c r="H289" t="str">
        <v>Japan</v>
      </c>
      <c r="I289">
        <v>1.3</v>
      </c>
      <c r="L289" s="6" t="s">
        <v>625</v>
      </c>
      <c r="M289" t="str" cm="1">
        <f t="array" ref="M289:O289">INDEX('Main Data'!A286:O1285,MATCH(L289,'Main Data'!A286:A1285,0),{3,7,14})</f>
        <v>Other</v>
      </c>
      <c r="N289">
        <v>108352.06</v>
      </c>
      <c r="O289">
        <v>1.3</v>
      </c>
    </row>
    <row r="290" spans="1:15" x14ac:dyDescent="0.3">
      <c r="A290" s="6" t="s">
        <v>627</v>
      </c>
      <c r="B290" cm="1">
        <f t="array" ref="B290:C290">_xlfn.XLOOKUP(A290,'Main Data'!A287:A1286,'Main Data'!B287:C1286,"Data Not Found",0)</f>
        <v>31</v>
      </c>
      <c r="C290" t="str">
        <v>Male</v>
      </c>
      <c r="E290" s="6" t="s">
        <v>627</v>
      </c>
      <c r="F290" cm="1">
        <f t="array" ref="F290:I290">VLOOKUP(E290,CHOOSE({1,2,3,4,5},'Main Data'!A287:A1286,'Main Data'!B287:B1286,'Main Data'!C287:C1286,'Main Data'!M287:M1286,'Main Data'!N287:N1286),{2,3,4,5},0)</f>
        <v>31</v>
      </c>
      <c r="G290" t="str">
        <v>Male</v>
      </c>
      <c r="H290" t="str">
        <v>USA</v>
      </c>
      <c r="I290">
        <v>4.5999999999999996</v>
      </c>
      <c r="L290" s="6" t="s">
        <v>627</v>
      </c>
      <c r="M290" t="str" cm="1">
        <f t="array" ref="M290:O290">INDEX('Main Data'!A287:O1286,MATCH(L290,'Main Data'!A287:A1286,0),{3,7,14})</f>
        <v>Male</v>
      </c>
      <c r="N290">
        <v>57802.47</v>
      </c>
      <c r="O290">
        <v>4.5999999999999996</v>
      </c>
    </row>
    <row r="291" spans="1:15" x14ac:dyDescent="0.3">
      <c r="A291" s="6" t="s">
        <v>629</v>
      </c>
      <c r="B291" cm="1">
        <f t="array" ref="B291:C291">_xlfn.XLOOKUP(A291,'Main Data'!A288:A1287,'Main Data'!B288:C1287,"Data Not Found",0)</f>
        <v>47</v>
      </c>
      <c r="C291" t="str">
        <v>Female</v>
      </c>
      <c r="E291" s="6" t="s">
        <v>629</v>
      </c>
      <c r="F291" cm="1">
        <f t="array" ref="F291:I291">VLOOKUP(E291,CHOOSE({1,2,3,4,5},'Main Data'!A288:A1287,'Main Data'!B288:B1287,'Main Data'!C288:C1287,'Main Data'!M288:M1287,'Main Data'!N288:N1287),{2,3,4,5},0)</f>
        <v>47</v>
      </c>
      <c r="G291" t="str">
        <v>Female</v>
      </c>
      <c r="H291" t="str">
        <v>France</v>
      </c>
      <c r="I291">
        <v>4.4400000000000004</v>
      </c>
      <c r="L291" s="6" t="s">
        <v>629</v>
      </c>
      <c r="M291" t="str" cm="1">
        <f t="array" ref="M291:O291">INDEX('Main Data'!A288:O1287,MATCH(L291,'Main Data'!A288:A1287,0),{3,7,14})</f>
        <v>Female</v>
      </c>
      <c r="N291">
        <v>97920.11</v>
      </c>
      <c r="O291">
        <v>4.4400000000000004</v>
      </c>
    </row>
    <row r="292" spans="1:15" x14ac:dyDescent="0.3">
      <c r="A292" s="6" t="s">
        <v>631</v>
      </c>
      <c r="B292" cm="1">
        <f t="array" ref="B292:C292">_xlfn.XLOOKUP(A292,'Main Data'!A289:A1288,'Main Data'!B289:C1288,"Data Not Found",0)</f>
        <v>54</v>
      </c>
      <c r="C292" t="str">
        <v>Male</v>
      </c>
      <c r="E292" s="6" t="s">
        <v>631</v>
      </c>
      <c r="F292" cm="1">
        <f t="array" ref="F292:I292">VLOOKUP(E292,CHOOSE({1,2,3,4,5},'Main Data'!A289:A1288,'Main Data'!B289:B1288,'Main Data'!C289:C1288,'Main Data'!M289:M1288,'Main Data'!N289:N1288),{2,3,4,5},0)</f>
        <v>54</v>
      </c>
      <c r="G292" t="str">
        <v>Male</v>
      </c>
      <c r="H292" t="str">
        <v>UK</v>
      </c>
      <c r="I292">
        <v>2.56</v>
      </c>
      <c r="L292" s="6" t="s">
        <v>631</v>
      </c>
      <c r="M292" t="str" cm="1">
        <f t="array" ref="M292:O292">INDEX('Main Data'!A289:O1288,MATCH(L292,'Main Data'!A289:A1288,0),{3,7,14})</f>
        <v>Male</v>
      </c>
      <c r="N292">
        <v>177253.69</v>
      </c>
      <c r="O292">
        <v>2.56</v>
      </c>
    </row>
    <row r="293" spans="1:15" x14ac:dyDescent="0.3">
      <c r="A293" s="6" t="s">
        <v>633</v>
      </c>
      <c r="B293" cm="1">
        <f t="array" ref="B293:C293">_xlfn.XLOOKUP(A293,'Main Data'!A290:A1289,'Main Data'!B290:C1289,"Data Not Found",0)</f>
        <v>49</v>
      </c>
      <c r="C293" t="str">
        <v>Other</v>
      </c>
      <c r="E293" s="6" t="s">
        <v>633</v>
      </c>
      <c r="F293" cm="1">
        <f t="array" ref="F293:I293">VLOOKUP(E293,CHOOSE({1,2,3,4,5},'Main Data'!A290:A1289,'Main Data'!B290:B1289,'Main Data'!C290:C1289,'Main Data'!M290:M1289,'Main Data'!N290:N1289),{2,3,4,5},0)</f>
        <v>49</v>
      </c>
      <c r="G293" t="str">
        <v>Other</v>
      </c>
      <c r="H293" t="str">
        <v>UAE</v>
      </c>
      <c r="I293">
        <v>2.6</v>
      </c>
      <c r="L293" s="6" t="s">
        <v>633</v>
      </c>
      <c r="M293" t="str" cm="1">
        <f t="array" ref="M293:O293">INDEX('Main Data'!A290:O1289,MATCH(L293,'Main Data'!A290:A1289,0),{3,7,14})</f>
        <v>Other</v>
      </c>
      <c r="N293">
        <v>122504.48</v>
      </c>
      <c r="O293">
        <v>2.6</v>
      </c>
    </row>
    <row r="294" spans="1:15" x14ac:dyDescent="0.3">
      <c r="A294" s="6" t="s">
        <v>635</v>
      </c>
      <c r="B294" cm="1">
        <f t="array" ref="B294:C294">_xlfn.XLOOKUP(A294,'Main Data'!A291:A1290,'Main Data'!B291:C1290,"Data Not Found",0)</f>
        <v>31</v>
      </c>
      <c r="C294" t="str">
        <v>Other</v>
      </c>
      <c r="E294" s="6" t="s">
        <v>635</v>
      </c>
      <c r="F294" cm="1">
        <f t="array" ref="F294:I294">VLOOKUP(E294,CHOOSE({1,2,3,4,5},'Main Data'!A291:A1290,'Main Data'!B291:B1290,'Main Data'!C291:C1290,'Main Data'!M291:M1290,'Main Data'!N291:N1290),{2,3,4,5},0)</f>
        <v>31</v>
      </c>
      <c r="G294" t="str">
        <v>Other</v>
      </c>
      <c r="H294" t="str">
        <v>Japan</v>
      </c>
      <c r="I294">
        <v>3.41</v>
      </c>
      <c r="L294" s="6" t="s">
        <v>635</v>
      </c>
      <c r="M294" t="str" cm="1">
        <f t="array" ref="M294:O294">INDEX('Main Data'!A291:O1290,MATCH(L294,'Main Data'!A291:A1290,0),{3,7,14})</f>
        <v>Other</v>
      </c>
      <c r="N294">
        <v>111005.18</v>
      </c>
      <c r="O294">
        <v>3.41</v>
      </c>
    </row>
    <row r="295" spans="1:15" x14ac:dyDescent="0.3">
      <c r="A295" s="6" t="s">
        <v>637</v>
      </c>
      <c r="B295" cm="1">
        <f t="array" ref="B295:C295">_xlfn.XLOOKUP(A295,'Main Data'!A292:A1291,'Main Data'!B292:C1291,"Data Not Found",0)</f>
        <v>50</v>
      </c>
      <c r="C295" t="str">
        <v>Male</v>
      </c>
      <c r="E295" s="6" t="s">
        <v>637</v>
      </c>
      <c r="F295" cm="1">
        <f t="array" ref="F295:I295">VLOOKUP(E295,CHOOSE({1,2,3,4,5},'Main Data'!A292:A1291,'Main Data'!B292:B1291,'Main Data'!C292:C1291,'Main Data'!M292:M1291,'Main Data'!N292:N1291),{2,3,4,5},0)</f>
        <v>50</v>
      </c>
      <c r="G295" t="str">
        <v>Male</v>
      </c>
      <c r="H295" t="str">
        <v>USA</v>
      </c>
      <c r="I295">
        <v>3.94</v>
      </c>
      <c r="L295" s="6" t="s">
        <v>637</v>
      </c>
      <c r="M295" t="str" cm="1">
        <f t="array" ref="M295:O295">INDEX('Main Data'!A292:O1291,MATCH(L295,'Main Data'!A292:A1291,0),{3,7,14})</f>
        <v>Male</v>
      </c>
      <c r="N295">
        <v>186870.01</v>
      </c>
      <c r="O295">
        <v>3.94</v>
      </c>
    </row>
    <row r="296" spans="1:15" x14ac:dyDescent="0.3">
      <c r="A296" s="6" t="s">
        <v>639</v>
      </c>
      <c r="B296" cm="1">
        <f t="array" ref="B296:C296">_xlfn.XLOOKUP(A296,'Main Data'!A293:A1292,'Main Data'!B293:C1292,"Data Not Found",0)</f>
        <v>39</v>
      </c>
      <c r="C296" t="str">
        <v>Female</v>
      </c>
      <c r="E296" s="6" t="s">
        <v>639</v>
      </c>
      <c r="F296" cm="1">
        <f t="array" ref="F296:I296">VLOOKUP(E296,CHOOSE({1,2,3,4,5},'Main Data'!A293:A1292,'Main Data'!B293:B1292,'Main Data'!C293:C1292,'Main Data'!M293:M1292,'Main Data'!N293:N1292),{2,3,4,5},0)</f>
        <v>39</v>
      </c>
      <c r="G296" t="str">
        <v>Female</v>
      </c>
      <c r="H296" t="str">
        <v>France</v>
      </c>
      <c r="I296">
        <v>1.92</v>
      </c>
      <c r="L296" s="6" t="s">
        <v>639</v>
      </c>
      <c r="M296" t="str" cm="1">
        <f t="array" ref="M296:O296">INDEX('Main Data'!A293:O1292,MATCH(L296,'Main Data'!A293:A1292,0),{3,7,14})</f>
        <v>Female</v>
      </c>
      <c r="N296">
        <v>144259.57</v>
      </c>
      <c r="O296">
        <v>1.92</v>
      </c>
    </row>
    <row r="297" spans="1:15" x14ac:dyDescent="0.3">
      <c r="A297" s="6" t="s">
        <v>641</v>
      </c>
      <c r="B297" cm="1">
        <f t="array" ref="B297:C297">_xlfn.XLOOKUP(A297,'Main Data'!A294:A1293,'Main Data'!B294:C1293,"Data Not Found",0)</f>
        <v>63</v>
      </c>
      <c r="C297" t="str">
        <v>Female</v>
      </c>
      <c r="E297" s="6" t="s">
        <v>641</v>
      </c>
      <c r="F297" cm="1">
        <f t="array" ref="F297:I297">VLOOKUP(E297,CHOOSE({1,2,3,4,5},'Main Data'!A294:A1293,'Main Data'!B294:B1293,'Main Data'!C294:C1293,'Main Data'!M294:M1293,'Main Data'!N294:N1293),{2,3,4,5},0)</f>
        <v>63</v>
      </c>
      <c r="G297" t="str">
        <v>Female</v>
      </c>
      <c r="H297" t="str">
        <v>UK</v>
      </c>
      <c r="I297">
        <v>2.0499999999999998</v>
      </c>
      <c r="L297" s="6" t="s">
        <v>641</v>
      </c>
      <c r="M297" t="str" cm="1">
        <f t="array" ref="M297:O297">INDEX('Main Data'!A294:O1293,MATCH(L297,'Main Data'!A294:A1293,0),{3,7,14})</f>
        <v>Female</v>
      </c>
      <c r="N297">
        <v>102472.05</v>
      </c>
      <c r="O297">
        <v>2.0499999999999998</v>
      </c>
    </row>
    <row r="298" spans="1:15" x14ac:dyDescent="0.3">
      <c r="A298" s="6" t="s">
        <v>643</v>
      </c>
      <c r="B298" cm="1">
        <f t="array" ref="B298:C298">_xlfn.XLOOKUP(A298,'Main Data'!A295:A1294,'Main Data'!B295:C1294,"Data Not Found",0)</f>
        <v>22</v>
      </c>
      <c r="C298" t="str">
        <v>Other</v>
      </c>
      <c r="E298" s="6" t="s">
        <v>643</v>
      </c>
      <c r="F298" cm="1">
        <f t="array" ref="F298:I298">VLOOKUP(E298,CHOOSE({1,2,3,4,5},'Main Data'!A295:A1294,'Main Data'!B295:B1294,'Main Data'!C295:C1294,'Main Data'!M295:M1294,'Main Data'!N295:N1294),{2,3,4,5},0)</f>
        <v>22</v>
      </c>
      <c r="G298" t="str">
        <v>Other</v>
      </c>
      <c r="H298" t="str">
        <v>UAE</v>
      </c>
      <c r="I298">
        <v>3.59</v>
      </c>
      <c r="L298" s="6" t="s">
        <v>643</v>
      </c>
      <c r="M298" t="str" cm="1">
        <f t="array" ref="M298:O298">INDEX('Main Data'!A295:O1294,MATCH(L298,'Main Data'!A295:A1294,0),{3,7,14})</f>
        <v>Other</v>
      </c>
      <c r="N298">
        <v>133219.37</v>
      </c>
      <c r="O298">
        <v>3.59</v>
      </c>
    </row>
    <row r="299" spans="1:15" x14ac:dyDescent="0.3">
      <c r="A299" s="6" t="s">
        <v>645</v>
      </c>
      <c r="B299" cm="1">
        <f t="array" ref="B299:C299">_xlfn.XLOOKUP(A299,'Main Data'!A296:A1295,'Main Data'!B296:C1295,"Data Not Found",0)</f>
        <v>44</v>
      </c>
      <c r="C299" t="str">
        <v>Other</v>
      </c>
      <c r="E299" s="6" t="s">
        <v>645</v>
      </c>
      <c r="F299" cm="1">
        <f t="array" ref="F299:I299">VLOOKUP(E299,CHOOSE({1,2,3,4,5},'Main Data'!A296:A1295,'Main Data'!B296:B1295,'Main Data'!C296:C1295,'Main Data'!M296:M1295,'Main Data'!N296:N1295),{2,3,4,5},0)</f>
        <v>44</v>
      </c>
      <c r="G299" t="str">
        <v>Other</v>
      </c>
      <c r="H299" t="str">
        <v>Japan</v>
      </c>
      <c r="I299">
        <v>3.49</v>
      </c>
      <c r="L299" s="6" t="s">
        <v>645</v>
      </c>
      <c r="M299" t="str" cm="1">
        <f t="array" ref="M299:O299">INDEX('Main Data'!A296:O1295,MATCH(L299,'Main Data'!A296:A1295,0),{3,7,14})</f>
        <v>Other</v>
      </c>
      <c r="N299">
        <v>113566.08</v>
      </c>
      <c r="O299">
        <v>3.49</v>
      </c>
    </row>
    <row r="300" spans="1:15" x14ac:dyDescent="0.3">
      <c r="A300" s="6" t="s">
        <v>647</v>
      </c>
      <c r="B300" cm="1">
        <f t="array" ref="B300:C300">_xlfn.XLOOKUP(A300,'Main Data'!A297:A1296,'Main Data'!B297:C1296,"Data Not Found",0)</f>
        <v>38</v>
      </c>
      <c r="C300" t="str">
        <v>Other</v>
      </c>
      <c r="E300" s="6" t="s">
        <v>647</v>
      </c>
      <c r="F300" cm="1">
        <f t="array" ref="F300:I300">VLOOKUP(E300,CHOOSE({1,2,3,4,5},'Main Data'!A297:A1296,'Main Data'!B297:B1296,'Main Data'!C297:C1296,'Main Data'!M297:M1296,'Main Data'!N297:N1296),{2,3,4,5},0)</f>
        <v>38</v>
      </c>
      <c r="G300" t="str">
        <v>Other</v>
      </c>
      <c r="H300" t="str">
        <v>USA</v>
      </c>
      <c r="I300">
        <v>2.77</v>
      </c>
      <c r="L300" s="6" t="s">
        <v>647</v>
      </c>
      <c r="M300" t="str" cm="1">
        <f t="array" ref="M300:O300">INDEX('Main Data'!A297:O1296,MATCH(L300,'Main Data'!A297:A1296,0),{3,7,14})</f>
        <v>Other</v>
      </c>
      <c r="N300">
        <v>98288.22</v>
      </c>
      <c r="O300">
        <v>2.77</v>
      </c>
    </row>
    <row r="301" spans="1:15" x14ac:dyDescent="0.3">
      <c r="A301" s="6" t="s">
        <v>649</v>
      </c>
      <c r="B301" cm="1">
        <f t="array" ref="B301:C301">_xlfn.XLOOKUP(A301,'Main Data'!A298:A1297,'Main Data'!B298:C1297,"Data Not Found",0)</f>
        <v>64</v>
      </c>
      <c r="C301" t="str">
        <v>Male</v>
      </c>
      <c r="E301" s="6" t="s">
        <v>649</v>
      </c>
      <c r="F301" cm="1">
        <f t="array" ref="F301:I301">VLOOKUP(E301,CHOOSE({1,2,3,4,5},'Main Data'!A298:A1297,'Main Data'!B298:B1297,'Main Data'!C298:C1297,'Main Data'!M298:M1297,'Main Data'!N298:N1297),{2,3,4,5},0)</f>
        <v>64</v>
      </c>
      <c r="G301" t="str">
        <v>Male</v>
      </c>
      <c r="H301" t="str">
        <v>France</v>
      </c>
      <c r="I301">
        <v>3.9</v>
      </c>
      <c r="L301" s="6" t="s">
        <v>649</v>
      </c>
      <c r="M301" t="str" cm="1">
        <f t="array" ref="M301:O301">INDEX('Main Data'!A298:O1297,MATCH(L301,'Main Data'!A298:A1297,0),{3,7,14})</f>
        <v>Male</v>
      </c>
      <c r="N301">
        <v>140831.62</v>
      </c>
      <c r="O301">
        <v>3.9</v>
      </c>
    </row>
    <row r="302" spans="1:15" x14ac:dyDescent="0.3">
      <c r="A302" s="6" t="s">
        <v>651</v>
      </c>
      <c r="B302" cm="1">
        <f t="array" ref="B302:C302">_xlfn.XLOOKUP(A302,'Main Data'!A299:A1298,'Main Data'!B299:C1298,"Data Not Found",0)</f>
        <v>58</v>
      </c>
      <c r="C302" t="str">
        <v>Other</v>
      </c>
      <c r="E302" s="6" t="s">
        <v>651</v>
      </c>
      <c r="F302" cm="1">
        <f t="array" ref="F302:I302">VLOOKUP(E302,CHOOSE({1,2,3,4,5},'Main Data'!A299:A1298,'Main Data'!B299:B1298,'Main Data'!C299:C1298,'Main Data'!M299:M1298,'Main Data'!N299:N1298),{2,3,4,5},0)</f>
        <v>58</v>
      </c>
      <c r="G302" t="str">
        <v>Other</v>
      </c>
      <c r="H302" t="str">
        <v>UK</v>
      </c>
      <c r="I302">
        <v>1.68</v>
      </c>
      <c r="L302" s="6" t="s">
        <v>651</v>
      </c>
      <c r="M302" t="str" cm="1">
        <f t="array" ref="M302:O302">INDEX('Main Data'!A299:O1298,MATCH(L302,'Main Data'!A299:A1298,0),{3,7,14})</f>
        <v>Other</v>
      </c>
      <c r="N302">
        <v>197069.33</v>
      </c>
      <c r="O302">
        <v>1.68</v>
      </c>
    </row>
    <row r="303" spans="1:15" x14ac:dyDescent="0.3">
      <c r="A303" s="6" t="s">
        <v>653</v>
      </c>
      <c r="B303" cm="1">
        <f t="array" ref="B303:C303">_xlfn.XLOOKUP(A303,'Main Data'!A300:A1299,'Main Data'!B300:C1299,"Data Not Found",0)</f>
        <v>52</v>
      </c>
      <c r="C303" t="str">
        <v>Other</v>
      </c>
      <c r="E303" s="6" t="s">
        <v>653</v>
      </c>
      <c r="F303" cm="1">
        <f t="array" ref="F303:I303">VLOOKUP(E303,CHOOSE({1,2,3,4,5},'Main Data'!A300:A1299,'Main Data'!B300:B1299,'Main Data'!C300:C1299,'Main Data'!M300:M1299,'Main Data'!N300:N1299),{2,3,4,5},0)</f>
        <v>52</v>
      </c>
      <c r="G303" t="str">
        <v>Other</v>
      </c>
      <c r="H303" t="str">
        <v>UAE</v>
      </c>
      <c r="I303">
        <v>4.7</v>
      </c>
      <c r="L303" s="6" t="s">
        <v>653</v>
      </c>
      <c r="M303" t="str" cm="1">
        <f t="array" ref="M303:O303">INDEX('Main Data'!A300:O1299,MATCH(L303,'Main Data'!A300:A1299,0),{3,7,14})</f>
        <v>Other</v>
      </c>
      <c r="N303">
        <v>107681.22</v>
      </c>
      <c r="O303">
        <v>4.7</v>
      </c>
    </row>
    <row r="304" spans="1:15" x14ac:dyDescent="0.3">
      <c r="A304" s="6" t="s">
        <v>655</v>
      </c>
      <c r="B304" cm="1">
        <f t="array" ref="B304:C304">_xlfn.XLOOKUP(A304,'Main Data'!A301:A1300,'Main Data'!B301:C1300,"Data Not Found",0)</f>
        <v>46</v>
      </c>
      <c r="C304" t="str">
        <v>Other</v>
      </c>
      <c r="E304" s="6" t="s">
        <v>655</v>
      </c>
      <c r="F304" cm="1">
        <f t="array" ref="F304:I304">VLOOKUP(E304,CHOOSE({1,2,3,4,5},'Main Data'!A301:A1300,'Main Data'!B301:B1300,'Main Data'!C301:C1300,'Main Data'!M301:M1300,'Main Data'!N301:N1300),{2,3,4,5},0)</f>
        <v>46</v>
      </c>
      <c r="G304" t="str">
        <v>Other</v>
      </c>
      <c r="H304" t="str">
        <v>Japan</v>
      </c>
      <c r="I304">
        <v>3.62</v>
      </c>
      <c r="L304" s="6" t="s">
        <v>655</v>
      </c>
      <c r="M304" t="str" cm="1">
        <f t="array" ref="M304:O304">INDEX('Main Data'!A301:O1300,MATCH(L304,'Main Data'!A301:A1300,0),{3,7,14})</f>
        <v>Other</v>
      </c>
      <c r="N304">
        <v>57746.52</v>
      </c>
      <c r="O304">
        <v>3.62</v>
      </c>
    </row>
    <row r="305" spans="1:15" x14ac:dyDescent="0.3">
      <c r="A305" s="6" t="s">
        <v>657</v>
      </c>
      <c r="B305" cm="1">
        <f t="array" ref="B305:C305">_xlfn.XLOOKUP(A305,'Main Data'!A302:A1301,'Main Data'!B302:C1301,"Data Not Found",0)</f>
        <v>25</v>
      </c>
      <c r="C305" t="str">
        <v>Female</v>
      </c>
      <c r="E305" s="6" t="s">
        <v>657</v>
      </c>
      <c r="F305" cm="1">
        <f t="array" ref="F305:I305">VLOOKUP(E305,CHOOSE({1,2,3,4,5},'Main Data'!A302:A1301,'Main Data'!B302:B1301,'Main Data'!C302:C1301,'Main Data'!M302:M1301,'Main Data'!N302:N1301),{2,3,4,5},0)</f>
        <v>25</v>
      </c>
      <c r="G305" t="str">
        <v>Female</v>
      </c>
      <c r="H305" t="str">
        <v>USA</v>
      </c>
      <c r="I305">
        <v>1.88</v>
      </c>
      <c r="L305" s="6" t="s">
        <v>657</v>
      </c>
      <c r="M305" t="str" cm="1">
        <f t="array" ref="M305:O305">INDEX('Main Data'!A302:O1301,MATCH(L305,'Main Data'!A302:A1301,0),{3,7,14})</f>
        <v>Female</v>
      </c>
      <c r="N305">
        <v>103918.72</v>
      </c>
      <c r="O305">
        <v>1.88</v>
      </c>
    </row>
    <row r="306" spans="1:15" x14ac:dyDescent="0.3">
      <c r="A306" s="6" t="s">
        <v>659</v>
      </c>
      <c r="B306" cm="1">
        <f t="array" ref="B306:C306">_xlfn.XLOOKUP(A306,'Main Data'!A303:A1302,'Main Data'!B303:C1302,"Data Not Found",0)</f>
        <v>30</v>
      </c>
      <c r="C306" t="str">
        <v>Female</v>
      </c>
      <c r="E306" s="6" t="s">
        <v>659</v>
      </c>
      <c r="F306" cm="1">
        <f t="array" ref="F306:I306">VLOOKUP(E306,CHOOSE({1,2,3,4,5},'Main Data'!A303:A1302,'Main Data'!B303:B1302,'Main Data'!C303:C1302,'Main Data'!M303:M1302,'Main Data'!N303:N1302),{2,3,4,5},0)</f>
        <v>30</v>
      </c>
      <c r="G306" t="str">
        <v>Female</v>
      </c>
      <c r="H306" t="str">
        <v>France</v>
      </c>
      <c r="I306">
        <v>4.41</v>
      </c>
      <c r="L306" s="6" t="s">
        <v>659</v>
      </c>
      <c r="M306" t="str" cm="1">
        <f t="array" ref="M306:O306">INDEX('Main Data'!A303:O1302,MATCH(L306,'Main Data'!A303:A1302,0),{3,7,14})</f>
        <v>Female</v>
      </c>
      <c r="N306">
        <v>83447.59</v>
      </c>
      <c r="O306">
        <v>4.41</v>
      </c>
    </row>
    <row r="307" spans="1:15" x14ac:dyDescent="0.3">
      <c r="A307" s="6" t="s">
        <v>661</v>
      </c>
      <c r="B307" cm="1">
        <f t="array" ref="B307:C307">_xlfn.XLOOKUP(A307,'Main Data'!A304:A1303,'Main Data'!B304:C1303,"Data Not Found",0)</f>
        <v>49</v>
      </c>
      <c r="C307" t="str">
        <v>Other</v>
      </c>
      <c r="E307" s="6" t="s">
        <v>661</v>
      </c>
      <c r="F307" cm="1">
        <f t="array" ref="F307:I307">VLOOKUP(E307,CHOOSE({1,2,3,4,5},'Main Data'!A304:A1303,'Main Data'!B304:B1303,'Main Data'!C304:C1303,'Main Data'!M304:M1303,'Main Data'!N304:N1303),{2,3,4,5},0)</f>
        <v>49</v>
      </c>
      <c r="G307" t="str">
        <v>Other</v>
      </c>
      <c r="H307" t="str">
        <v>UK</v>
      </c>
      <c r="I307">
        <v>1.89</v>
      </c>
      <c r="L307" s="6" t="s">
        <v>661</v>
      </c>
      <c r="M307" t="str" cm="1">
        <f t="array" ref="M307:O307">INDEX('Main Data'!A304:O1303,MATCH(L307,'Main Data'!A304:A1303,0),{3,7,14})</f>
        <v>Other</v>
      </c>
      <c r="N307">
        <v>101062.39999999999</v>
      </c>
      <c r="O307">
        <v>1.89</v>
      </c>
    </row>
    <row r="308" spans="1:15" x14ac:dyDescent="0.3">
      <c r="A308" s="6" t="s">
        <v>663</v>
      </c>
      <c r="B308" cm="1">
        <f t="array" ref="B308:C308">_xlfn.XLOOKUP(A308,'Main Data'!A305:A1304,'Main Data'!B305:C1304,"Data Not Found",0)</f>
        <v>51</v>
      </c>
      <c r="C308" t="str">
        <v>Female</v>
      </c>
      <c r="E308" s="6" t="s">
        <v>663</v>
      </c>
      <c r="F308" cm="1">
        <f t="array" ref="F308:I308">VLOOKUP(E308,CHOOSE({1,2,3,4,5},'Main Data'!A305:A1304,'Main Data'!B305:B1304,'Main Data'!C305:C1304,'Main Data'!M305:M1304,'Main Data'!N305:N1304),{2,3,4,5},0)</f>
        <v>51</v>
      </c>
      <c r="G308" t="str">
        <v>Female</v>
      </c>
      <c r="H308" t="str">
        <v>UAE</v>
      </c>
      <c r="I308">
        <v>4.21</v>
      </c>
      <c r="L308" s="6" t="s">
        <v>663</v>
      </c>
      <c r="M308" t="str" cm="1">
        <f t="array" ref="M308:O308">INDEX('Main Data'!A305:O1304,MATCH(L308,'Main Data'!A305:A1304,0),{3,7,14})</f>
        <v>Female</v>
      </c>
      <c r="N308">
        <v>126103.43</v>
      </c>
      <c r="O308">
        <v>4.21</v>
      </c>
    </row>
    <row r="309" spans="1:15" x14ac:dyDescent="0.3">
      <c r="A309" s="6" t="s">
        <v>665</v>
      </c>
      <c r="B309" cm="1">
        <f t="array" ref="B309:C309">_xlfn.XLOOKUP(A309,'Main Data'!A306:A1305,'Main Data'!B306:C1305,"Data Not Found",0)</f>
        <v>45</v>
      </c>
      <c r="C309" t="str">
        <v>Female</v>
      </c>
      <c r="E309" s="6" t="s">
        <v>665</v>
      </c>
      <c r="F309" cm="1">
        <f t="array" ref="F309:I309">VLOOKUP(E309,CHOOSE({1,2,3,4,5},'Main Data'!A306:A1305,'Main Data'!B306:B1305,'Main Data'!C306:C1305,'Main Data'!M306:M1305,'Main Data'!N306:N1305),{2,3,4,5},0)</f>
        <v>45</v>
      </c>
      <c r="G309" t="str">
        <v>Female</v>
      </c>
      <c r="H309" t="str">
        <v>Japan</v>
      </c>
      <c r="I309">
        <v>4.5</v>
      </c>
      <c r="L309" s="6" t="s">
        <v>665</v>
      </c>
      <c r="M309" t="str" cm="1">
        <f t="array" ref="M309:O309">INDEX('Main Data'!A306:O1305,MATCH(L309,'Main Data'!A306:A1305,0),{3,7,14})</f>
        <v>Female</v>
      </c>
      <c r="N309">
        <v>60969.99</v>
      </c>
      <c r="O309">
        <v>4.5</v>
      </c>
    </row>
    <row r="310" spans="1:15" x14ac:dyDescent="0.3">
      <c r="A310" s="6" t="s">
        <v>667</v>
      </c>
      <c r="B310" cm="1">
        <f t="array" ref="B310:C310">_xlfn.XLOOKUP(A310,'Main Data'!A307:A1306,'Main Data'!B307:C1306,"Data Not Found",0)</f>
        <v>54</v>
      </c>
      <c r="C310" t="str">
        <v>Female</v>
      </c>
      <c r="E310" s="6" t="s">
        <v>667</v>
      </c>
      <c r="F310" cm="1">
        <f t="array" ref="F310:I310">VLOOKUP(E310,CHOOSE({1,2,3,4,5},'Main Data'!A307:A1306,'Main Data'!B307:B1306,'Main Data'!C307:C1306,'Main Data'!M307:M1306,'Main Data'!N307:N1306),{2,3,4,5},0)</f>
        <v>54</v>
      </c>
      <c r="G310" t="str">
        <v>Female</v>
      </c>
      <c r="H310" t="str">
        <v>USA</v>
      </c>
      <c r="I310">
        <v>1.59</v>
      </c>
      <c r="L310" s="6" t="s">
        <v>667</v>
      </c>
      <c r="M310" t="str" cm="1">
        <f t="array" ref="M310:O310">INDEX('Main Data'!A307:O1306,MATCH(L310,'Main Data'!A307:A1306,0),{3,7,14})</f>
        <v>Female</v>
      </c>
      <c r="N310">
        <v>63775.95</v>
      </c>
      <c r="O310">
        <v>1.59</v>
      </c>
    </row>
    <row r="311" spans="1:15" x14ac:dyDescent="0.3">
      <c r="A311" s="6" t="s">
        <v>669</v>
      </c>
      <c r="B311" cm="1">
        <f t="array" ref="B311:C311">_xlfn.XLOOKUP(A311,'Main Data'!A308:A1307,'Main Data'!B308:C1307,"Data Not Found",0)</f>
        <v>41</v>
      </c>
      <c r="C311" t="str">
        <v>Female</v>
      </c>
      <c r="E311" s="6" t="s">
        <v>669</v>
      </c>
      <c r="F311" cm="1">
        <f t="array" ref="F311:I311">VLOOKUP(E311,CHOOSE({1,2,3,4,5},'Main Data'!A308:A1307,'Main Data'!B308:B1307,'Main Data'!C308:C1307,'Main Data'!M308:M1307,'Main Data'!N308:N1307),{2,3,4,5},0)</f>
        <v>41</v>
      </c>
      <c r="G311" t="str">
        <v>Female</v>
      </c>
      <c r="H311" t="str">
        <v>France</v>
      </c>
      <c r="I311">
        <v>1.71</v>
      </c>
      <c r="L311" s="6" t="s">
        <v>669</v>
      </c>
      <c r="M311" t="str" cm="1">
        <f t="array" ref="M311:O311">INDEX('Main Data'!A308:O1307,MATCH(L311,'Main Data'!A308:A1307,0),{3,7,14})</f>
        <v>Female</v>
      </c>
      <c r="N311">
        <v>134329.53</v>
      </c>
      <c r="O311">
        <v>1.71</v>
      </c>
    </row>
    <row r="312" spans="1:15" x14ac:dyDescent="0.3">
      <c r="A312" s="6" t="s">
        <v>671</v>
      </c>
      <c r="B312" cm="1">
        <f t="array" ref="B312:C312">_xlfn.XLOOKUP(A312,'Main Data'!A309:A1308,'Main Data'!B309:C1308,"Data Not Found",0)</f>
        <v>30</v>
      </c>
      <c r="C312" t="str">
        <v>Male</v>
      </c>
      <c r="E312" s="6" t="s">
        <v>671</v>
      </c>
      <c r="F312" cm="1">
        <f t="array" ref="F312:I312">VLOOKUP(E312,CHOOSE({1,2,3,4,5},'Main Data'!A309:A1308,'Main Data'!B309:B1308,'Main Data'!C309:C1308,'Main Data'!M309:M1308,'Main Data'!N309:N1308),{2,3,4,5},0)</f>
        <v>30</v>
      </c>
      <c r="G312" t="str">
        <v>Male</v>
      </c>
      <c r="H312" t="str">
        <v>UK</v>
      </c>
      <c r="I312">
        <v>3.07</v>
      </c>
      <c r="L312" s="6" t="s">
        <v>671</v>
      </c>
      <c r="M312" t="str" cm="1">
        <f t="array" ref="M312:O312">INDEX('Main Data'!A309:O1308,MATCH(L312,'Main Data'!A309:A1308,0),{3,7,14})</f>
        <v>Male</v>
      </c>
      <c r="N312">
        <v>180356.76</v>
      </c>
      <c r="O312">
        <v>3.07</v>
      </c>
    </row>
    <row r="313" spans="1:15" x14ac:dyDescent="0.3">
      <c r="A313" s="6" t="s">
        <v>673</v>
      </c>
      <c r="B313" cm="1">
        <f t="array" ref="B313:C313">_xlfn.XLOOKUP(A313,'Main Data'!A310:A1309,'Main Data'!B310:C1309,"Data Not Found",0)</f>
        <v>29</v>
      </c>
      <c r="C313" t="str">
        <v>Female</v>
      </c>
      <c r="E313" s="6" t="s">
        <v>673</v>
      </c>
      <c r="F313" cm="1">
        <f t="array" ref="F313:I313">VLOOKUP(E313,CHOOSE({1,2,3,4,5},'Main Data'!A310:A1309,'Main Data'!B310:B1309,'Main Data'!C310:C1309,'Main Data'!M310:M1309,'Main Data'!N310:N1309),{2,3,4,5},0)</f>
        <v>29</v>
      </c>
      <c r="G313" t="str">
        <v>Female</v>
      </c>
      <c r="H313" t="str">
        <v>UAE</v>
      </c>
      <c r="I313">
        <v>4.74</v>
      </c>
      <c r="L313" s="6" t="s">
        <v>673</v>
      </c>
      <c r="M313" t="str" cm="1">
        <f t="array" ref="M313:O313">INDEX('Main Data'!A310:O1309,MATCH(L313,'Main Data'!A310:A1309,0),{3,7,14})</f>
        <v>Female</v>
      </c>
      <c r="N313">
        <v>119810.78</v>
      </c>
      <c r="O313">
        <v>4.74</v>
      </c>
    </row>
    <row r="314" spans="1:15" x14ac:dyDescent="0.3">
      <c r="A314" s="6" t="s">
        <v>675</v>
      </c>
      <c r="B314" cm="1">
        <f t="array" ref="B314:C314">_xlfn.XLOOKUP(A314,'Main Data'!A311:A1310,'Main Data'!B311:C1310,"Data Not Found",0)</f>
        <v>45</v>
      </c>
      <c r="C314" t="str">
        <v>Female</v>
      </c>
      <c r="E314" s="6" t="s">
        <v>675</v>
      </c>
      <c r="F314" cm="1">
        <f t="array" ref="F314:I314">VLOOKUP(E314,CHOOSE({1,2,3,4,5},'Main Data'!A311:A1310,'Main Data'!B311:B1310,'Main Data'!C311:C1310,'Main Data'!M311:M1310,'Main Data'!N311:N1310),{2,3,4,5},0)</f>
        <v>45</v>
      </c>
      <c r="G314" t="str">
        <v>Female</v>
      </c>
      <c r="H314" t="str">
        <v>Japan</v>
      </c>
      <c r="I314">
        <v>3.3</v>
      </c>
      <c r="L314" s="6" t="s">
        <v>675</v>
      </c>
      <c r="M314" t="str" cm="1">
        <f t="array" ref="M314:O314">INDEX('Main Data'!A311:O1310,MATCH(L314,'Main Data'!A311:A1310,0),{3,7,14})</f>
        <v>Female</v>
      </c>
      <c r="N314">
        <v>77884.77</v>
      </c>
      <c r="O314">
        <v>3.3</v>
      </c>
    </row>
    <row r="315" spans="1:15" x14ac:dyDescent="0.3">
      <c r="A315" s="6" t="s">
        <v>677</v>
      </c>
      <c r="B315" cm="1">
        <f t="array" ref="B315:C315">_xlfn.XLOOKUP(A315,'Main Data'!A312:A1311,'Main Data'!B312:C1311,"Data Not Found",0)</f>
        <v>35</v>
      </c>
      <c r="C315" t="str">
        <v>Female</v>
      </c>
      <c r="E315" s="6" t="s">
        <v>677</v>
      </c>
      <c r="F315" cm="1">
        <f t="array" ref="F315:I315">VLOOKUP(E315,CHOOSE({1,2,3,4,5},'Main Data'!A312:A1311,'Main Data'!B312:B1311,'Main Data'!C312:C1311,'Main Data'!M312:M1311,'Main Data'!N312:N1311),{2,3,4,5},0)</f>
        <v>35</v>
      </c>
      <c r="G315" t="str">
        <v>Female</v>
      </c>
      <c r="H315" t="str">
        <v>USA</v>
      </c>
      <c r="I315">
        <v>3.15</v>
      </c>
      <c r="L315" s="6" t="s">
        <v>677</v>
      </c>
      <c r="M315" t="str" cm="1">
        <f t="array" ref="M315:O315">INDEX('Main Data'!A312:O1311,MATCH(L315,'Main Data'!A312:A1311,0),{3,7,14})</f>
        <v>Female</v>
      </c>
      <c r="N315">
        <v>189165.58</v>
      </c>
      <c r="O315">
        <v>3.15</v>
      </c>
    </row>
    <row r="316" spans="1:15" x14ac:dyDescent="0.3">
      <c r="A316" s="6" t="s">
        <v>679</v>
      </c>
      <c r="B316" cm="1">
        <f t="array" ref="B316:C316">_xlfn.XLOOKUP(A316,'Main Data'!A313:A1312,'Main Data'!B313:C1312,"Data Not Found",0)</f>
        <v>39</v>
      </c>
      <c r="C316" t="str">
        <v>Female</v>
      </c>
      <c r="E316" s="6" t="s">
        <v>679</v>
      </c>
      <c r="F316" cm="1">
        <f t="array" ref="F316:I316">VLOOKUP(E316,CHOOSE({1,2,3,4,5},'Main Data'!A313:A1312,'Main Data'!B313:B1312,'Main Data'!C313:C1312,'Main Data'!M313:M1312,'Main Data'!N313:N1312),{2,3,4,5},0)</f>
        <v>39</v>
      </c>
      <c r="G316" t="str">
        <v>Female</v>
      </c>
      <c r="H316" t="str">
        <v>France</v>
      </c>
      <c r="I316">
        <v>5</v>
      </c>
      <c r="L316" s="6" t="s">
        <v>679</v>
      </c>
      <c r="M316" t="str" cm="1">
        <f t="array" ref="M316:O316">INDEX('Main Data'!A313:O1312,MATCH(L316,'Main Data'!A313:A1312,0),{3,7,14})</f>
        <v>Female</v>
      </c>
      <c r="N316">
        <v>146767.25</v>
      </c>
      <c r="O316">
        <v>5</v>
      </c>
    </row>
    <row r="317" spans="1:15" x14ac:dyDescent="0.3">
      <c r="A317" s="6" t="s">
        <v>681</v>
      </c>
      <c r="B317" cm="1">
        <f t="array" ref="B317:C317">_xlfn.XLOOKUP(A317,'Main Data'!A314:A1313,'Main Data'!B314:C1313,"Data Not Found",0)</f>
        <v>22</v>
      </c>
      <c r="C317" t="str">
        <v>Male</v>
      </c>
      <c r="E317" s="6" t="s">
        <v>681</v>
      </c>
      <c r="F317" cm="1">
        <f t="array" ref="F317:I317">VLOOKUP(E317,CHOOSE({1,2,3,4,5},'Main Data'!A314:A1313,'Main Data'!B314:B1313,'Main Data'!C314:C1313,'Main Data'!M314:M1313,'Main Data'!N314:N1313),{2,3,4,5},0)</f>
        <v>22</v>
      </c>
      <c r="G317" t="str">
        <v>Male</v>
      </c>
      <c r="H317" t="str">
        <v>UK</v>
      </c>
      <c r="I317">
        <v>4.13</v>
      </c>
      <c r="L317" s="6" t="s">
        <v>681</v>
      </c>
      <c r="M317" t="str" cm="1">
        <f t="array" ref="M317:O317">INDEX('Main Data'!A314:O1313,MATCH(L317,'Main Data'!A314:A1313,0),{3,7,14})</f>
        <v>Male</v>
      </c>
      <c r="N317">
        <v>144878.19</v>
      </c>
      <c r="O317">
        <v>4.13</v>
      </c>
    </row>
    <row r="318" spans="1:15" x14ac:dyDescent="0.3">
      <c r="A318" s="6" t="s">
        <v>683</v>
      </c>
      <c r="B318" cm="1">
        <f t="array" ref="B318:C318">_xlfn.XLOOKUP(A318,'Main Data'!A315:A1314,'Main Data'!B315:C1314,"Data Not Found",0)</f>
        <v>33</v>
      </c>
      <c r="C318" t="str">
        <v>Male</v>
      </c>
      <c r="E318" s="6" t="s">
        <v>683</v>
      </c>
      <c r="F318" cm="1">
        <f t="array" ref="F318:I318">VLOOKUP(E318,CHOOSE({1,2,3,4,5},'Main Data'!A315:A1314,'Main Data'!B315:B1314,'Main Data'!C315:C1314,'Main Data'!M315:M1314,'Main Data'!N315:N1314),{2,3,4,5},0)</f>
        <v>33</v>
      </c>
      <c r="G318" t="str">
        <v>Male</v>
      </c>
      <c r="H318" t="str">
        <v>UAE</v>
      </c>
      <c r="I318">
        <v>3.63</v>
      </c>
      <c r="L318" s="6" t="s">
        <v>683</v>
      </c>
      <c r="M318" t="str" cm="1">
        <f t="array" ref="M318:O318">INDEX('Main Data'!A315:O1314,MATCH(L318,'Main Data'!A315:A1314,0),{3,7,14})</f>
        <v>Male</v>
      </c>
      <c r="N318">
        <v>169606.33</v>
      </c>
      <c r="O318">
        <v>3.63</v>
      </c>
    </row>
    <row r="319" spans="1:15" x14ac:dyDescent="0.3">
      <c r="A319" s="6" t="s">
        <v>685</v>
      </c>
      <c r="B319" cm="1">
        <f t="array" ref="B319:C319">_xlfn.XLOOKUP(A319,'Main Data'!A316:A1315,'Main Data'!B316:C1315,"Data Not Found",0)</f>
        <v>50</v>
      </c>
      <c r="C319" t="str">
        <v>Other</v>
      </c>
      <c r="E319" s="6" t="s">
        <v>685</v>
      </c>
      <c r="F319" cm="1">
        <f t="array" ref="F319:I319">VLOOKUP(E319,CHOOSE({1,2,3,4,5},'Main Data'!A316:A1315,'Main Data'!B316:B1315,'Main Data'!C316:C1315,'Main Data'!M316:M1315,'Main Data'!N316:N1315),{2,3,4,5},0)</f>
        <v>50</v>
      </c>
      <c r="G319" t="str">
        <v>Other</v>
      </c>
      <c r="H319" t="str">
        <v>Japan</v>
      </c>
      <c r="I319">
        <v>2.88</v>
      </c>
      <c r="L319" s="6" t="s">
        <v>685</v>
      </c>
      <c r="M319" t="str" cm="1">
        <f t="array" ref="M319:O319">INDEX('Main Data'!A316:O1315,MATCH(L319,'Main Data'!A316:A1315,0),{3,7,14})</f>
        <v>Other</v>
      </c>
      <c r="N319">
        <v>127384</v>
      </c>
      <c r="O319">
        <v>2.88</v>
      </c>
    </row>
    <row r="320" spans="1:15" x14ac:dyDescent="0.3">
      <c r="A320" s="6" t="s">
        <v>687</v>
      </c>
      <c r="B320" cm="1">
        <f t="array" ref="B320:C320">_xlfn.XLOOKUP(A320,'Main Data'!A317:A1316,'Main Data'!B317:C1316,"Data Not Found",0)</f>
        <v>58</v>
      </c>
      <c r="C320" t="str">
        <v>Female</v>
      </c>
      <c r="E320" s="6" t="s">
        <v>687</v>
      </c>
      <c r="F320" cm="1">
        <f t="array" ref="F320:I320">VLOOKUP(E320,CHOOSE({1,2,3,4,5},'Main Data'!A317:A1316,'Main Data'!B317:B1316,'Main Data'!C317:C1316,'Main Data'!M317:M1316,'Main Data'!N317:N1316),{2,3,4,5},0)</f>
        <v>58</v>
      </c>
      <c r="G320" t="str">
        <v>Female</v>
      </c>
      <c r="H320" t="str">
        <v>USA</v>
      </c>
      <c r="I320">
        <v>2.77</v>
      </c>
      <c r="L320" s="6" t="s">
        <v>687</v>
      </c>
      <c r="M320" t="str" cm="1">
        <f t="array" ref="M320:O320">INDEX('Main Data'!A317:O1316,MATCH(L320,'Main Data'!A317:A1316,0),{3,7,14})</f>
        <v>Female</v>
      </c>
      <c r="N320">
        <v>184634.15</v>
      </c>
      <c r="O320">
        <v>2.77</v>
      </c>
    </row>
    <row r="321" spans="1:15" x14ac:dyDescent="0.3">
      <c r="A321" s="6" t="s">
        <v>689</v>
      </c>
      <c r="B321" cm="1">
        <f t="array" ref="B321:C321">_xlfn.XLOOKUP(A321,'Main Data'!A318:A1317,'Main Data'!B318:C1317,"Data Not Found",0)</f>
        <v>47</v>
      </c>
      <c r="C321" t="str">
        <v>Female</v>
      </c>
      <c r="E321" s="6" t="s">
        <v>689</v>
      </c>
      <c r="F321" cm="1">
        <f t="array" ref="F321:I321">VLOOKUP(E321,CHOOSE({1,2,3,4,5},'Main Data'!A318:A1317,'Main Data'!B318:B1317,'Main Data'!C318:C1317,'Main Data'!M318:M1317,'Main Data'!N318:N1317),{2,3,4,5},0)</f>
        <v>47</v>
      </c>
      <c r="G321" t="str">
        <v>Female</v>
      </c>
      <c r="H321" t="str">
        <v>France</v>
      </c>
      <c r="I321">
        <v>2.56</v>
      </c>
      <c r="L321" s="6" t="s">
        <v>689</v>
      </c>
      <c r="M321" t="str" cm="1">
        <f t="array" ref="M321:O321">INDEX('Main Data'!A318:O1317,MATCH(L321,'Main Data'!A318:A1317,0),{3,7,14})</f>
        <v>Female</v>
      </c>
      <c r="N321">
        <v>95364.7</v>
      </c>
      <c r="O321">
        <v>2.56</v>
      </c>
    </row>
    <row r="322" spans="1:15" x14ac:dyDescent="0.3">
      <c r="A322" s="6" t="s">
        <v>691</v>
      </c>
      <c r="B322" cm="1">
        <f t="array" ref="B322:C322">_xlfn.XLOOKUP(A322,'Main Data'!A319:A1318,'Main Data'!B319:C1318,"Data Not Found",0)</f>
        <v>54</v>
      </c>
      <c r="C322" t="str">
        <v>Other</v>
      </c>
      <c r="E322" s="6" t="s">
        <v>691</v>
      </c>
      <c r="F322" cm="1">
        <f t="array" ref="F322:I322">VLOOKUP(E322,CHOOSE({1,2,3,4,5},'Main Data'!A319:A1318,'Main Data'!B319:B1318,'Main Data'!C319:C1318,'Main Data'!M319:M1318,'Main Data'!N319:N1318),{2,3,4,5},0)</f>
        <v>54</v>
      </c>
      <c r="G322" t="str">
        <v>Other</v>
      </c>
      <c r="H322" t="str">
        <v>UK</v>
      </c>
      <c r="I322">
        <v>1.7</v>
      </c>
      <c r="L322" s="6" t="s">
        <v>691</v>
      </c>
      <c r="M322" t="str" cm="1">
        <f t="array" ref="M322:O322">INDEX('Main Data'!A319:O1318,MATCH(L322,'Main Data'!A319:A1318,0),{3,7,14})</f>
        <v>Other</v>
      </c>
      <c r="N322">
        <v>190415.22</v>
      </c>
      <c r="O322">
        <v>1.7</v>
      </c>
    </row>
    <row r="323" spans="1:15" x14ac:dyDescent="0.3">
      <c r="A323" s="6" t="s">
        <v>693</v>
      </c>
      <c r="B323" cm="1">
        <f t="array" ref="B323:C323">_xlfn.XLOOKUP(A323,'Main Data'!A320:A1319,'Main Data'!B320:C1319,"Data Not Found",0)</f>
        <v>64</v>
      </c>
      <c r="C323" t="str">
        <v>Male</v>
      </c>
      <c r="E323" s="6" t="s">
        <v>693</v>
      </c>
      <c r="F323" cm="1">
        <f t="array" ref="F323:I323">VLOOKUP(E323,CHOOSE({1,2,3,4,5},'Main Data'!A320:A1319,'Main Data'!B320:B1319,'Main Data'!C320:C1319,'Main Data'!M320:M1319,'Main Data'!N320:N1319),{2,3,4,5},0)</f>
        <v>64</v>
      </c>
      <c r="G323" t="str">
        <v>Male</v>
      </c>
      <c r="H323" t="str">
        <v>UAE</v>
      </c>
      <c r="I323">
        <v>1.18</v>
      </c>
      <c r="L323" s="6" t="s">
        <v>693</v>
      </c>
      <c r="M323" t="str" cm="1">
        <f t="array" ref="M323:O323">INDEX('Main Data'!A320:O1319,MATCH(L323,'Main Data'!A320:A1319,0),{3,7,14})</f>
        <v>Male</v>
      </c>
      <c r="N323">
        <v>81866.41</v>
      </c>
      <c r="O323">
        <v>1.18</v>
      </c>
    </row>
    <row r="324" spans="1:15" x14ac:dyDescent="0.3">
      <c r="A324" s="6" t="s">
        <v>695</v>
      </c>
      <c r="B324" cm="1">
        <f t="array" ref="B324:C324">_xlfn.XLOOKUP(A324,'Main Data'!A321:A1320,'Main Data'!B321:C1320,"Data Not Found",0)</f>
        <v>36</v>
      </c>
      <c r="C324" t="str">
        <v>Other</v>
      </c>
      <c r="E324" s="6" t="s">
        <v>695</v>
      </c>
      <c r="F324" cm="1">
        <f t="array" ref="F324:I324">VLOOKUP(E324,CHOOSE({1,2,3,4,5},'Main Data'!A321:A1320,'Main Data'!B321:B1320,'Main Data'!C321:C1320,'Main Data'!M321:M1320,'Main Data'!N321:N1320),{2,3,4,5},0)</f>
        <v>36</v>
      </c>
      <c r="G324" t="str">
        <v>Other</v>
      </c>
      <c r="H324" t="str">
        <v>Japan</v>
      </c>
      <c r="I324">
        <v>2.89</v>
      </c>
      <c r="L324" s="6" t="s">
        <v>695</v>
      </c>
      <c r="M324" t="str" cm="1">
        <f t="array" ref="M324:O324">INDEX('Main Data'!A321:O1320,MATCH(L324,'Main Data'!A321:A1320,0),{3,7,14})</f>
        <v>Other</v>
      </c>
      <c r="N324">
        <v>74136.89</v>
      </c>
      <c r="O324">
        <v>2.89</v>
      </c>
    </row>
    <row r="325" spans="1:15" x14ac:dyDescent="0.3">
      <c r="A325" s="6" t="s">
        <v>697</v>
      </c>
      <c r="B325" cm="1">
        <f t="array" ref="B325:C325">_xlfn.XLOOKUP(A325,'Main Data'!A322:A1321,'Main Data'!B322:C1321,"Data Not Found",0)</f>
        <v>44</v>
      </c>
      <c r="C325" t="str">
        <v>Male</v>
      </c>
      <c r="E325" s="6" t="s">
        <v>697</v>
      </c>
      <c r="F325" cm="1">
        <f t="array" ref="F325:I325">VLOOKUP(E325,CHOOSE({1,2,3,4,5},'Main Data'!A322:A1321,'Main Data'!B322:B1321,'Main Data'!C322:C1321,'Main Data'!M322:M1321,'Main Data'!N322:N1321),{2,3,4,5},0)</f>
        <v>44</v>
      </c>
      <c r="G325" t="str">
        <v>Male</v>
      </c>
      <c r="H325" t="str">
        <v>USA</v>
      </c>
      <c r="I325">
        <v>4.1900000000000004</v>
      </c>
      <c r="L325" s="6" t="s">
        <v>697</v>
      </c>
      <c r="M325" t="str" cm="1">
        <f t="array" ref="M325:O325">INDEX('Main Data'!A322:O1321,MATCH(L325,'Main Data'!A322:A1321,0),{3,7,14})</f>
        <v>Male</v>
      </c>
      <c r="N325">
        <v>92477.56</v>
      </c>
      <c r="O325">
        <v>4.1900000000000004</v>
      </c>
    </row>
    <row r="326" spans="1:15" x14ac:dyDescent="0.3">
      <c r="A326" s="6" t="s">
        <v>699</v>
      </c>
      <c r="B326" cm="1">
        <f t="array" ref="B326:C326">_xlfn.XLOOKUP(A326,'Main Data'!A323:A1322,'Main Data'!B323:C1322,"Data Not Found",0)</f>
        <v>50</v>
      </c>
      <c r="C326" t="str">
        <v>Other</v>
      </c>
      <c r="E326" s="6" t="s">
        <v>699</v>
      </c>
      <c r="F326" cm="1">
        <f t="array" ref="F326:I326">VLOOKUP(E326,CHOOSE({1,2,3,4,5},'Main Data'!A323:A1322,'Main Data'!B323:B1322,'Main Data'!C323:C1322,'Main Data'!M323:M1322,'Main Data'!N323:N1322),{2,3,4,5},0)</f>
        <v>50</v>
      </c>
      <c r="G326" t="str">
        <v>Other</v>
      </c>
      <c r="H326" t="str">
        <v>France</v>
      </c>
      <c r="I326">
        <v>3.36</v>
      </c>
      <c r="L326" s="6" t="s">
        <v>699</v>
      </c>
      <c r="M326" t="str" cm="1">
        <f t="array" ref="M326:O326">INDEX('Main Data'!A323:O1322,MATCH(L326,'Main Data'!A323:A1322,0),{3,7,14})</f>
        <v>Other</v>
      </c>
      <c r="N326">
        <v>93684.54</v>
      </c>
      <c r="O326">
        <v>3.36</v>
      </c>
    </row>
    <row r="327" spans="1:15" x14ac:dyDescent="0.3">
      <c r="A327" s="6" t="s">
        <v>701</v>
      </c>
      <c r="B327" cm="1">
        <f t="array" ref="B327:C327">_xlfn.XLOOKUP(A327,'Main Data'!A324:A1323,'Main Data'!B324:C1323,"Data Not Found",0)</f>
        <v>42</v>
      </c>
      <c r="C327" t="str">
        <v>Other</v>
      </c>
      <c r="E327" s="6" t="s">
        <v>701</v>
      </c>
      <c r="F327" cm="1">
        <f t="array" ref="F327:I327">VLOOKUP(E327,CHOOSE({1,2,3,4,5},'Main Data'!A324:A1323,'Main Data'!B324:B1323,'Main Data'!C324:C1323,'Main Data'!M324:M1323,'Main Data'!N324:N1323),{2,3,4,5},0)</f>
        <v>42</v>
      </c>
      <c r="G327" t="str">
        <v>Other</v>
      </c>
      <c r="H327" t="str">
        <v>UK</v>
      </c>
      <c r="I327">
        <v>1.77</v>
      </c>
      <c r="L327" s="6" t="s">
        <v>701</v>
      </c>
      <c r="M327" t="str" cm="1">
        <f t="array" ref="M327:O327">INDEX('Main Data'!A324:O1323,MATCH(L327,'Main Data'!A324:A1323,0),{3,7,14})</f>
        <v>Other</v>
      </c>
      <c r="N327">
        <v>120886.15</v>
      </c>
      <c r="O327">
        <v>1.77</v>
      </c>
    </row>
    <row r="328" spans="1:15" x14ac:dyDescent="0.3">
      <c r="A328" s="6" t="s">
        <v>703</v>
      </c>
      <c r="B328" cm="1">
        <f t="array" ref="B328:C328">_xlfn.XLOOKUP(A328,'Main Data'!A325:A1324,'Main Data'!B325:C1324,"Data Not Found",0)</f>
        <v>40</v>
      </c>
      <c r="C328" t="str">
        <v>Female</v>
      </c>
      <c r="E328" s="6" t="s">
        <v>703</v>
      </c>
      <c r="F328" cm="1">
        <f t="array" ref="F328:I328">VLOOKUP(E328,CHOOSE({1,2,3,4,5},'Main Data'!A325:A1324,'Main Data'!B325:B1324,'Main Data'!C325:C1324,'Main Data'!M325:M1324,'Main Data'!N325:N1324),{2,3,4,5},0)</f>
        <v>40</v>
      </c>
      <c r="G328" t="str">
        <v>Female</v>
      </c>
      <c r="H328" t="str">
        <v>UAE</v>
      </c>
      <c r="I328">
        <v>3.93</v>
      </c>
      <c r="L328" s="6" t="s">
        <v>703</v>
      </c>
      <c r="M328" t="str" cm="1">
        <f t="array" ref="M328:O328">INDEX('Main Data'!A325:O1324,MATCH(L328,'Main Data'!A325:A1324,0),{3,7,14})</f>
        <v>Female</v>
      </c>
      <c r="N328">
        <v>66559.820000000007</v>
      </c>
      <c r="O328">
        <v>3.93</v>
      </c>
    </row>
    <row r="329" spans="1:15" x14ac:dyDescent="0.3">
      <c r="A329" s="6" t="s">
        <v>705</v>
      </c>
      <c r="B329" cm="1">
        <f t="array" ref="B329:C329">_xlfn.XLOOKUP(A329,'Main Data'!A326:A1325,'Main Data'!B326:C1325,"Data Not Found",0)</f>
        <v>26</v>
      </c>
      <c r="C329" t="str">
        <v>Other</v>
      </c>
      <c r="E329" s="6" t="s">
        <v>705</v>
      </c>
      <c r="F329" cm="1">
        <f t="array" ref="F329:I329">VLOOKUP(E329,CHOOSE({1,2,3,4,5},'Main Data'!A326:A1325,'Main Data'!B326:B1325,'Main Data'!C326:C1325,'Main Data'!M326:M1325,'Main Data'!N326:N1325),{2,3,4,5},0)</f>
        <v>26</v>
      </c>
      <c r="G329" t="str">
        <v>Other</v>
      </c>
      <c r="H329" t="str">
        <v>Japan</v>
      </c>
      <c r="I329">
        <v>4.6399999999999997</v>
      </c>
      <c r="L329" s="6" t="s">
        <v>705</v>
      </c>
      <c r="M329" t="str" cm="1">
        <f t="array" ref="M329:O329">INDEX('Main Data'!A326:O1325,MATCH(L329,'Main Data'!A326:A1325,0),{3,7,14})</f>
        <v>Other</v>
      </c>
      <c r="N329">
        <v>184012.3</v>
      </c>
      <c r="O329">
        <v>4.6399999999999997</v>
      </c>
    </row>
    <row r="330" spans="1:15" x14ac:dyDescent="0.3">
      <c r="A330" s="6" t="s">
        <v>707</v>
      </c>
      <c r="B330" cm="1">
        <f t="array" ref="B330:C330">_xlfn.XLOOKUP(A330,'Main Data'!A327:A1326,'Main Data'!B327:C1326,"Data Not Found",0)</f>
        <v>44</v>
      </c>
      <c r="C330" t="str">
        <v>Male</v>
      </c>
      <c r="E330" s="6" t="s">
        <v>707</v>
      </c>
      <c r="F330" cm="1">
        <f t="array" ref="F330:I330">VLOOKUP(E330,CHOOSE({1,2,3,4,5},'Main Data'!A327:A1326,'Main Data'!B327:B1326,'Main Data'!C327:C1326,'Main Data'!M327:M1326,'Main Data'!N327:N1326),{2,3,4,5},0)</f>
        <v>44</v>
      </c>
      <c r="G330" t="str">
        <v>Male</v>
      </c>
      <c r="H330" t="str">
        <v>USA</v>
      </c>
      <c r="I330">
        <v>4.3899999999999997</v>
      </c>
      <c r="L330" s="6" t="s">
        <v>707</v>
      </c>
      <c r="M330" t="str" cm="1">
        <f t="array" ref="M330:O330">INDEX('Main Data'!A327:O1326,MATCH(L330,'Main Data'!A327:A1326,0),{3,7,14})</f>
        <v>Male</v>
      </c>
      <c r="N330">
        <v>193604.34</v>
      </c>
      <c r="O330">
        <v>4.3899999999999997</v>
      </c>
    </row>
    <row r="331" spans="1:15" x14ac:dyDescent="0.3">
      <c r="A331" s="6" t="s">
        <v>709</v>
      </c>
      <c r="B331" cm="1">
        <f t="array" ref="B331:C331">_xlfn.XLOOKUP(A331,'Main Data'!A328:A1327,'Main Data'!B328:C1327,"Data Not Found",0)</f>
        <v>57</v>
      </c>
      <c r="C331" t="str">
        <v>Male</v>
      </c>
      <c r="E331" s="6" t="s">
        <v>709</v>
      </c>
      <c r="F331" cm="1">
        <f t="array" ref="F331:I331">VLOOKUP(E331,CHOOSE({1,2,3,4,5},'Main Data'!A328:A1327,'Main Data'!B328:B1327,'Main Data'!C328:C1327,'Main Data'!M328:M1327,'Main Data'!N328:N1327),{2,3,4,5},0)</f>
        <v>57</v>
      </c>
      <c r="G331" t="str">
        <v>Male</v>
      </c>
      <c r="H331" t="str">
        <v>France</v>
      </c>
      <c r="I331">
        <v>1.79</v>
      </c>
      <c r="L331" s="6" t="s">
        <v>709</v>
      </c>
      <c r="M331" t="str" cm="1">
        <f t="array" ref="M331:O331">INDEX('Main Data'!A328:O1327,MATCH(L331,'Main Data'!A328:A1327,0),{3,7,14})</f>
        <v>Male</v>
      </c>
      <c r="N331">
        <v>69282.97</v>
      </c>
      <c r="O331">
        <v>1.79</v>
      </c>
    </row>
    <row r="332" spans="1:15" x14ac:dyDescent="0.3">
      <c r="A332" s="6" t="s">
        <v>711</v>
      </c>
      <c r="B332" cm="1">
        <f t="array" ref="B332:C332">_xlfn.XLOOKUP(A332,'Main Data'!A329:A1328,'Main Data'!B329:C1328,"Data Not Found",0)</f>
        <v>41</v>
      </c>
      <c r="C332" t="str">
        <v>Other</v>
      </c>
      <c r="E332" s="6" t="s">
        <v>711</v>
      </c>
      <c r="F332" cm="1">
        <f t="array" ref="F332:I332">VLOOKUP(E332,CHOOSE({1,2,3,4,5},'Main Data'!A329:A1328,'Main Data'!B329:B1328,'Main Data'!C329:C1328,'Main Data'!M329:M1328,'Main Data'!N329:N1328),{2,3,4,5},0)</f>
        <v>41</v>
      </c>
      <c r="G332" t="str">
        <v>Other</v>
      </c>
      <c r="H332" t="str">
        <v>UK</v>
      </c>
      <c r="I332">
        <v>2.69</v>
      </c>
      <c r="L332" s="6" t="s">
        <v>711</v>
      </c>
      <c r="M332" t="str" cm="1">
        <f t="array" ref="M332:O332">INDEX('Main Data'!A329:O1328,MATCH(L332,'Main Data'!A329:A1328,0),{3,7,14})</f>
        <v>Other</v>
      </c>
      <c r="N332">
        <v>145482.03</v>
      </c>
      <c r="O332">
        <v>2.69</v>
      </c>
    </row>
    <row r="333" spans="1:15" x14ac:dyDescent="0.3">
      <c r="A333" s="6" t="s">
        <v>713</v>
      </c>
      <c r="B333" cm="1">
        <f t="array" ref="B333:C333">_xlfn.XLOOKUP(A333,'Main Data'!A330:A1329,'Main Data'!B330:C1329,"Data Not Found",0)</f>
        <v>29</v>
      </c>
      <c r="C333" t="str">
        <v>Male</v>
      </c>
      <c r="E333" s="6" t="s">
        <v>713</v>
      </c>
      <c r="F333" cm="1">
        <f t="array" ref="F333:I333">VLOOKUP(E333,CHOOSE({1,2,3,4,5},'Main Data'!A330:A1329,'Main Data'!B330:B1329,'Main Data'!C330:C1329,'Main Data'!M330:M1329,'Main Data'!N330:N1329),{2,3,4,5},0)</f>
        <v>29</v>
      </c>
      <c r="G333" t="str">
        <v>Male</v>
      </c>
      <c r="H333" t="str">
        <v>UAE</v>
      </c>
      <c r="I333">
        <v>1.92</v>
      </c>
      <c r="L333" s="6" t="s">
        <v>713</v>
      </c>
      <c r="M333" t="str" cm="1">
        <f t="array" ref="M333:O333">INDEX('Main Data'!A330:O1329,MATCH(L333,'Main Data'!A330:A1329,0),{3,7,14})</f>
        <v>Male</v>
      </c>
      <c r="N333">
        <v>145083.01999999999</v>
      </c>
      <c r="O333">
        <v>1.92</v>
      </c>
    </row>
    <row r="334" spans="1:15" x14ac:dyDescent="0.3">
      <c r="A334" s="6" t="s">
        <v>715</v>
      </c>
      <c r="B334" cm="1">
        <f t="array" ref="B334:C334">_xlfn.XLOOKUP(A334,'Main Data'!A331:A1330,'Main Data'!B331:C1330,"Data Not Found",0)</f>
        <v>30</v>
      </c>
      <c r="C334" t="str">
        <v>Other</v>
      </c>
      <c r="E334" s="6" t="s">
        <v>715</v>
      </c>
      <c r="F334" cm="1">
        <f t="array" ref="F334:I334">VLOOKUP(E334,CHOOSE({1,2,3,4,5},'Main Data'!A331:A1330,'Main Data'!B331:B1330,'Main Data'!C331:C1330,'Main Data'!M331:M1330,'Main Data'!N331:N1330),{2,3,4,5},0)</f>
        <v>30</v>
      </c>
      <c r="G334" t="str">
        <v>Other</v>
      </c>
      <c r="H334" t="str">
        <v>Japan</v>
      </c>
      <c r="I334">
        <v>2.77</v>
      </c>
      <c r="L334" s="6" t="s">
        <v>715</v>
      </c>
      <c r="M334" t="str" cm="1">
        <f t="array" ref="M334:O334">INDEX('Main Data'!A331:O1330,MATCH(L334,'Main Data'!A331:A1330,0),{3,7,14})</f>
        <v>Other</v>
      </c>
      <c r="N334">
        <v>93335.37</v>
      </c>
      <c r="O334">
        <v>2.77</v>
      </c>
    </row>
    <row r="335" spans="1:15" x14ac:dyDescent="0.3">
      <c r="A335" s="6" t="s">
        <v>717</v>
      </c>
      <c r="B335" cm="1">
        <f t="array" ref="B335:C335">_xlfn.XLOOKUP(A335,'Main Data'!A332:A1331,'Main Data'!B332:C1331,"Data Not Found",0)</f>
        <v>35</v>
      </c>
      <c r="C335" t="str">
        <v>Female</v>
      </c>
      <c r="E335" s="6" t="s">
        <v>717</v>
      </c>
      <c r="F335" cm="1">
        <f t="array" ref="F335:I335">VLOOKUP(E335,CHOOSE({1,2,3,4,5},'Main Data'!A332:A1331,'Main Data'!B332:B1331,'Main Data'!C332:C1331,'Main Data'!M332:M1331,'Main Data'!N332:N1331),{2,3,4,5},0)</f>
        <v>35</v>
      </c>
      <c r="G335" t="str">
        <v>Female</v>
      </c>
      <c r="H335" t="str">
        <v>USA</v>
      </c>
      <c r="I335">
        <v>4.92</v>
      </c>
      <c r="L335" s="6" t="s">
        <v>717</v>
      </c>
      <c r="M335" t="str" cm="1">
        <f t="array" ref="M335:O335">INDEX('Main Data'!A332:O1331,MATCH(L335,'Main Data'!A332:A1331,0),{3,7,14})</f>
        <v>Female</v>
      </c>
      <c r="N335">
        <v>184869.66</v>
      </c>
      <c r="O335">
        <v>4.92</v>
      </c>
    </row>
    <row r="336" spans="1:15" x14ac:dyDescent="0.3">
      <c r="A336" s="6" t="s">
        <v>719</v>
      </c>
      <c r="B336" cm="1">
        <f t="array" ref="B336:C336">_xlfn.XLOOKUP(A336,'Main Data'!A333:A1332,'Main Data'!B333:C1332,"Data Not Found",0)</f>
        <v>27</v>
      </c>
      <c r="C336" t="str">
        <v>Female</v>
      </c>
      <c r="E336" s="6" t="s">
        <v>719</v>
      </c>
      <c r="F336" cm="1">
        <f t="array" ref="F336:I336">VLOOKUP(E336,CHOOSE({1,2,3,4,5},'Main Data'!A333:A1332,'Main Data'!B333:B1332,'Main Data'!C333:C1332,'Main Data'!M333:M1332,'Main Data'!N333:N1332),{2,3,4,5},0)</f>
        <v>27</v>
      </c>
      <c r="G336" t="str">
        <v>Female</v>
      </c>
      <c r="H336" t="str">
        <v>France</v>
      </c>
      <c r="I336">
        <v>2.91</v>
      </c>
      <c r="L336" s="6" t="s">
        <v>719</v>
      </c>
      <c r="M336" t="str" cm="1">
        <f t="array" ref="M336:O336">INDEX('Main Data'!A333:O1332,MATCH(L336,'Main Data'!A333:A1332,0),{3,7,14})</f>
        <v>Female</v>
      </c>
      <c r="N336">
        <v>148210.6</v>
      </c>
      <c r="O336">
        <v>2.91</v>
      </c>
    </row>
    <row r="337" spans="1:15" x14ac:dyDescent="0.3">
      <c r="A337" s="6" t="s">
        <v>721</v>
      </c>
      <c r="B337" cm="1">
        <f t="array" ref="B337:C337">_xlfn.XLOOKUP(A337,'Main Data'!A334:A1333,'Main Data'!B334:C1333,"Data Not Found",0)</f>
        <v>22</v>
      </c>
      <c r="C337" t="str">
        <v>Female</v>
      </c>
      <c r="E337" s="6" t="s">
        <v>721</v>
      </c>
      <c r="F337" cm="1">
        <f t="array" ref="F337:I337">VLOOKUP(E337,CHOOSE({1,2,3,4,5},'Main Data'!A334:A1333,'Main Data'!B334:B1333,'Main Data'!C334:C1333,'Main Data'!M334:M1333,'Main Data'!N334:N1333),{2,3,4,5},0)</f>
        <v>22</v>
      </c>
      <c r="G337" t="str">
        <v>Female</v>
      </c>
      <c r="H337" t="str">
        <v>UK</v>
      </c>
      <c r="I337">
        <v>4.9800000000000004</v>
      </c>
      <c r="L337" s="6" t="s">
        <v>721</v>
      </c>
      <c r="M337" t="str" cm="1">
        <f t="array" ref="M337:O337">INDEX('Main Data'!A334:O1333,MATCH(L337,'Main Data'!A334:A1333,0),{3,7,14})</f>
        <v>Female</v>
      </c>
      <c r="N337">
        <v>88084.17</v>
      </c>
      <c r="O337">
        <v>4.9800000000000004</v>
      </c>
    </row>
    <row r="338" spans="1:15" x14ac:dyDescent="0.3">
      <c r="A338" s="6" t="s">
        <v>723</v>
      </c>
      <c r="B338" cm="1">
        <f t="array" ref="B338:C338">_xlfn.XLOOKUP(A338,'Main Data'!A335:A1334,'Main Data'!B335:C1334,"Data Not Found",0)</f>
        <v>30</v>
      </c>
      <c r="C338" t="str">
        <v>Female</v>
      </c>
      <c r="E338" s="6" t="s">
        <v>723</v>
      </c>
      <c r="F338" cm="1">
        <f t="array" ref="F338:I338">VLOOKUP(E338,CHOOSE({1,2,3,4,5},'Main Data'!A335:A1334,'Main Data'!B335:B1334,'Main Data'!C335:C1334,'Main Data'!M335:M1334,'Main Data'!N335:N1334),{2,3,4,5},0)</f>
        <v>30</v>
      </c>
      <c r="G338" t="str">
        <v>Female</v>
      </c>
      <c r="H338" t="str">
        <v>UAE</v>
      </c>
      <c r="I338">
        <v>1.41</v>
      </c>
      <c r="L338" s="6" t="s">
        <v>723</v>
      </c>
      <c r="M338" t="str" cm="1">
        <f t="array" ref="M338:O338">INDEX('Main Data'!A335:O1334,MATCH(L338,'Main Data'!A335:A1334,0),{3,7,14})</f>
        <v>Female</v>
      </c>
      <c r="N338">
        <v>138753.64000000001</v>
      </c>
      <c r="O338">
        <v>1.41</v>
      </c>
    </row>
    <row r="339" spans="1:15" x14ac:dyDescent="0.3">
      <c r="A339" s="6" t="s">
        <v>725</v>
      </c>
      <c r="B339" cm="1">
        <f t="array" ref="B339:C339">_xlfn.XLOOKUP(A339,'Main Data'!A336:A1335,'Main Data'!B336:C1335,"Data Not Found",0)</f>
        <v>37</v>
      </c>
      <c r="C339" t="str">
        <v>Other</v>
      </c>
      <c r="E339" s="6" t="s">
        <v>725</v>
      </c>
      <c r="F339" cm="1">
        <f t="array" ref="F339:I339">VLOOKUP(E339,CHOOSE({1,2,3,4,5},'Main Data'!A336:A1335,'Main Data'!B336:B1335,'Main Data'!C336:C1335,'Main Data'!M336:M1335,'Main Data'!N336:N1335),{2,3,4,5},0)</f>
        <v>37</v>
      </c>
      <c r="G339" t="str">
        <v>Other</v>
      </c>
      <c r="H339" t="str">
        <v>Japan</v>
      </c>
      <c r="I339">
        <v>1.7</v>
      </c>
      <c r="L339" s="6" t="s">
        <v>725</v>
      </c>
      <c r="M339" t="str" cm="1">
        <f t="array" ref="M339:O339">INDEX('Main Data'!A336:O1335,MATCH(L339,'Main Data'!A336:A1335,0),{3,7,14})</f>
        <v>Other</v>
      </c>
      <c r="N339">
        <v>94405.37</v>
      </c>
      <c r="O339">
        <v>1.7</v>
      </c>
    </row>
    <row r="340" spans="1:15" x14ac:dyDescent="0.3">
      <c r="A340" s="6" t="s">
        <v>727</v>
      </c>
      <c r="B340" cm="1">
        <f t="array" ref="B340:C340">_xlfn.XLOOKUP(A340,'Main Data'!A337:A1336,'Main Data'!B337:C1336,"Data Not Found",0)</f>
        <v>37</v>
      </c>
      <c r="C340" t="str">
        <v>Male</v>
      </c>
      <c r="E340" s="6" t="s">
        <v>727</v>
      </c>
      <c r="F340" cm="1">
        <f t="array" ref="F340:I340">VLOOKUP(E340,CHOOSE({1,2,3,4,5},'Main Data'!A337:A1336,'Main Data'!B337:B1336,'Main Data'!C337:C1336,'Main Data'!M337:M1336,'Main Data'!N337:N1336),{2,3,4,5},0)</f>
        <v>37</v>
      </c>
      <c r="G340" t="str">
        <v>Male</v>
      </c>
      <c r="H340" t="str">
        <v>USA</v>
      </c>
      <c r="I340">
        <v>1.51</v>
      </c>
      <c r="L340" s="6" t="s">
        <v>727</v>
      </c>
      <c r="M340" t="str" cm="1">
        <f t="array" ref="M340:O340">INDEX('Main Data'!A337:O1336,MATCH(L340,'Main Data'!A337:A1336,0),{3,7,14})</f>
        <v>Male</v>
      </c>
      <c r="N340">
        <v>73687.56</v>
      </c>
      <c r="O340">
        <v>1.51</v>
      </c>
    </row>
    <row r="341" spans="1:15" x14ac:dyDescent="0.3">
      <c r="A341" s="6" t="s">
        <v>729</v>
      </c>
      <c r="B341" cm="1">
        <f t="array" ref="B341:C341">_xlfn.XLOOKUP(A341,'Main Data'!A338:A1337,'Main Data'!B338:C1337,"Data Not Found",0)</f>
        <v>33</v>
      </c>
      <c r="C341" t="str">
        <v>Other</v>
      </c>
      <c r="E341" s="6" t="s">
        <v>729</v>
      </c>
      <c r="F341" cm="1">
        <f t="array" ref="F341:I341">VLOOKUP(E341,CHOOSE({1,2,3,4,5},'Main Data'!A338:A1337,'Main Data'!B338:B1337,'Main Data'!C338:C1337,'Main Data'!M338:M1337,'Main Data'!N338:N1337),{2,3,4,5},0)</f>
        <v>33</v>
      </c>
      <c r="G341" t="str">
        <v>Other</v>
      </c>
      <c r="H341" t="str">
        <v>France</v>
      </c>
      <c r="I341">
        <v>2.63</v>
      </c>
      <c r="L341" s="6" t="s">
        <v>729</v>
      </c>
      <c r="M341" t="str" cm="1">
        <f t="array" ref="M341:O341">INDEX('Main Data'!A338:O1337,MATCH(L341,'Main Data'!A338:A1337,0),{3,7,14})</f>
        <v>Other</v>
      </c>
      <c r="N341">
        <v>102137.01</v>
      </c>
      <c r="O341">
        <v>2.63</v>
      </c>
    </row>
    <row r="342" spans="1:15" x14ac:dyDescent="0.3">
      <c r="A342" s="6" t="s">
        <v>731</v>
      </c>
      <c r="B342" cm="1">
        <f t="array" ref="B342:C342">_xlfn.XLOOKUP(A342,'Main Data'!A339:A1338,'Main Data'!B339:C1338,"Data Not Found",0)</f>
        <v>26</v>
      </c>
      <c r="C342" t="str">
        <v>Male</v>
      </c>
      <c r="E342" s="6" t="s">
        <v>731</v>
      </c>
      <c r="F342" cm="1">
        <f t="array" ref="F342:I342">VLOOKUP(E342,CHOOSE({1,2,3,4,5},'Main Data'!A339:A1338,'Main Data'!B339:B1338,'Main Data'!C339:C1338,'Main Data'!M339:M1338,'Main Data'!N339:N1338),{2,3,4,5},0)</f>
        <v>26</v>
      </c>
      <c r="G342" t="str">
        <v>Male</v>
      </c>
      <c r="H342" t="str">
        <v>UK</v>
      </c>
      <c r="I342">
        <v>3.95</v>
      </c>
      <c r="L342" s="6" t="s">
        <v>731</v>
      </c>
      <c r="M342" t="str" cm="1">
        <f t="array" ref="M342:O342">INDEX('Main Data'!A339:O1338,MATCH(L342,'Main Data'!A339:A1338,0),{3,7,14})</f>
        <v>Male</v>
      </c>
      <c r="N342">
        <v>130733.75999999999</v>
      </c>
      <c r="O342">
        <v>3.95</v>
      </c>
    </row>
    <row r="343" spans="1:15" x14ac:dyDescent="0.3">
      <c r="A343" s="6" t="s">
        <v>733</v>
      </c>
      <c r="B343" cm="1">
        <f t="array" ref="B343:C343">_xlfn.XLOOKUP(A343,'Main Data'!A340:A1339,'Main Data'!B340:C1339,"Data Not Found",0)</f>
        <v>61</v>
      </c>
      <c r="C343" t="str">
        <v>Other</v>
      </c>
      <c r="E343" s="6" t="s">
        <v>733</v>
      </c>
      <c r="F343" cm="1">
        <f t="array" ref="F343:I343">VLOOKUP(E343,CHOOSE({1,2,3,4,5},'Main Data'!A340:A1339,'Main Data'!B340:B1339,'Main Data'!C340:C1339,'Main Data'!M340:M1339,'Main Data'!N340:N1339),{2,3,4,5},0)</f>
        <v>61</v>
      </c>
      <c r="G343" t="str">
        <v>Other</v>
      </c>
      <c r="H343" t="str">
        <v>UAE</v>
      </c>
      <c r="I343">
        <v>4.3600000000000003</v>
      </c>
      <c r="L343" s="6" t="s">
        <v>733</v>
      </c>
      <c r="M343" t="str" cm="1">
        <f t="array" ref="M343:O343">INDEX('Main Data'!A340:O1339,MATCH(L343,'Main Data'!A340:A1339,0),{3,7,14})</f>
        <v>Other</v>
      </c>
      <c r="N343">
        <v>147300</v>
      </c>
      <c r="O343">
        <v>4.3600000000000003</v>
      </c>
    </row>
    <row r="344" spans="1:15" x14ac:dyDescent="0.3">
      <c r="A344" s="6" t="s">
        <v>735</v>
      </c>
      <c r="B344" cm="1">
        <f t="array" ref="B344:C344">_xlfn.XLOOKUP(A344,'Main Data'!A341:A1340,'Main Data'!B341:C1340,"Data Not Found",0)</f>
        <v>50</v>
      </c>
      <c r="C344" t="str">
        <v>Male</v>
      </c>
      <c r="E344" s="6" t="s">
        <v>735</v>
      </c>
      <c r="F344" cm="1">
        <f t="array" ref="F344:I344">VLOOKUP(E344,CHOOSE({1,2,3,4,5},'Main Data'!A341:A1340,'Main Data'!B341:B1340,'Main Data'!C341:C1340,'Main Data'!M341:M1340,'Main Data'!N341:N1340),{2,3,4,5},0)</f>
        <v>50</v>
      </c>
      <c r="G344" t="str">
        <v>Male</v>
      </c>
      <c r="H344" t="str">
        <v>Japan</v>
      </c>
      <c r="I344">
        <v>3.07</v>
      </c>
      <c r="L344" s="6" t="s">
        <v>735</v>
      </c>
      <c r="M344" t="str" cm="1">
        <f t="array" ref="M344:O344">INDEX('Main Data'!A341:O1340,MATCH(L344,'Main Data'!A341:A1340,0),{3,7,14})</f>
        <v>Male</v>
      </c>
      <c r="N344">
        <v>175109.59</v>
      </c>
      <c r="O344">
        <v>3.07</v>
      </c>
    </row>
    <row r="345" spans="1:15" x14ac:dyDescent="0.3">
      <c r="A345" s="6" t="s">
        <v>737</v>
      </c>
      <c r="B345" cm="1">
        <f t="array" ref="B345:C345">_xlfn.XLOOKUP(A345,'Main Data'!A342:A1341,'Main Data'!B342:C1341,"Data Not Found",0)</f>
        <v>48</v>
      </c>
      <c r="C345" t="str">
        <v>Male</v>
      </c>
      <c r="E345" s="6" t="s">
        <v>737</v>
      </c>
      <c r="F345" cm="1">
        <f t="array" ref="F345:I345">VLOOKUP(E345,CHOOSE({1,2,3,4,5},'Main Data'!A342:A1341,'Main Data'!B342:B1341,'Main Data'!C342:C1341,'Main Data'!M342:M1341,'Main Data'!N342:N1341),{2,3,4,5},0)</f>
        <v>48</v>
      </c>
      <c r="G345" t="str">
        <v>Male</v>
      </c>
      <c r="H345" t="str">
        <v>USA</v>
      </c>
      <c r="I345">
        <v>4.42</v>
      </c>
      <c r="L345" s="6" t="s">
        <v>737</v>
      </c>
      <c r="M345" t="str" cm="1">
        <f t="array" ref="M345:O345">INDEX('Main Data'!A342:O1341,MATCH(L345,'Main Data'!A342:A1341,0),{3,7,14})</f>
        <v>Male</v>
      </c>
      <c r="N345">
        <v>150809.65</v>
      </c>
      <c r="O345">
        <v>4.42</v>
      </c>
    </row>
    <row r="346" spans="1:15" x14ac:dyDescent="0.3">
      <c r="A346" s="6" t="s">
        <v>739</v>
      </c>
      <c r="B346" cm="1">
        <f t="array" ref="B346:C346">_xlfn.XLOOKUP(A346,'Main Data'!A343:A1342,'Main Data'!B343:C1342,"Data Not Found",0)</f>
        <v>32</v>
      </c>
      <c r="C346" t="str">
        <v>Other</v>
      </c>
      <c r="E346" s="6" t="s">
        <v>739</v>
      </c>
      <c r="F346" cm="1">
        <f t="array" ref="F346:I346">VLOOKUP(E346,CHOOSE({1,2,3,4,5},'Main Data'!A343:A1342,'Main Data'!B343:B1342,'Main Data'!C343:C1342,'Main Data'!M343:M1342,'Main Data'!N343:N1342),{2,3,4,5},0)</f>
        <v>32</v>
      </c>
      <c r="G346" t="str">
        <v>Other</v>
      </c>
      <c r="H346" t="str">
        <v>France</v>
      </c>
      <c r="I346">
        <v>4.82</v>
      </c>
      <c r="L346" s="6" t="s">
        <v>739</v>
      </c>
      <c r="M346" t="str" cm="1">
        <f t="array" ref="M346:O346">INDEX('Main Data'!A343:O1342,MATCH(L346,'Main Data'!A343:A1342,0),{3,7,14})</f>
        <v>Other</v>
      </c>
      <c r="N346">
        <v>94836.61</v>
      </c>
      <c r="O346">
        <v>4.82</v>
      </c>
    </row>
    <row r="347" spans="1:15" x14ac:dyDescent="0.3">
      <c r="A347" s="6" t="s">
        <v>741</v>
      </c>
      <c r="B347" cm="1">
        <f t="array" ref="B347:C347">_xlfn.XLOOKUP(A347,'Main Data'!A344:A1343,'Main Data'!B344:C1343,"Data Not Found",0)</f>
        <v>49</v>
      </c>
      <c r="C347" t="str">
        <v>Female</v>
      </c>
      <c r="E347" s="6" t="s">
        <v>741</v>
      </c>
      <c r="F347" cm="1">
        <f t="array" ref="F347:I347">VLOOKUP(E347,CHOOSE({1,2,3,4,5},'Main Data'!A344:A1343,'Main Data'!B344:B1343,'Main Data'!C344:C1343,'Main Data'!M344:M1343,'Main Data'!N344:N1343),{2,3,4,5},0)</f>
        <v>49</v>
      </c>
      <c r="G347" t="str">
        <v>Female</v>
      </c>
      <c r="H347" t="str">
        <v>UK</v>
      </c>
      <c r="I347">
        <v>1.02</v>
      </c>
      <c r="L347" s="6" t="s">
        <v>741</v>
      </c>
      <c r="M347" t="str" cm="1">
        <f t="array" ref="M347:O347">INDEX('Main Data'!A344:O1343,MATCH(L347,'Main Data'!A344:A1343,0),{3,7,14})</f>
        <v>Female</v>
      </c>
      <c r="N347">
        <v>99829.42</v>
      </c>
      <c r="O347">
        <v>1.02</v>
      </c>
    </row>
    <row r="348" spans="1:15" x14ac:dyDescent="0.3">
      <c r="A348" s="6" t="s">
        <v>743</v>
      </c>
      <c r="B348" cm="1">
        <f t="array" ref="B348:C348">_xlfn.XLOOKUP(A348,'Main Data'!A345:A1344,'Main Data'!B345:C1344,"Data Not Found",0)</f>
        <v>57</v>
      </c>
      <c r="C348" t="str">
        <v>Other</v>
      </c>
      <c r="E348" s="6" t="s">
        <v>743</v>
      </c>
      <c r="F348" cm="1">
        <f t="array" ref="F348:I348">VLOOKUP(E348,CHOOSE({1,2,3,4,5},'Main Data'!A345:A1344,'Main Data'!B345:B1344,'Main Data'!C345:C1344,'Main Data'!M345:M1344,'Main Data'!N345:N1344),{2,3,4,5},0)</f>
        <v>57</v>
      </c>
      <c r="G348" t="str">
        <v>Other</v>
      </c>
      <c r="H348" t="str">
        <v>UAE</v>
      </c>
      <c r="I348">
        <v>1.66</v>
      </c>
      <c r="L348" s="6" t="s">
        <v>743</v>
      </c>
      <c r="M348" t="str" cm="1">
        <f t="array" ref="M348:O348">INDEX('Main Data'!A345:O1344,MATCH(L348,'Main Data'!A345:A1344,0),{3,7,14})</f>
        <v>Other</v>
      </c>
      <c r="N348">
        <v>133304.69</v>
      </c>
      <c r="O348">
        <v>1.66</v>
      </c>
    </row>
    <row r="349" spans="1:15" x14ac:dyDescent="0.3">
      <c r="A349" s="6" t="s">
        <v>745</v>
      </c>
      <c r="B349" cm="1">
        <f t="array" ref="B349:C349">_xlfn.XLOOKUP(A349,'Main Data'!A346:A1345,'Main Data'!B346:C1345,"Data Not Found",0)</f>
        <v>63</v>
      </c>
      <c r="C349" t="str">
        <v>Female</v>
      </c>
      <c r="E349" s="6" t="s">
        <v>745</v>
      </c>
      <c r="F349" cm="1">
        <f t="array" ref="F349:I349">VLOOKUP(E349,CHOOSE({1,2,3,4,5},'Main Data'!A346:A1345,'Main Data'!B346:B1345,'Main Data'!C346:C1345,'Main Data'!M346:M1345,'Main Data'!N346:N1345),{2,3,4,5},0)</f>
        <v>63</v>
      </c>
      <c r="G349" t="str">
        <v>Female</v>
      </c>
      <c r="H349" t="str">
        <v>Japan</v>
      </c>
      <c r="I349">
        <v>1.72</v>
      </c>
      <c r="L349" s="6" t="s">
        <v>745</v>
      </c>
      <c r="M349" t="str" cm="1">
        <f t="array" ref="M349:O349">INDEX('Main Data'!A346:O1345,MATCH(L349,'Main Data'!A346:A1345,0),{3,7,14})</f>
        <v>Female</v>
      </c>
      <c r="N349">
        <v>176496.43</v>
      </c>
      <c r="O349">
        <v>1.72</v>
      </c>
    </row>
    <row r="350" spans="1:15" x14ac:dyDescent="0.3">
      <c r="A350" s="6" t="s">
        <v>747</v>
      </c>
      <c r="B350" cm="1">
        <f t="array" ref="B350:C350">_xlfn.XLOOKUP(A350,'Main Data'!A347:A1346,'Main Data'!B347:C1346,"Data Not Found",0)</f>
        <v>40</v>
      </c>
      <c r="C350" t="str">
        <v>Other</v>
      </c>
      <c r="E350" s="6" t="s">
        <v>747</v>
      </c>
      <c r="F350" cm="1">
        <f t="array" ref="F350:I350">VLOOKUP(E350,CHOOSE({1,2,3,4,5},'Main Data'!A347:A1346,'Main Data'!B347:B1346,'Main Data'!C347:C1346,'Main Data'!M347:M1346,'Main Data'!N347:N1346),{2,3,4,5},0)</f>
        <v>40</v>
      </c>
      <c r="G350" t="str">
        <v>Other</v>
      </c>
      <c r="H350" t="str">
        <v>USA</v>
      </c>
      <c r="I350">
        <v>4.97</v>
      </c>
      <c r="L350" s="6" t="s">
        <v>747</v>
      </c>
      <c r="M350" t="str" cm="1">
        <f t="array" ref="M350:O350">INDEX('Main Data'!A347:O1346,MATCH(L350,'Main Data'!A347:A1346,0),{3,7,14})</f>
        <v>Other</v>
      </c>
      <c r="N350">
        <v>128477.99</v>
      </c>
      <c r="O350">
        <v>4.97</v>
      </c>
    </row>
    <row r="351" spans="1:15" x14ac:dyDescent="0.3">
      <c r="A351" s="6" t="s">
        <v>749</v>
      </c>
      <c r="B351" cm="1">
        <f t="array" ref="B351:C351">_xlfn.XLOOKUP(A351,'Main Data'!A348:A1347,'Main Data'!B348:C1347,"Data Not Found",0)</f>
        <v>56</v>
      </c>
      <c r="C351" t="str">
        <v>Male</v>
      </c>
      <c r="E351" s="6" t="s">
        <v>749</v>
      </c>
      <c r="F351" cm="1">
        <f t="array" ref="F351:I351">VLOOKUP(E351,CHOOSE({1,2,3,4,5},'Main Data'!A348:A1347,'Main Data'!B348:B1347,'Main Data'!C348:C1347,'Main Data'!M348:M1347,'Main Data'!N348:N1347),{2,3,4,5},0)</f>
        <v>56</v>
      </c>
      <c r="G351" t="str">
        <v>Male</v>
      </c>
      <c r="H351" t="str">
        <v>France</v>
      </c>
      <c r="I351">
        <v>4.5999999999999996</v>
      </c>
      <c r="L351" s="6" t="s">
        <v>749</v>
      </c>
      <c r="M351" t="str" cm="1">
        <f t="array" ref="M351:O351">INDEX('Main Data'!A348:O1347,MATCH(L351,'Main Data'!A348:A1347,0),{3,7,14})</f>
        <v>Male</v>
      </c>
      <c r="N351">
        <v>164126.15</v>
      </c>
      <c r="O351">
        <v>4.5999999999999996</v>
      </c>
    </row>
    <row r="352" spans="1:15" x14ac:dyDescent="0.3">
      <c r="A352" s="6" t="s">
        <v>751</v>
      </c>
      <c r="B352" cm="1">
        <f t="array" ref="B352:C352">_xlfn.XLOOKUP(A352,'Main Data'!A349:A1348,'Main Data'!B349:C1348,"Data Not Found",0)</f>
        <v>52</v>
      </c>
      <c r="C352" t="str">
        <v>Female</v>
      </c>
      <c r="E352" s="6" t="s">
        <v>751</v>
      </c>
      <c r="F352" cm="1">
        <f t="array" ref="F352:I352">VLOOKUP(E352,CHOOSE({1,2,3,4,5},'Main Data'!A349:A1348,'Main Data'!B349:B1348,'Main Data'!C349:C1348,'Main Data'!M349:M1348,'Main Data'!N349:N1348),{2,3,4,5},0)</f>
        <v>52</v>
      </c>
      <c r="G352" t="str">
        <v>Female</v>
      </c>
      <c r="H352" t="str">
        <v>UK</v>
      </c>
      <c r="I352">
        <v>1.42</v>
      </c>
      <c r="L352" s="6" t="s">
        <v>751</v>
      </c>
      <c r="M352" t="str" cm="1">
        <f t="array" ref="M352:O352">INDEX('Main Data'!A349:O1348,MATCH(L352,'Main Data'!A349:A1348,0),{3,7,14})</f>
        <v>Female</v>
      </c>
      <c r="N352">
        <v>135564.09</v>
      </c>
      <c r="O352">
        <v>1.42</v>
      </c>
    </row>
    <row r="353" spans="1:15" x14ac:dyDescent="0.3">
      <c r="A353" s="6" t="s">
        <v>753</v>
      </c>
      <c r="B353" cm="1">
        <f t="array" ref="B353:C353">_xlfn.XLOOKUP(A353,'Main Data'!A350:A1349,'Main Data'!B350:C1349,"Data Not Found",0)</f>
        <v>40</v>
      </c>
      <c r="C353" t="str">
        <v>Male</v>
      </c>
      <c r="E353" s="6" t="s">
        <v>753</v>
      </c>
      <c r="F353" cm="1">
        <f t="array" ref="F353:I353">VLOOKUP(E353,CHOOSE({1,2,3,4,5},'Main Data'!A350:A1349,'Main Data'!B350:B1349,'Main Data'!C350:C1349,'Main Data'!M350:M1349,'Main Data'!N350:N1349),{2,3,4,5},0)</f>
        <v>40</v>
      </c>
      <c r="G353" t="str">
        <v>Male</v>
      </c>
      <c r="H353" t="str">
        <v>UAE</v>
      </c>
      <c r="I353">
        <v>4.97</v>
      </c>
      <c r="L353" s="6" t="s">
        <v>753</v>
      </c>
      <c r="M353" t="str" cm="1">
        <f t="array" ref="M353:O353">INDEX('Main Data'!A350:O1349,MATCH(L353,'Main Data'!A350:A1349,0),{3,7,14})</f>
        <v>Male</v>
      </c>
      <c r="N353">
        <v>146714.74</v>
      </c>
      <c r="O353">
        <v>4.97</v>
      </c>
    </row>
    <row r="354" spans="1:15" x14ac:dyDescent="0.3">
      <c r="A354" s="6" t="s">
        <v>755</v>
      </c>
      <c r="B354" cm="1">
        <f t="array" ref="B354:C354">_xlfn.XLOOKUP(A354,'Main Data'!A351:A1350,'Main Data'!B351:C1350,"Data Not Found",0)</f>
        <v>45</v>
      </c>
      <c r="C354" t="str">
        <v>Male</v>
      </c>
      <c r="E354" s="6" t="s">
        <v>755</v>
      </c>
      <c r="F354" cm="1">
        <f t="array" ref="F354:I354">VLOOKUP(E354,CHOOSE({1,2,3,4,5},'Main Data'!A351:A1350,'Main Data'!B351:B1350,'Main Data'!C351:C1350,'Main Data'!M351:M1350,'Main Data'!N351:N1350),{2,3,4,5},0)</f>
        <v>45</v>
      </c>
      <c r="G354" t="str">
        <v>Male</v>
      </c>
      <c r="H354" t="str">
        <v>Japan</v>
      </c>
      <c r="I354">
        <v>1.71</v>
      </c>
      <c r="L354" s="6" t="s">
        <v>755</v>
      </c>
      <c r="M354" t="str" cm="1">
        <f t="array" ref="M354:O354">INDEX('Main Data'!A351:O1350,MATCH(L354,'Main Data'!A351:A1350,0),{3,7,14})</f>
        <v>Male</v>
      </c>
      <c r="N354">
        <v>178454.62</v>
      </c>
      <c r="O354">
        <v>1.71</v>
      </c>
    </row>
    <row r="355" spans="1:15" x14ac:dyDescent="0.3">
      <c r="A355" s="6" t="s">
        <v>757</v>
      </c>
      <c r="B355" cm="1">
        <f t="array" ref="B355:C355">_xlfn.XLOOKUP(A355,'Main Data'!A352:A1351,'Main Data'!B352:C1351,"Data Not Found",0)</f>
        <v>23</v>
      </c>
      <c r="C355" t="str">
        <v>Male</v>
      </c>
      <c r="E355" s="6" t="s">
        <v>757</v>
      </c>
      <c r="F355" cm="1">
        <f t="array" ref="F355:I355">VLOOKUP(E355,CHOOSE({1,2,3,4,5},'Main Data'!A352:A1351,'Main Data'!B352:B1351,'Main Data'!C352:C1351,'Main Data'!M352:M1351,'Main Data'!N352:N1351),{2,3,4,5},0)</f>
        <v>23</v>
      </c>
      <c r="G355" t="str">
        <v>Male</v>
      </c>
      <c r="H355" t="str">
        <v>USA</v>
      </c>
      <c r="I355">
        <v>2.29</v>
      </c>
      <c r="L355" s="6" t="s">
        <v>757</v>
      </c>
      <c r="M355" t="str" cm="1">
        <f t="array" ref="M355:O355">INDEX('Main Data'!A352:O1351,MATCH(L355,'Main Data'!A352:A1351,0),{3,7,14})</f>
        <v>Male</v>
      </c>
      <c r="N355">
        <v>115852.17</v>
      </c>
      <c r="O355">
        <v>2.29</v>
      </c>
    </row>
    <row r="356" spans="1:15" x14ac:dyDescent="0.3">
      <c r="A356" s="6" t="s">
        <v>759</v>
      </c>
      <c r="B356" cm="1">
        <f t="array" ref="B356:C356">_xlfn.XLOOKUP(A356,'Main Data'!A353:A1352,'Main Data'!B353:C1352,"Data Not Found",0)</f>
        <v>28</v>
      </c>
      <c r="C356" t="str">
        <v>Other</v>
      </c>
      <c r="E356" s="6" t="s">
        <v>759</v>
      </c>
      <c r="F356" cm="1">
        <f t="array" ref="F356:I356">VLOOKUP(E356,CHOOSE({1,2,3,4,5},'Main Data'!A353:A1352,'Main Data'!B353:B1352,'Main Data'!C353:C1352,'Main Data'!M353:M1352,'Main Data'!N353:N1352),{2,3,4,5},0)</f>
        <v>28</v>
      </c>
      <c r="G356" t="str">
        <v>Other</v>
      </c>
      <c r="H356" t="str">
        <v>France</v>
      </c>
      <c r="I356">
        <v>4.5599999999999996</v>
      </c>
      <c r="L356" s="6" t="s">
        <v>759</v>
      </c>
      <c r="M356" t="str" cm="1">
        <f t="array" ref="M356:O356">INDEX('Main Data'!A353:O1352,MATCH(L356,'Main Data'!A353:A1352,0),{3,7,14})</f>
        <v>Other</v>
      </c>
      <c r="N356">
        <v>154631.42000000001</v>
      </c>
      <c r="O356">
        <v>4.5599999999999996</v>
      </c>
    </row>
    <row r="357" spans="1:15" x14ac:dyDescent="0.3">
      <c r="A357" s="6" t="s">
        <v>761</v>
      </c>
      <c r="B357" cm="1">
        <f t="array" ref="B357:C357">_xlfn.XLOOKUP(A357,'Main Data'!A354:A1353,'Main Data'!B354:C1353,"Data Not Found",0)</f>
        <v>64</v>
      </c>
      <c r="C357" t="str">
        <v>Male</v>
      </c>
      <c r="E357" s="6" t="s">
        <v>761</v>
      </c>
      <c r="F357" cm="1">
        <f t="array" ref="F357:I357">VLOOKUP(E357,CHOOSE({1,2,3,4,5},'Main Data'!A354:A1353,'Main Data'!B354:B1353,'Main Data'!C354:C1353,'Main Data'!M354:M1353,'Main Data'!N354:N1353),{2,3,4,5},0)</f>
        <v>64</v>
      </c>
      <c r="G357" t="str">
        <v>Male</v>
      </c>
      <c r="H357" t="str">
        <v>UK</v>
      </c>
      <c r="I357">
        <v>1.0900000000000001</v>
      </c>
      <c r="L357" s="6" t="s">
        <v>761</v>
      </c>
      <c r="M357" t="str" cm="1">
        <f t="array" ref="M357:O357">INDEX('Main Data'!A354:O1353,MATCH(L357,'Main Data'!A354:A1353,0),{3,7,14})</f>
        <v>Male</v>
      </c>
      <c r="N357">
        <v>175091.99</v>
      </c>
      <c r="O357">
        <v>1.0900000000000001</v>
      </c>
    </row>
    <row r="358" spans="1:15" x14ac:dyDescent="0.3">
      <c r="A358" s="6" t="s">
        <v>763</v>
      </c>
      <c r="B358" cm="1">
        <f t="array" ref="B358:C358">_xlfn.XLOOKUP(A358,'Main Data'!A355:A1354,'Main Data'!B355:C1354,"Data Not Found",0)</f>
        <v>52</v>
      </c>
      <c r="C358" t="str">
        <v>Other</v>
      </c>
      <c r="E358" s="6" t="s">
        <v>763</v>
      </c>
      <c r="F358" cm="1">
        <f t="array" ref="F358:I358">VLOOKUP(E358,CHOOSE({1,2,3,4,5},'Main Data'!A355:A1354,'Main Data'!B355:B1354,'Main Data'!C355:C1354,'Main Data'!M355:M1354,'Main Data'!N355:N1354),{2,3,4,5},0)</f>
        <v>52</v>
      </c>
      <c r="G358" t="str">
        <v>Other</v>
      </c>
      <c r="H358" t="str">
        <v>UAE</v>
      </c>
      <c r="I358">
        <v>2.2799999999999998</v>
      </c>
      <c r="L358" s="6" t="s">
        <v>763</v>
      </c>
      <c r="M358" t="str" cm="1">
        <f t="array" ref="M358:O358">INDEX('Main Data'!A355:O1354,MATCH(L358,'Main Data'!A355:A1354,0),{3,7,14})</f>
        <v>Other</v>
      </c>
      <c r="N358">
        <v>147273.34</v>
      </c>
      <c r="O358">
        <v>2.2799999999999998</v>
      </c>
    </row>
    <row r="359" spans="1:15" x14ac:dyDescent="0.3">
      <c r="A359" s="6" t="s">
        <v>765</v>
      </c>
      <c r="B359" cm="1">
        <f t="array" ref="B359:C359">_xlfn.XLOOKUP(A359,'Main Data'!A356:A1355,'Main Data'!B356:C1355,"Data Not Found",0)</f>
        <v>38</v>
      </c>
      <c r="C359" t="str">
        <v>Female</v>
      </c>
      <c r="E359" s="6" t="s">
        <v>765</v>
      </c>
      <c r="F359" cm="1">
        <f t="array" ref="F359:I359">VLOOKUP(E359,CHOOSE({1,2,3,4,5},'Main Data'!A356:A1355,'Main Data'!B356:B1355,'Main Data'!C356:C1355,'Main Data'!M356:M1355,'Main Data'!N356:N1355),{2,3,4,5},0)</f>
        <v>38</v>
      </c>
      <c r="G359" t="str">
        <v>Female</v>
      </c>
      <c r="H359" t="str">
        <v>Japan</v>
      </c>
      <c r="I359">
        <v>2.85</v>
      </c>
      <c r="L359" s="6" t="s">
        <v>765</v>
      </c>
      <c r="M359" t="str" cm="1">
        <f t="array" ref="M359:O359">INDEX('Main Data'!A356:O1355,MATCH(L359,'Main Data'!A356:A1355,0),{3,7,14})</f>
        <v>Female</v>
      </c>
      <c r="N359">
        <v>59352.45</v>
      </c>
      <c r="O359">
        <v>2.85</v>
      </c>
    </row>
    <row r="360" spans="1:15" x14ac:dyDescent="0.3">
      <c r="A360" s="6" t="s">
        <v>767</v>
      </c>
      <c r="B360" cm="1">
        <f t="array" ref="B360:C360">_xlfn.XLOOKUP(A360,'Main Data'!A357:A1356,'Main Data'!B357:C1356,"Data Not Found",0)</f>
        <v>48</v>
      </c>
      <c r="C360" t="str">
        <v>Male</v>
      </c>
      <c r="E360" s="6" t="s">
        <v>767</v>
      </c>
      <c r="F360" cm="1">
        <f t="array" ref="F360:I360">VLOOKUP(E360,CHOOSE({1,2,3,4,5},'Main Data'!A357:A1356,'Main Data'!B357:B1356,'Main Data'!C357:C1356,'Main Data'!M357:M1356,'Main Data'!N357:N1356),{2,3,4,5},0)</f>
        <v>48</v>
      </c>
      <c r="G360" t="str">
        <v>Male</v>
      </c>
      <c r="H360" t="str">
        <v>USA</v>
      </c>
      <c r="I360">
        <v>1.29</v>
      </c>
      <c r="L360" s="6" t="s">
        <v>767</v>
      </c>
      <c r="M360" t="str" cm="1">
        <f t="array" ref="M360:O360">INDEX('Main Data'!A357:O1356,MATCH(L360,'Main Data'!A357:A1356,0),{3,7,14})</f>
        <v>Male</v>
      </c>
      <c r="N360">
        <v>122891.69</v>
      </c>
      <c r="O360">
        <v>1.29</v>
      </c>
    </row>
    <row r="361" spans="1:15" x14ac:dyDescent="0.3">
      <c r="A361" s="6" t="s">
        <v>769</v>
      </c>
      <c r="B361" cm="1">
        <f t="array" ref="B361:C361">_xlfn.XLOOKUP(A361,'Main Data'!A358:A1357,'Main Data'!B358:C1357,"Data Not Found",0)</f>
        <v>57</v>
      </c>
      <c r="C361" t="str">
        <v>Female</v>
      </c>
      <c r="E361" s="6" t="s">
        <v>769</v>
      </c>
      <c r="F361" cm="1">
        <f t="array" ref="F361:I361">VLOOKUP(E361,CHOOSE({1,2,3,4,5},'Main Data'!A358:A1357,'Main Data'!B358:B1357,'Main Data'!C358:C1357,'Main Data'!M358:M1357,'Main Data'!N358:N1357),{2,3,4,5},0)</f>
        <v>57</v>
      </c>
      <c r="G361" t="str">
        <v>Female</v>
      </c>
      <c r="H361" t="str">
        <v>France</v>
      </c>
      <c r="I361">
        <v>3.74</v>
      </c>
      <c r="L361" s="6" t="s">
        <v>769</v>
      </c>
      <c r="M361" t="str" cm="1">
        <f t="array" ref="M361:O361">INDEX('Main Data'!A358:O1357,MATCH(L361,'Main Data'!A358:A1357,0),{3,7,14})</f>
        <v>Female</v>
      </c>
      <c r="N361">
        <v>139326.73000000001</v>
      </c>
      <c r="O361">
        <v>3.74</v>
      </c>
    </row>
    <row r="362" spans="1:15" x14ac:dyDescent="0.3">
      <c r="A362" s="6" t="s">
        <v>771</v>
      </c>
      <c r="B362" cm="1">
        <f t="array" ref="B362:C362">_xlfn.XLOOKUP(A362,'Main Data'!A359:A1358,'Main Data'!B359:C1358,"Data Not Found",0)</f>
        <v>64</v>
      </c>
      <c r="C362" t="str">
        <v>Female</v>
      </c>
      <c r="E362" s="6" t="s">
        <v>771</v>
      </c>
      <c r="F362" cm="1">
        <f t="array" ref="F362:I362">VLOOKUP(E362,CHOOSE({1,2,3,4,5},'Main Data'!A359:A1358,'Main Data'!B359:B1358,'Main Data'!C359:C1358,'Main Data'!M359:M1358,'Main Data'!N359:N1358),{2,3,4,5},0)</f>
        <v>64</v>
      </c>
      <c r="G362" t="str">
        <v>Female</v>
      </c>
      <c r="H362" t="str">
        <v>UK</v>
      </c>
      <c r="I362">
        <v>1.4</v>
      </c>
      <c r="L362" s="6" t="s">
        <v>771</v>
      </c>
      <c r="M362" t="str" cm="1">
        <f t="array" ref="M362:O362">INDEX('Main Data'!A359:O1358,MATCH(L362,'Main Data'!A359:A1358,0),{3,7,14})</f>
        <v>Female</v>
      </c>
      <c r="N362">
        <v>93443.82</v>
      </c>
      <c r="O362">
        <v>1.4</v>
      </c>
    </row>
    <row r="363" spans="1:15" x14ac:dyDescent="0.3">
      <c r="A363" s="6" t="s">
        <v>773</v>
      </c>
      <c r="B363" cm="1">
        <f t="array" ref="B363:C363">_xlfn.XLOOKUP(A363,'Main Data'!A360:A1359,'Main Data'!B360:C1359,"Data Not Found",0)</f>
        <v>31</v>
      </c>
      <c r="C363" t="str">
        <v>Other</v>
      </c>
      <c r="E363" s="6" t="s">
        <v>773</v>
      </c>
      <c r="F363" cm="1">
        <f t="array" ref="F363:I363">VLOOKUP(E363,CHOOSE({1,2,3,4,5},'Main Data'!A360:A1359,'Main Data'!B360:B1359,'Main Data'!C360:C1359,'Main Data'!M360:M1359,'Main Data'!N360:N1359),{2,3,4,5},0)</f>
        <v>31</v>
      </c>
      <c r="G363" t="str">
        <v>Other</v>
      </c>
      <c r="H363" t="str">
        <v>UAE</v>
      </c>
      <c r="I363">
        <v>4.8499999999999996</v>
      </c>
      <c r="L363" s="6" t="s">
        <v>773</v>
      </c>
      <c r="M363" t="str" cm="1">
        <f t="array" ref="M363:O363">INDEX('Main Data'!A360:O1359,MATCH(L363,'Main Data'!A360:A1359,0),{3,7,14})</f>
        <v>Other</v>
      </c>
      <c r="N363">
        <v>141212.79</v>
      </c>
      <c r="O363">
        <v>4.8499999999999996</v>
      </c>
    </row>
    <row r="364" spans="1:15" x14ac:dyDescent="0.3">
      <c r="A364" s="6" t="s">
        <v>775</v>
      </c>
      <c r="B364" cm="1">
        <f t="array" ref="B364:C364">_xlfn.XLOOKUP(A364,'Main Data'!A361:A1360,'Main Data'!B361:C1360,"Data Not Found",0)</f>
        <v>35</v>
      </c>
      <c r="C364" t="str">
        <v>Female</v>
      </c>
      <c r="E364" s="6" t="s">
        <v>775</v>
      </c>
      <c r="F364" cm="1">
        <f t="array" ref="F364:I364">VLOOKUP(E364,CHOOSE({1,2,3,4,5},'Main Data'!A361:A1360,'Main Data'!B361:B1360,'Main Data'!C361:C1360,'Main Data'!M361:M1360,'Main Data'!N361:N1360),{2,3,4,5},0)</f>
        <v>35</v>
      </c>
      <c r="G364" t="str">
        <v>Female</v>
      </c>
      <c r="H364" t="str">
        <v>Japan</v>
      </c>
      <c r="I364">
        <v>4.58</v>
      </c>
      <c r="L364" s="6" t="s">
        <v>775</v>
      </c>
      <c r="M364" t="str" cm="1">
        <f t="array" ref="M364:O364">INDEX('Main Data'!A361:O1360,MATCH(L364,'Main Data'!A361:A1360,0),{3,7,14})</f>
        <v>Female</v>
      </c>
      <c r="N364">
        <v>185599.66</v>
      </c>
      <c r="O364">
        <v>4.58</v>
      </c>
    </row>
    <row r="365" spans="1:15" x14ac:dyDescent="0.3">
      <c r="A365" s="6" t="s">
        <v>777</v>
      </c>
      <c r="B365" cm="1">
        <f t="array" ref="B365:C365">_xlfn.XLOOKUP(A365,'Main Data'!A362:A1361,'Main Data'!B362:C1361,"Data Not Found",0)</f>
        <v>28</v>
      </c>
      <c r="C365" t="str">
        <v>Other</v>
      </c>
      <c r="E365" s="6" t="s">
        <v>777</v>
      </c>
      <c r="F365" cm="1">
        <f t="array" ref="F365:I365">VLOOKUP(E365,CHOOSE({1,2,3,4,5},'Main Data'!A362:A1361,'Main Data'!B362:B1361,'Main Data'!C362:C1361,'Main Data'!M362:M1361,'Main Data'!N362:N1361),{2,3,4,5},0)</f>
        <v>28</v>
      </c>
      <c r="G365" t="str">
        <v>Other</v>
      </c>
      <c r="H365" t="str">
        <v>USA</v>
      </c>
      <c r="I365">
        <v>1.2</v>
      </c>
      <c r="L365" s="6" t="s">
        <v>777</v>
      </c>
      <c r="M365" t="str" cm="1">
        <f t="array" ref="M365:O365">INDEX('Main Data'!A362:O1361,MATCH(L365,'Main Data'!A362:A1361,0),{3,7,14})</f>
        <v>Other</v>
      </c>
      <c r="N365">
        <v>140652.57999999999</v>
      </c>
      <c r="O365">
        <v>1.2</v>
      </c>
    </row>
    <row r="366" spans="1:15" x14ac:dyDescent="0.3">
      <c r="A366" s="6" t="s">
        <v>779</v>
      </c>
      <c r="B366" cm="1">
        <f t="array" ref="B366:C366">_xlfn.XLOOKUP(A366,'Main Data'!A363:A1362,'Main Data'!B363:C1362,"Data Not Found",0)</f>
        <v>60</v>
      </c>
      <c r="C366" t="str">
        <v>Other</v>
      </c>
      <c r="E366" s="6" t="s">
        <v>779</v>
      </c>
      <c r="F366" cm="1">
        <f t="array" ref="F366:I366">VLOOKUP(E366,CHOOSE({1,2,3,4,5},'Main Data'!A363:A1362,'Main Data'!B363:B1362,'Main Data'!C363:C1362,'Main Data'!M363:M1362,'Main Data'!N363:N1362),{2,3,4,5},0)</f>
        <v>60</v>
      </c>
      <c r="G366" t="str">
        <v>Other</v>
      </c>
      <c r="H366" t="str">
        <v>France</v>
      </c>
      <c r="I366">
        <v>1.1599999999999999</v>
      </c>
      <c r="L366" s="6" t="s">
        <v>779</v>
      </c>
      <c r="M366" t="str" cm="1">
        <f t="array" ref="M366:O366">INDEX('Main Data'!A363:O1362,MATCH(L366,'Main Data'!A363:A1362,0),{3,7,14})</f>
        <v>Other</v>
      </c>
      <c r="N366">
        <v>52839.72</v>
      </c>
      <c r="O366">
        <v>1.1599999999999999</v>
      </c>
    </row>
    <row r="367" spans="1:15" x14ac:dyDescent="0.3">
      <c r="A367" s="6" t="s">
        <v>781</v>
      </c>
      <c r="B367" cm="1">
        <f t="array" ref="B367:C367">_xlfn.XLOOKUP(A367,'Main Data'!A364:A1363,'Main Data'!B364:C1363,"Data Not Found",0)</f>
        <v>61</v>
      </c>
      <c r="C367" t="str">
        <v>Female</v>
      </c>
      <c r="E367" s="6" t="s">
        <v>781</v>
      </c>
      <c r="F367" cm="1">
        <f t="array" ref="F367:I367">VLOOKUP(E367,CHOOSE({1,2,3,4,5},'Main Data'!A364:A1363,'Main Data'!B364:B1363,'Main Data'!C364:C1363,'Main Data'!M364:M1363,'Main Data'!N364:N1363),{2,3,4,5},0)</f>
        <v>61</v>
      </c>
      <c r="G367" t="str">
        <v>Female</v>
      </c>
      <c r="H367" t="str">
        <v>UK</v>
      </c>
      <c r="I367">
        <v>4.5</v>
      </c>
      <c r="L367" s="6" t="s">
        <v>781</v>
      </c>
      <c r="M367" t="str" cm="1">
        <f t="array" ref="M367:O367">INDEX('Main Data'!A364:O1363,MATCH(L367,'Main Data'!A364:A1363,0),{3,7,14})</f>
        <v>Female</v>
      </c>
      <c r="N367">
        <v>127516.1</v>
      </c>
      <c r="O367">
        <v>4.5</v>
      </c>
    </row>
    <row r="368" spans="1:15" x14ac:dyDescent="0.3">
      <c r="A368" s="6" t="s">
        <v>783</v>
      </c>
      <c r="B368" cm="1">
        <f t="array" ref="B368:C368">_xlfn.XLOOKUP(A368,'Main Data'!A365:A1364,'Main Data'!B365:C1364,"Data Not Found",0)</f>
        <v>30</v>
      </c>
      <c r="C368" t="str">
        <v>Female</v>
      </c>
      <c r="E368" s="6" t="s">
        <v>783</v>
      </c>
      <c r="F368" cm="1">
        <f t="array" ref="F368:I368">VLOOKUP(E368,CHOOSE({1,2,3,4,5},'Main Data'!A365:A1364,'Main Data'!B365:B1364,'Main Data'!C365:C1364,'Main Data'!M365:M1364,'Main Data'!N365:N1364),{2,3,4,5},0)</f>
        <v>30</v>
      </c>
      <c r="G368" t="str">
        <v>Female</v>
      </c>
      <c r="H368" t="str">
        <v>UAE</v>
      </c>
      <c r="I368">
        <v>1.35</v>
      </c>
      <c r="L368" s="6" t="s">
        <v>783</v>
      </c>
      <c r="M368" t="str" cm="1">
        <f t="array" ref="M368:O368">INDEX('Main Data'!A365:O1364,MATCH(L368,'Main Data'!A365:A1364,0),{3,7,14})</f>
        <v>Female</v>
      </c>
      <c r="N368">
        <v>92964.75</v>
      </c>
      <c r="O368">
        <v>1.35</v>
      </c>
    </row>
    <row r="369" spans="1:15" x14ac:dyDescent="0.3">
      <c r="A369" s="6" t="s">
        <v>785</v>
      </c>
      <c r="B369" cm="1">
        <f t="array" ref="B369:C369">_xlfn.XLOOKUP(A369,'Main Data'!A366:A1365,'Main Data'!B366:C1365,"Data Not Found",0)</f>
        <v>35</v>
      </c>
      <c r="C369" t="str">
        <v>Female</v>
      </c>
      <c r="E369" s="6" t="s">
        <v>785</v>
      </c>
      <c r="F369" cm="1">
        <f t="array" ref="F369:I369">VLOOKUP(E369,CHOOSE({1,2,3,4,5},'Main Data'!A366:A1365,'Main Data'!B366:B1365,'Main Data'!C366:C1365,'Main Data'!M366:M1365,'Main Data'!N366:N1365),{2,3,4,5},0)</f>
        <v>35</v>
      </c>
      <c r="G369" t="str">
        <v>Female</v>
      </c>
      <c r="H369" t="str">
        <v>Japan</v>
      </c>
      <c r="I369">
        <v>1.64</v>
      </c>
      <c r="L369" s="6" t="s">
        <v>785</v>
      </c>
      <c r="M369" t="str" cm="1">
        <f t="array" ref="M369:O369">INDEX('Main Data'!A366:O1365,MATCH(L369,'Main Data'!A366:A1365,0),{3,7,14})</f>
        <v>Female</v>
      </c>
      <c r="N369">
        <v>130541.47</v>
      </c>
      <c r="O369">
        <v>1.64</v>
      </c>
    </row>
    <row r="370" spans="1:15" x14ac:dyDescent="0.3">
      <c r="A370" s="6" t="s">
        <v>787</v>
      </c>
      <c r="B370" cm="1">
        <f t="array" ref="B370:C370">_xlfn.XLOOKUP(A370,'Main Data'!A367:A1366,'Main Data'!B367:C1366,"Data Not Found",0)</f>
        <v>29</v>
      </c>
      <c r="C370" t="str">
        <v>Other</v>
      </c>
      <c r="E370" s="6" t="s">
        <v>787</v>
      </c>
      <c r="F370" cm="1">
        <f t="array" ref="F370:I370">VLOOKUP(E370,CHOOSE({1,2,3,4,5},'Main Data'!A367:A1366,'Main Data'!B367:B1366,'Main Data'!C367:C1366,'Main Data'!M367:M1366,'Main Data'!N367:N1366),{2,3,4,5},0)</f>
        <v>29</v>
      </c>
      <c r="G370" t="str">
        <v>Other</v>
      </c>
      <c r="H370" t="str">
        <v>USA</v>
      </c>
      <c r="I370">
        <v>3.53</v>
      </c>
      <c r="L370" s="6" t="s">
        <v>787</v>
      </c>
      <c r="M370" t="str" cm="1">
        <f t="array" ref="M370:O370">INDEX('Main Data'!A367:O1366,MATCH(L370,'Main Data'!A367:A1366,0),{3,7,14})</f>
        <v>Other</v>
      </c>
      <c r="N370">
        <v>159085.45000000001</v>
      </c>
      <c r="O370">
        <v>3.53</v>
      </c>
    </row>
    <row r="371" spans="1:15" x14ac:dyDescent="0.3">
      <c r="A371" s="6" t="s">
        <v>789</v>
      </c>
      <c r="B371" cm="1">
        <f t="array" ref="B371:C371">_xlfn.XLOOKUP(A371,'Main Data'!A368:A1367,'Main Data'!B368:C1367,"Data Not Found",0)</f>
        <v>38</v>
      </c>
      <c r="C371" t="str">
        <v>Other</v>
      </c>
      <c r="E371" s="6" t="s">
        <v>789</v>
      </c>
      <c r="F371" cm="1">
        <f t="array" ref="F371:I371">VLOOKUP(E371,CHOOSE({1,2,3,4,5},'Main Data'!A368:A1367,'Main Data'!B368:B1367,'Main Data'!C368:C1367,'Main Data'!M368:M1367,'Main Data'!N368:N1367),{2,3,4,5},0)</f>
        <v>38</v>
      </c>
      <c r="G371" t="str">
        <v>Other</v>
      </c>
      <c r="H371" t="str">
        <v>France</v>
      </c>
      <c r="I371">
        <v>1.84</v>
      </c>
      <c r="L371" s="6" t="s">
        <v>789</v>
      </c>
      <c r="M371" t="str" cm="1">
        <f t="array" ref="M371:O371">INDEX('Main Data'!A368:O1367,MATCH(L371,'Main Data'!A368:A1367,0),{3,7,14})</f>
        <v>Other</v>
      </c>
      <c r="N371">
        <v>68096.73</v>
      </c>
      <c r="O371">
        <v>1.84</v>
      </c>
    </row>
    <row r="372" spans="1:15" x14ac:dyDescent="0.3">
      <c r="A372" s="6" t="s">
        <v>791</v>
      </c>
      <c r="B372" cm="1">
        <f t="array" ref="B372:C372">_xlfn.XLOOKUP(A372,'Main Data'!A369:A1368,'Main Data'!B369:C1368,"Data Not Found",0)</f>
        <v>44</v>
      </c>
      <c r="C372" t="str">
        <v>Female</v>
      </c>
      <c r="E372" s="6" t="s">
        <v>791</v>
      </c>
      <c r="F372" cm="1">
        <f t="array" ref="F372:I372">VLOOKUP(E372,CHOOSE({1,2,3,4,5},'Main Data'!A369:A1368,'Main Data'!B369:B1368,'Main Data'!C369:C1368,'Main Data'!M369:M1368,'Main Data'!N369:N1368),{2,3,4,5},0)</f>
        <v>44</v>
      </c>
      <c r="G372" t="str">
        <v>Female</v>
      </c>
      <c r="H372" t="str">
        <v>UK</v>
      </c>
      <c r="I372">
        <v>2.36</v>
      </c>
      <c r="L372" s="6" t="s">
        <v>791</v>
      </c>
      <c r="M372" t="str" cm="1">
        <f t="array" ref="M372:O372">INDEX('Main Data'!A369:O1368,MATCH(L372,'Main Data'!A369:A1368,0),{3,7,14})</f>
        <v>Female</v>
      </c>
      <c r="N372">
        <v>55179.66</v>
      </c>
      <c r="O372">
        <v>2.36</v>
      </c>
    </row>
    <row r="373" spans="1:15" x14ac:dyDescent="0.3">
      <c r="A373" s="6" t="s">
        <v>793</v>
      </c>
      <c r="B373" cm="1">
        <f t="array" ref="B373:C373">_xlfn.XLOOKUP(A373,'Main Data'!A370:A1369,'Main Data'!B370:C1369,"Data Not Found",0)</f>
        <v>37</v>
      </c>
      <c r="C373" t="str">
        <v>Other</v>
      </c>
      <c r="E373" s="6" t="s">
        <v>793</v>
      </c>
      <c r="F373" cm="1">
        <f t="array" ref="F373:I373">VLOOKUP(E373,CHOOSE({1,2,3,4,5},'Main Data'!A370:A1369,'Main Data'!B370:B1369,'Main Data'!C370:C1369,'Main Data'!M370:M1369,'Main Data'!N370:N1369),{2,3,4,5},0)</f>
        <v>37</v>
      </c>
      <c r="G373" t="str">
        <v>Other</v>
      </c>
      <c r="H373" t="str">
        <v>UAE</v>
      </c>
      <c r="I373">
        <v>3.96</v>
      </c>
      <c r="L373" s="6" t="s">
        <v>793</v>
      </c>
      <c r="M373" t="str" cm="1">
        <f t="array" ref="M373:O373">INDEX('Main Data'!A370:O1369,MATCH(L373,'Main Data'!A370:A1369,0),{3,7,14})</f>
        <v>Other</v>
      </c>
      <c r="N373">
        <v>199478.17</v>
      </c>
      <c r="O373">
        <v>3.96</v>
      </c>
    </row>
    <row r="374" spans="1:15" x14ac:dyDescent="0.3">
      <c r="A374" s="6" t="s">
        <v>795</v>
      </c>
      <c r="B374" cm="1">
        <f t="array" ref="B374:C374">_xlfn.XLOOKUP(A374,'Main Data'!A371:A1370,'Main Data'!B371:C1370,"Data Not Found",0)</f>
        <v>47</v>
      </c>
      <c r="C374" t="str">
        <v>Female</v>
      </c>
      <c r="E374" s="6" t="s">
        <v>795</v>
      </c>
      <c r="F374" cm="1">
        <f t="array" ref="F374:I374">VLOOKUP(E374,CHOOSE({1,2,3,4,5},'Main Data'!A371:A1370,'Main Data'!B371:B1370,'Main Data'!C371:C1370,'Main Data'!M371:M1370,'Main Data'!N371:N1370),{2,3,4,5},0)</f>
        <v>47</v>
      </c>
      <c r="G374" t="str">
        <v>Female</v>
      </c>
      <c r="H374" t="str">
        <v>Japan</v>
      </c>
      <c r="I374">
        <v>1.98</v>
      </c>
      <c r="L374" s="6" t="s">
        <v>795</v>
      </c>
      <c r="M374" t="str" cm="1">
        <f t="array" ref="M374:O374">INDEX('Main Data'!A371:O1370,MATCH(L374,'Main Data'!A371:A1370,0),{3,7,14})</f>
        <v>Female</v>
      </c>
      <c r="N374">
        <v>76369.25</v>
      </c>
      <c r="O374">
        <v>1.98</v>
      </c>
    </row>
    <row r="375" spans="1:15" x14ac:dyDescent="0.3">
      <c r="A375" s="6" t="s">
        <v>797</v>
      </c>
      <c r="B375" cm="1">
        <f t="array" ref="B375:C375">_xlfn.XLOOKUP(A375,'Main Data'!A372:A1371,'Main Data'!B372:C1371,"Data Not Found",0)</f>
        <v>30</v>
      </c>
      <c r="C375" t="str">
        <v>Other</v>
      </c>
      <c r="E375" s="6" t="s">
        <v>797</v>
      </c>
      <c r="F375" cm="1">
        <f t="array" ref="F375:I375">VLOOKUP(E375,CHOOSE({1,2,3,4,5},'Main Data'!A372:A1371,'Main Data'!B372:B1371,'Main Data'!C372:C1371,'Main Data'!M372:M1371,'Main Data'!N372:N1371),{2,3,4,5},0)</f>
        <v>30</v>
      </c>
      <c r="G375" t="str">
        <v>Other</v>
      </c>
      <c r="H375" t="str">
        <v>USA</v>
      </c>
      <c r="I375">
        <v>1.47</v>
      </c>
      <c r="L375" s="6" t="s">
        <v>797</v>
      </c>
      <c r="M375" t="str" cm="1">
        <f t="array" ref="M375:O375">INDEX('Main Data'!A372:O1371,MATCH(L375,'Main Data'!A372:A1371,0),{3,7,14})</f>
        <v>Other</v>
      </c>
      <c r="N375">
        <v>180074.03</v>
      </c>
      <c r="O375">
        <v>1.47</v>
      </c>
    </row>
    <row r="376" spans="1:15" x14ac:dyDescent="0.3">
      <c r="A376" s="6" t="s">
        <v>799</v>
      </c>
      <c r="B376" cm="1">
        <f t="array" ref="B376:C376">_xlfn.XLOOKUP(A376,'Main Data'!A373:A1372,'Main Data'!B373:C1372,"Data Not Found",0)</f>
        <v>57</v>
      </c>
      <c r="C376" t="str">
        <v>Other</v>
      </c>
      <c r="E376" s="6" t="s">
        <v>799</v>
      </c>
      <c r="F376" cm="1">
        <f t="array" ref="F376:I376">VLOOKUP(E376,CHOOSE({1,2,3,4,5},'Main Data'!A373:A1372,'Main Data'!B373:B1372,'Main Data'!C373:C1372,'Main Data'!M373:M1372,'Main Data'!N373:N1372),{2,3,4,5},0)</f>
        <v>57</v>
      </c>
      <c r="G376" t="str">
        <v>Other</v>
      </c>
      <c r="H376" t="str">
        <v>France</v>
      </c>
      <c r="I376">
        <v>4.21</v>
      </c>
      <c r="L376" s="6" t="s">
        <v>799</v>
      </c>
      <c r="M376" t="str" cm="1">
        <f t="array" ref="M376:O376">INDEX('Main Data'!A373:O1372,MATCH(L376,'Main Data'!A373:A1372,0),{3,7,14})</f>
        <v>Other</v>
      </c>
      <c r="N376">
        <v>90747.19</v>
      </c>
      <c r="O376">
        <v>4.21</v>
      </c>
    </row>
    <row r="377" spans="1:15" x14ac:dyDescent="0.3">
      <c r="A377" s="6" t="s">
        <v>801</v>
      </c>
      <c r="B377" cm="1">
        <f t="array" ref="B377:C377">_xlfn.XLOOKUP(A377,'Main Data'!A374:A1373,'Main Data'!B374:C1373,"Data Not Found",0)</f>
        <v>28</v>
      </c>
      <c r="C377" t="str">
        <v>Male</v>
      </c>
      <c r="E377" s="6" t="s">
        <v>801</v>
      </c>
      <c r="F377" cm="1">
        <f t="array" ref="F377:I377">VLOOKUP(E377,CHOOSE({1,2,3,4,5},'Main Data'!A374:A1373,'Main Data'!B374:B1373,'Main Data'!C374:C1373,'Main Data'!M374:M1373,'Main Data'!N374:N1373),{2,3,4,5},0)</f>
        <v>28</v>
      </c>
      <c r="G377" t="str">
        <v>Male</v>
      </c>
      <c r="H377" t="str">
        <v>UK</v>
      </c>
      <c r="I377">
        <v>1.1399999999999999</v>
      </c>
      <c r="L377" s="6" t="s">
        <v>801</v>
      </c>
      <c r="M377" t="str" cm="1">
        <f t="array" ref="M377:O377">INDEX('Main Data'!A374:O1373,MATCH(L377,'Main Data'!A374:A1373,0),{3,7,14})</f>
        <v>Male</v>
      </c>
      <c r="N377">
        <v>136176.37</v>
      </c>
      <c r="O377">
        <v>1.1399999999999999</v>
      </c>
    </row>
    <row r="378" spans="1:15" x14ac:dyDescent="0.3">
      <c r="A378" s="6" t="s">
        <v>803</v>
      </c>
      <c r="B378" cm="1">
        <f t="array" ref="B378:C378">_xlfn.XLOOKUP(A378,'Main Data'!A375:A1374,'Main Data'!B375:C1374,"Data Not Found",0)</f>
        <v>39</v>
      </c>
      <c r="C378" t="str">
        <v>Male</v>
      </c>
      <c r="E378" s="6" t="s">
        <v>803</v>
      </c>
      <c r="F378" cm="1">
        <f t="array" ref="F378:I378">VLOOKUP(E378,CHOOSE({1,2,3,4,5},'Main Data'!A375:A1374,'Main Data'!B375:B1374,'Main Data'!C375:C1374,'Main Data'!M375:M1374,'Main Data'!N375:N1374),{2,3,4,5},0)</f>
        <v>39</v>
      </c>
      <c r="G378" t="str">
        <v>Male</v>
      </c>
      <c r="H378" t="str">
        <v>UAE</v>
      </c>
      <c r="I378">
        <v>2.09</v>
      </c>
      <c r="L378" s="6" t="s">
        <v>803</v>
      </c>
      <c r="M378" t="str" cm="1">
        <f t="array" ref="M378:O378">INDEX('Main Data'!A375:O1374,MATCH(L378,'Main Data'!A375:A1374,0),{3,7,14})</f>
        <v>Male</v>
      </c>
      <c r="N378">
        <v>100792.17</v>
      </c>
      <c r="O378">
        <v>2.09</v>
      </c>
    </row>
    <row r="379" spans="1:15" x14ac:dyDescent="0.3">
      <c r="A379" s="6" t="s">
        <v>805</v>
      </c>
      <c r="B379" cm="1">
        <f t="array" ref="B379:C379">_xlfn.XLOOKUP(A379,'Main Data'!A376:A1375,'Main Data'!B376:C1375,"Data Not Found",0)</f>
        <v>29</v>
      </c>
      <c r="C379" t="str">
        <v>Female</v>
      </c>
      <c r="E379" s="6" t="s">
        <v>805</v>
      </c>
      <c r="F379" cm="1">
        <f t="array" ref="F379:I379">VLOOKUP(E379,CHOOSE({1,2,3,4,5},'Main Data'!A376:A1375,'Main Data'!B376:B1375,'Main Data'!C376:C1375,'Main Data'!M376:M1375,'Main Data'!N376:N1375),{2,3,4,5},0)</f>
        <v>29</v>
      </c>
      <c r="G379" t="str">
        <v>Female</v>
      </c>
      <c r="H379" t="str">
        <v>Japan</v>
      </c>
      <c r="I379">
        <v>2.2999999999999998</v>
      </c>
      <c r="L379" s="6" t="s">
        <v>805</v>
      </c>
      <c r="M379" t="str" cm="1">
        <f t="array" ref="M379:O379">INDEX('Main Data'!A376:O1375,MATCH(L379,'Main Data'!A376:A1375,0),{3,7,14})</f>
        <v>Female</v>
      </c>
      <c r="N379">
        <v>78449.41</v>
      </c>
      <c r="O379">
        <v>2.2999999999999998</v>
      </c>
    </row>
    <row r="380" spans="1:15" x14ac:dyDescent="0.3">
      <c r="A380" s="6" t="s">
        <v>807</v>
      </c>
      <c r="B380" cm="1">
        <f t="array" ref="B380:C380">_xlfn.XLOOKUP(A380,'Main Data'!A377:A1376,'Main Data'!B377:C1376,"Data Not Found",0)</f>
        <v>42</v>
      </c>
      <c r="C380" t="str">
        <v>Male</v>
      </c>
      <c r="E380" s="6" t="s">
        <v>807</v>
      </c>
      <c r="F380" cm="1">
        <f t="array" ref="F380:I380">VLOOKUP(E380,CHOOSE({1,2,3,4,5},'Main Data'!A377:A1376,'Main Data'!B377:B1376,'Main Data'!C377:C1376,'Main Data'!M377:M1376,'Main Data'!N377:N1376),{2,3,4,5},0)</f>
        <v>42</v>
      </c>
      <c r="G380" t="str">
        <v>Male</v>
      </c>
      <c r="H380" t="str">
        <v>USA</v>
      </c>
      <c r="I380">
        <v>2.11</v>
      </c>
      <c r="L380" s="6" t="s">
        <v>807</v>
      </c>
      <c r="M380" t="str" cm="1">
        <f t="array" ref="M380:O380">INDEX('Main Data'!A377:O1376,MATCH(L380,'Main Data'!A377:A1376,0),{3,7,14})</f>
        <v>Male</v>
      </c>
      <c r="N380">
        <v>120435.9</v>
      </c>
      <c r="O380">
        <v>2.11</v>
      </c>
    </row>
    <row r="381" spans="1:15" x14ac:dyDescent="0.3">
      <c r="A381" s="6" t="s">
        <v>809</v>
      </c>
      <c r="B381" cm="1">
        <f t="array" ref="B381:C381">_xlfn.XLOOKUP(A381,'Main Data'!A378:A1377,'Main Data'!B378:C1377,"Data Not Found",0)</f>
        <v>47</v>
      </c>
      <c r="C381" t="str">
        <v>Other</v>
      </c>
      <c r="E381" s="6" t="s">
        <v>809</v>
      </c>
      <c r="F381" cm="1">
        <f t="array" ref="F381:I381">VLOOKUP(E381,CHOOSE({1,2,3,4,5},'Main Data'!A378:A1377,'Main Data'!B378:B1377,'Main Data'!C378:C1377,'Main Data'!M378:M1377,'Main Data'!N378:N1377),{2,3,4,5},0)</f>
        <v>47</v>
      </c>
      <c r="G381" t="str">
        <v>Other</v>
      </c>
      <c r="H381" t="str">
        <v>France</v>
      </c>
      <c r="I381">
        <v>4.58</v>
      </c>
      <c r="L381" s="6" t="s">
        <v>809</v>
      </c>
      <c r="M381" t="str" cm="1">
        <f t="array" ref="M381:O381">INDEX('Main Data'!A378:O1377,MATCH(L381,'Main Data'!A378:A1377,0),{3,7,14})</f>
        <v>Other</v>
      </c>
      <c r="N381">
        <v>168409.03</v>
      </c>
      <c r="O381">
        <v>4.58</v>
      </c>
    </row>
    <row r="382" spans="1:15" x14ac:dyDescent="0.3">
      <c r="A382" s="6" t="s">
        <v>811</v>
      </c>
      <c r="B382" cm="1">
        <f t="array" ref="B382:C382">_xlfn.XLOOKUP(A382,'Main Data'!A379:A1378,'Main Data'!B379:C1378,"Data Not Found",0)</f>
        <v>24</v>
      </c>
      <c r="C382" t="str">
        <v>Female</v>
      </c>
      <c r="E382" s="6" t="s">
        <v>811</v>
      </c>
      <c r="F382" cm="1">
        <f t="array" ref="F382:I382">VLOOKUP(E382,CHOOSE({1,2,3,4,5},'Main Data'!A379:A1378,'Main Data'!B379:B1378,'Main Data'!C379:C1378,'Main Data'!M379:M1378,'Main Data'!N379:N1378),{2,3,4,5},0)</f>
        <v>24</v>
      </c>
      <c r="G382" t="str">
        <v>Female</v>
      </c>
      <c r="H382" t="str">
        <v>UK</v>
      </c>
      <c r="I382">
        <v>1.47</v>
      </c>
      <c r="L382" s="6" t="s">
        <v>811</v>
      </c>
      <c r="M382" t="str" cm="1">
        <f t="array" ref="M382:O382">INDEX('Main Data'!A379:O1378,MATCH(L382,'Main Data'!A379:A1378,0),{3,7,14})</f>
        <v>Female</v>
      </c>
      <c r="N382">
        <v>165542.69</v>
      </c>
      <c r="O382">
        <v>1.47</v>
      </c>
    </row>
    <row r="383" spans="1:15" x14ac:dyDescent="0.3">
      <c r="A383" s="6" t="s">
        <v>813</v>
      </c>
      <c r="B383" cm="1">
        <f t="array" ref="B383:C383">_xlfn.XLOOKUP(A383,'Main Data'!A380:A1379,'Main Data'!B380:C1379,"Data Not Found",0)</f>
        <v>38</v>
      </c>
      <c r="C383" t="str">
        <v>Male</v>
      </c>
      <c r="E383" s="6" t="s">
        <v>813</v>
      </c>
      <c r="F383" cm="1">
        <f t="array" ref="F383:I383">VLOOKUP(E383,CHOOSE({1,2,3,4,5},'Main Data'!A380:A1379,'Main Data'!B380:B1379,'Main Data'!C380:C1379,'Main Data'!M380:M1379,'Main Data'!N380:N1379),{2,3,4,5},0)</f>
        <v>38</v>
      </c>
      <c r="G383" t="str">
        <v>Male</v>
      </c>
      <c r="H383" t="str">
        <v>UAE</v>
      </c>
      <c r="I383">
        <v>1.21</v>
      </c>
      <c r="L383" s="6" t="s">
        <v>813</v>
      </c>
      <c r="M383" t="str" cm="1">
        <f t="array" ref="M383:O383">INDEX('Main Data'!A380:O1379,MATCH(L383,'Main Data'!A380:A1379,0),{3,7,14})</f>
        <v>Male</v>
      </c>
      <c r="N383">
        <v>158346.10999999999</v>
      </c>
      <c r="O383">
        <v>1.21</v>
      </c>
    </row>
    <row r="384" spans="1:15" x14ac:dyDescent="0.3">
      <c r="A384" s="6" t="s">
        <v>815</v>
      </c>
      <c r="B384" cm="1">
        <f t="array" ref="B384:C384">_xlfn.XLOOKUP(A384,'Main Data'!A381:A1380,'Main Data'!B381:C1380,"Data Not Found",0)</f>
        <v>45</v>
      </c>
      <c r="C384" t="str">
        <v>Female</v>
      </c>
      <c r="E384" s="6" t="s">
        <v>815</v>
      </c>
      <c r="F384" cm="1">
        <f t="array" ref="F384:I384">VLOOKUP(E384,CHOOSE({1,2,3,4,5},'Main Data'!A381:A1380,'Main Data'!B381:B1380,'Main Data'!C381:C1380,'Main Data'!M381:M1380,'Main Data'!N381:N1380),{2,3,4,5},0)</f>
        <v>45</v>
      </c>
      <c r="G384" t="str">
        <v>Female</v>
      </c>
      <c r="H384" t="str">
        <v>Japan</v>
      </c>
      <c r="I384">
        <v>1.46</v>
      </c>
      <c r="L384" s="6" t="s">
        <v>815</v>
      </c>
      <c r="M384" t="str" cm="1">
        <f t="array" ref="M384:O384">INDEX('Main Data'!A381:O1380,MATCH(L384,'Main Data'!A381:A1380,0),{3,7,14})</f>
        <v>Female</v>
      </c>
      <c r="N384">
        <v>183095.37</v>
      </c>
      <c r="O384">
        <v>1.46</v>
      </c>
    </row>
    <row r="385" spans="1:15" x14ac:dyDescent="0.3">
      <c r="A385" s="6" t="s">
        <v>817</v>
      </c>
      <c r="B385" cm="1">
        <f t="array" ref="B385:C385">_xlfn.XLOOKUP(A385,'Main Data'!A382:A1381,'Main Data'!B382:C1381,"Data Not Found",0)</f>
        <v>46</v>
      </c>
      <c r="C385" t="str">
        <v>Female</v>
      </c>
      <c r="E385" s="6" t="s">
        <v>817</v>
      </c>
      <c r="F385" cm="1">
        <f t="array" ref="F385:I385">VLOOKUP(E385,CHOOSE({1,2,3,4,5},'Main Data'!A382:A1381,'Main Data'!B382:B1381,'Main Data'!C382:C1381,'Main Data'!M382:M1381,'Main Data'!N382:N1381),{2,3,4,5},0)</f>
        <v>46</v>
      </c>
      <c r="G385" t="str">
        <v>Female</v>
      </c>
      <c r="H385" t="str">
        <v>USA</v>
      </c>
      <c r="I385">
        <v>1.42</v>
      </c>
      <c r="L385" s="6" t="s">
        <v>817</v>
      </c>
      <c r="M385" t="str" cm="1">
        <f t="array" ref="M385:O385">INDEX('Main Data'!A382:O1381,MATCH(L385,'Main Data'!A382:A1381,0),{3,7,14})</f>
        <v>Female</v>
      </c>
      <c r="N385">
        <v>86625.51</v>
      </c>
      <c r="O385">
        <v>1.42</v>
      </c>
    </row>
    <row r="386" spans="1:15" x14ac:dyDescent="0.3">
      <c r="A386" s="6" t="s">
        <v>819</v>
      </c>
      <c r="B386" cm="1">
        <f t="array" ref="B386:C386">_xlfn.XLOOKUP(A386,'Main Data'!A383:A1382,'Main Data'!B383:C1382,"Data Not Found",0)</f>
        <v>26</v>
      </c>
      <c r="C386" t="str">
        <v>Other</v>
      </c>
      <c r="E386" s="6" t="s">
        <v>819</v>
      </c>
      <c r="F386" cm="1">
        <f t="array" ref="F386:I386">VLOOKUP(E386,CHOOSE({1,2,3,4,5},'Main Data'!A383:A1382,'Main Data'!B383:B1382,'Main Data'!C383:C1382,'Main Data'!M383:M1382,'Main Data'!N383:N1382),{2,3,4,5},0)</f>
        <v>26</v>
      </c>
      <c r="G386" t="str">
        <v>Other</v>
      </c>
      <c r="H386" t="str">
        <v>France</v>
      </c>
      <c r="I386">
        <v>1.1100000000000001</v>
      </c>
      <c r="L386" s="6" t="s">
        <v>819</v>
      </c>
      <c r="M386" t="str" cm="1">
        <f t="array" ref="M386:O386">INDEX('Main Data'!A383:O1382,MATCH(L386,'Main Data'!A383:A1382,0),{3,7,14})</f>
        <v>Other</v>
      </c>
      <c r="N386">
        <v>107360.69</v>
      </c>
      <c r="O386">
        <v>1.1100000000000001</v>
      </c>
    </row>
    <row r="387" spans="1:15" x14ac:dyDescent="0.3">
      <c r="A387" s="6" t="s">
        <v>821</v>
      </c>
      <c r="B387" cm="1">
        <f t="array" ref="B387:C387">_xlfn.XLOOKUP(A387,'Main Data'!A384:A1383,'Main Data'!B384:C1383,"Data Not Found",0)</f>
        <v>58</v>
      </c>
      <c r="C387" t="str">
        <v>Male</v>
      </c>
      <c r="E387" s="6" t="s">
        <v>821</v>
      </c>
      <c r="F387" cm="1">
        <f t="array" ref="F387:I387">VLOOKUP(E387,CHOOSE({1,2,3,4,5},'Main Data'!A384:A1383,'Main Data'!B384:B1383,'Main Data'!C384:C1383,'Main Data'!M384:M1383,'Main Data'!N384:N1383),{2,3,4,5},0)</f>
        <v>58</v>
      </c>
      <c r="G387" t="str">
        <v>Male</v>
      </c>
      <c r="H387" t="str">
        <v>UK</v>
      </c>
      <c r="I387">
        <v>2.06</v>
      </c>
      <c r="L387" s="6" t="s">
        <v>821</v>
      </c>
      <c r="M387" t="str" cm="1">
        <f t="array" ref="M387:O387">INDEX('Main Data'!A384:O1383,MATCH(L387,'Main Data'!A384:A1383,0),{3,7,14})</f>
        <v>Male</v>
      </c>
      <c r="N387">
        <v>79133.89</v>
      </c>
      <c r="O387">
        <v>2.06</v>
      </c>
    </row>
    <row r="388" spans="1:15" x14ac:dyDescent="0.3">
      <c r="A388" s="6" t="s">
        <v>823</v>
      </c>
      <c r="B388" cm="1">
        <f t="array" ref="B388:C388">_xlfn.XLOOKUP(A388,'Main Data'!A385:A1384,'Main Data'!B385:C1384,"Data Not Found",0)</f>
        <v>45</v>
      </c>
      <c r="C388" t="str">
        <v>Other</v>
      </c>
      <c r="E388" s="6" t="s">
        <v>823</v>
      </c>
      <c r="F388" cm="1">
        <f t="array" ref="F388:I388">VLOOKUP(E388,CHOOSE({1,2,3,4,5},'Main Data'!A385:A1384,'Main Data'!B385:B1384,'Main Data'!C385:C1384,'Main Data'!M385:M1384,'Main Data'!N385:N1384),{2,3,4,5},0)</f>
        <v>45</v>
      </c>
      <c r="G388" t="str">
        <v>Other</v>
      </c>
      <c r="H388" t="str">
        <v>UAE</v>
      </c>
      <c r="I388">
        <v>4.09</v>
      </c>
      <c r="L388" s="6" t="s">
        <v>823</v>
      </c>
      <c r="M388" t="str" cm="1">
        <f t="array" ref="M388:O388">INDEX('Main Data'!A385:O1384,MATCH(L388,'Main Data'!A385:A1384,0),{3,7,14})</f>
        <v>Other</v>
      </c>
      <c r="N388">
        <v>98849.600000000006</v>
      </c>
      <c r="O388">
        <v>4.09</v>
      </c>
    </row>
    <row r="389" spans="1:15" x14ac:dyDescent="0.3">
      <c r="A389" s="6" t="s">
        <v>825</v>
      </c>
      <c r="B389" cm="1">
        <f t="array" ref="B389:C389">_xlfn.XLOOKUP(A389,'Main Data'!A386:A1385,'Main Data'!B386:C1385,"Data Not Found",0)</f>
        <v>52</v>
      </c>
      <c r="C389" t="str">
        <v>Female</v>
      </c>
      <c r="E389" s="6" t="s">
        <v>825</v>
      </c>
      <c r="F389" cm="1">
        <f t="array" ref="F389:I389">VLOOKUP(E389,CHOOSE({1,2,3,4,5},'Main Data'!A386:A1385,'Main Data'!B386:B1385,'Main Data'!C386:C1385,'Main Data'!M386:M1385,'Main Data'!N386:N1385),{2,3,4,5},0)</f>
        <v>52</v>
      </c>
      <c r="G389" t="str">
        <v>Female</v>
      </c>
      <c r="H389" t="str">
        <v>Japan</v>
      </c>
      <c r="I389">
        <v>1.1299999999999999</v>
      </c>
      <c r="L389" s="6" t="s">
        <v>825</v>
      </c>
      <c r="M389" t="str" cm="1">
        <f t="array" ref="M389:O389">INDEX('Main Data'!A386:O1385,MATCH(L389,'Main Data'!A386:A1385,0),{3,7,14})</f>
        <v>Female</v>
      </c>
      <c r="N389">
        <v>83955.17</v>
      </c>
      <c r="O389">
        <v>1.1299999999999999</v>
      </c>
    </row>
    <row r="390" spans="1:15" x14ac:dyDescent="0.3">
      <c r="A390" s="6" t="s">
        <v>827</v>
      </c>
      <c r="B390" cm="1">
        <f t="array" ref="B390:C390">_xlfn.XLOOKUP(A390,'Main Data'!A387:A1386,'Main Data'!B387:C1386,"Data Not Found",0)</f>
        <v>47</v>
      </c>
      <c r="C390" t="str">
        <v>Female</v>
      </c>
      <c r="E390" s="6" t="s">
        <v>827</v>
      </c>
      <c r="F390" cm="1">
        <f t="array" ref="F390:I390">VLOOKUP(E390,CHOOSE({1,2,3,4,5},'Main Data'!A387:A1386,'Main Data'!B387:B1386,'Main Data'!C387:C1386,'Main Data'!M387:M1386,'Main Data'!N387:N1386),{2,3,4,5},0)</f>
        <v>47</v>
      </c>
      <c r="G390" t="str">
        <v>Female</v>
      </c>
      <c r="H390" t="str">
        <v>USA</v>
      </c>
      <c r="I390">
        <v>4.34</v>
      </c>
      <c r="L390" s="6" t="s">
        <v>827</v>
      </c>
      <c r="M390" t="str" cm="1">
        <f t="array" ref="M390:O390">INDEX('Main Data'!A387:O1386,MATCH(L390,'Main Data'!A387:A1386,0),{3,7,14})</f>
        <v>Female</v>
      </c>
      <c r="N390">
        <v>55945.15</v>
      </c>
      <c r="O390">
        <v>4.34</v>
      </c>
    </row>
    <row r="391" spans="1:15" x14ac:dyDescent="0.3">
      <c r="A391" s="6" t="s">
        <v>829</v>
      </c>
      <c r="B391" cm="1">
        <f t="array" ref="B391:C391">_xlfn.XLOOKUP(A391,'Main Data'!A388:A1387,'Main Data'!B388:C1387,"Data Not Found",0)</f>
        <v>42</v>
      </c>
      <c r="C391" t="str">
        <v>Female</v>
      </c>
      <c r="E391" s="6" t="s">
        <v>829</v>
      </c>
      <c r="F391" cm="1">
        <f t="array" ref="F391:I391">VLOOKUP(E391,CHOOSE({1,2,3,4,5},'Main Data'!A388:A1387,'Main Data'!B388:B1387,'Main Data'!C388:C1387,'Main Data'!M388:M1387,'Main Data'!N388:N1387),{2,3,4,5},0)</f>
        <v>42</v>
      </c>
      <c r="G391" t="str">
        <v>Female</v>
      </c>
      <c r="H391" t="str">
        <v>France</v>
      </c>
      <c r="I391">
        <v>2.86</v>
      </c>
      <c r="L391" s="6" t="s">
        <v>829</v>
      </c>
      <c r="M391" t="str" cm="1">
        <f t="array" ref="M391:O391">INDEX('Main Data'!A388:O1387,MATCH(L391,'Main Data'!A388:A1387,0),{3,7,14})</f>
        <v>Female</v>
      </c>
      <c r="N391">
        <v>189257.88</v>
      </c>
      <c r="O391">
        <v>2.86</v>
      </c>
    </row>
    <row r="392" spans="1:15" x14ac:dyDescent="0.3">
      <c r="A392" s="6" t="s">
        <v>831</v>
      </c>
      <c r="B392" cm="1">
        <f t="array" ref="B392:C392">_xlfn.XLOOKUP(A392,'Main Data'!A389:A1388,'Main Data'!B389:C1388,"Data Not Found",0)</f>
        <v>55</v>
      </c>
      <c r="C392" t="str">
        <v>Male</v>
      </c>
      <c r="E392" s="6" t="s">
        <v>831</v>
      </c>
      <c r="F392" cm="1">
        <f t="array" ref="F392:I392">VLOOKUP(E392,CHOOSE({1,2,3,4,5},'Main Data'!A389:A1388,'Main Data'!B389:B1388,'Main Data'!C389:C1388,'Main Data'!M389:M1388,'Main Data'!N389:N1388),{2,3,4,5},0)</f>
        <v>55</v>
      </c>
      <c r="G392" t="str">
        <v>Male</v>
      </c>
      <c r="H392" t="str">
        <v>UK</v>
      </c>
      <c r="I392">
        <v>4.66</v>
      </c>
      <c r="L392" s="6" t="s">
        <v>831</v>
      </c>
      <c r="M392" t="str" cm="1">
        <f t="array" ref="M392:O392">INDEX('Main Data'!A389:O1388,MATCH(L392,'Main Data'!A389:A1388,0),{3,7,14})</f>
        <v>Male</v>
      </c>
      <c r="N392">
        <v>166063.21</v>
      </c>
      <c r="O392">
        <v>4.66</v>
      </c>
    </row>
    <row r="393" spans="1:15" x14ac:dyDescent="0.3">
      <c r="A393" s="6" t="s">
        <v>833</v>
      </c>
      <c r="B393" cm="1">
        <f t="array" ref="B393:C393">_xlfn.XLOOKUP(A393,'Main Data'!A390:A1389,'Main Data'!B390:C1389,"Data Not Found",0)</f>
        <v>59</v>
      </c>
      <c r="C393" t="str">
        <v>Other</v>
      </c>
      <c r="E393" s="6" t="s">
        <v>833</v>
      </c>
      <c r="F393" cm="1">
        <f t="array" ref="F393:I393">VLOOKUP(E393,CHOOSE({1,2,3,4,5},'Main Data'!A390:A1389,'Main Data'!B390:B1389,'Main Data'!C390:C1389,'Main Data'!M390:M1389,'Main Data'!N390:N1389),{2,3,4,5},0)</f>
        <v>59</v>
      </c>
      <c r="G393" t="str">
        <v>Other</v>
      </c>
      <c r="H393" t="str">
        <v>UAE</v>
      </c>
      <c r="I393">
        <v>2.89</v>
      </c>
      <c r="L393" s="6" t="s">
        <v>833</v>
      </c>
      <c r="M393" t="str" cm="1">
        <f t="array" ref="M393:O393">INDEX('Main Data'!A390:O1389,MATCH(L393,'Main Data'!A390:A1389,0),{3,7,14})</f>
        <v>Other</v>
      </c>
      <c r="N393">
        <v>96180.12</v>
      </c>
      <c r="O393">
        <v>2.89</v>
      </c>
    </row>
    <row r="394" spans="1:15" x14ac:dyDescent="0.3">
      <c r="A394" s="6" t="s">
        <v>835</v>
      </c>
      <c r="B394" cm="1">
        <f t="array" ref="B394:C394">_xlfn.XLOOKUP(A394,'Main Data'!A391:A1390,'Main Data'!B391:C1390,"Data Not Found",0)</f>
        <v>45</v>
      </c>
      <c r="C394" t="str">
        <v>Other</v>
      </c>
      <c r="E394" s="6" t="s">
        <v>835</v>
      </c>
      <c r="F394" cm="1">
        <f t="array" ref="F394:I394">VLOOKUP(E394,CHOOSE({1,2,3,4,5},'Main Data'!A391:A1390,'Main Data'!B391:B1390,'Main Data'!C391:C1390,'Main Data'!M391:M1390,'Main Data'!N391:N1390),{2,3,4,5},0)</f>
        <v>45</v>
      </c>
      <c r="G394" t="str">
        <v>Other</v>
      </c>
      <c r="H394" t="str">
        <v>Japan</v>
      </c>
      <c r="I394">
        <v>3.38</v>
      </c>
      <c r="L394" s="6" t="s">
        <v>835</v>
      </c>
      <c r="M394" t="str" cm="1">
        <f t="array" ref="M394:O394">INDEX('Main Data'!A391:O1390,MATCH(L394,'Main Data'!A391:A1390,0),{3,7,14})</f>
        <v>Other</v>
      </c>
      <c r="N394">
        <v>146965.15</v>
      </c>
      <c r="O394">
        <v>3.38</v>
      </c>
    </row>
    <row r="395" spans="1:15" x14ac:dyDescent="0.3">
      <c r="A395" s="6" t="s">
        <v>837</v>
      </c>
      <c r="B395" cm="1">
        <f t="array" ref="B395:C395">_xlfn.XLOOKUP(A395,'Main Data'!A392:A1391,'Main Data'!B392:C1391,"Data Not Found",0)</f>
        <v>49</v>
      </c>
      <c r="C395" t="str">
        <v>Male</v>
      </c>
      <c r="E395" s="6" t="s">
        <v>837</v>
      </c>
      <c r="F395" cm="1">
        <f t="array" ref="F395:I395">VLOOKUP(E395,CHOOSE({1,2,3,4,5},'Main Data'!A392:A1391,'Main Data'!B392:B1391,'Main Data'!C392:C1391,'Main Data'!M392:M1391,'Main Data'!N392:N1391),{2,3,4,5},0)</f>
        <v>49</v>
      </c>
      <c r="G395" t="str">
        <v>Male</v>
      </c>
      <c r="H395" t="str">
        <v>USA</v>
      </c>
      <c r="I395">
        <v>4.51</v>
      </c>
      <c r="L395" s="6" t="s">
        <v>837</v>
      </c>
      <c r="M395" t="str" cm="1">
        <f t="array" ref="M395:O395">INDEX('Main Data'!A392:O1391,MATCH(L395,'Main Data'!A392:A1391,0),{3,7,14})</f>
        <v>Male</v>
      </c>
      <c r="N395">
        <v>50377.71</v>
      </c>
      <c r="O395">
        <v>4.51</v>
      </c>
    </row>
    <row r="396" spans="1:15" x14ac:dyDescent="0.3">
      <c r="A396" s="6" t="s">
        <v>839</v>
      </c>
      <c r="B396" cm="1">
        <f t="array" ref="B396:C396">_xlfn.XLOOKUP(A396,'Main Data'!A393:A1392,'Main Data'!B393:C1392,"Data Not Found",0)</f>
        <v>51</v>
      </c>
      <c r="C396" t="str">
        <v>Other</v>
      </c>
      <c r="E396" s="6" t="s">
        <v>839</v>
      </c>
      <c r="F396" cm="1">
        <f t="array" ref="F396:I396">VLOOKUP(E396,CHOOSE({1,2,3,4,5},'Main Data'!A393:A1392,'Main Data'!B393:B1392,'Main Data'!C393:C1392,'Main Data'!M393:M1392,'Main Data'!N393:N1392),{2,3,4,5},0)</f>
        <v>51</v>
      </c>
      <c r="G396" t="str">
        <v>Other</v>
      </c>
      <c r="H396" t="str">
        <v>France</v>
      </c>
      <c r="I396">
        <v>1.35</v>
      </c>
      <c r="L396" s="6" t="s">
        <v>839</v>
      </c>
      <c r="M396" t="str" cm="1">
        <f t="array" ref="M396:O396">INDEX('Main Data'!A393:O1392,MATCH(L396,'Main Data'!A393:A1392,0),{3,7,14})</f>
        <v>Other</v>
      </c>
      <c r="N396">
        <v>164374.14000000001</v>
      </c>
      <c r="O396">
        <v>1.35</v>
      </c>
    </row>
    <row r="397" spans="1:15" x14ac:dyDescent="0.3">
      <c r="A397" s="6" t="s">
        <v>841</v>
      </c>
      <c r="B397" cm="1">
        <f t="array" ref="B397:C397">_xlfn.XLOOKUP(A397,'Main Data'!A394:A1393,'Main Data'!B394:C1393,"Data Not Found",0)</f>
        <v>55</v>
      </c>
      <c r="C397" t="str">
        <v>Other</v>
      </c>
      <c r="E397" s="6" t="s">
        <v>841</v>
      </c>
      <c r="F397" cm="1">
        <f t="array" ref="F397:I397">VLOOKUP(E397,CHOOSE({1,2,3,4,5},'Main Data'!A394:A1393,'Main Data'!B394:B1393,'Main Data'!C394:C1393,'Main Data'!M394:M1393,'Main Data'!N394:N1393),{2,3,4,5},0)</f>
        <v>55</v>
      </c>
      <c r="G397" t="str">
        <v>Other</v>
      </c>
      <c r="H397" t="str">
        <v>UK</v>
      </c>
      <c r="I397">
        <v>4.63</v>
      </c>
      <c r="L397" s="6" t="s">
        <v>841</v>
      </c>
      <c r="M397" t="str" cm="1">
        <f t="array" ref="M397:O397">INDEX('Main Data'!A394:O1393,MATCH(L397,'Main Data'!A394:A1393,0),{3,7,14})</f>
        <v>Other</v>
      </c>
      <c r="N397">
        <v>129558.01</v>
      </c>
      <c r="O397">
        <v>4.63</v>
      </c>
    </row>
    <row r="398" spans="1:15" x14ac:dyDescent="0.3">
      <c r="A398" s="6" t="s">
        <v>843</v>
      </c>
      <c r="B398" cm="1">
        <f t="array" ref="B398:C398">_xlfn.XLOOKUP(A398,'Main Data'!A395:A1394,'Main Data'!B395:C1394,"Data Not Found",0)</f>
        <v>44</v>
      </c>
      <c r="C398" t="str">
        <v>Female</v>
      </c>
      <c r="E398" s="6" t="s">
        <v>843</v>
      </c>
      <c r="F398" cm="1">
        <f t="array" ref="F398:I398">VLOOKUP(E398,CHOOSE({1,2,3,4,5},'Main Data'!A395:A1394,'Main Data'!B395:B1394,'Main Data'!C395:C1394,'Main Data'!M395:M1394,'Main Data'!N395:N1394),{2,3,4,5},0)</f>
        <v>44</v>
      </c>
      <c r="G398" t="str">
        <v>Female</v>
      </c>
      <c r="H398" t="str">
        <v>UAE</v>
      </c>
      <c r="I398">
        <v>2.88</v>
      </c>
      <c r="L398" s="6" t="s">
        <v>843</v>
      </c>
      <c r="M398" t="str" cm="1">
        <f t="array" ref="M398:O398">INDEX('Main Data'!A395:O1394,MATCH(L398,'Main Data'!A395:A1394,0),{3,7,14})</f>
        <v>Female</v>
      </c>
      <c r="N398">
        <v>69389.240000000005</v>
      </c>
      <c r="O398">
        <v>2.88</v>
      </c>
    </row>
    <row r="399" spans="1:15" x14ac:dyDescent="0.3">
      <c r="A399" s="6" t="s">
        <v>845</v>
      </c>
      <c r="B399" cm="1">
        <f t="array" ref="B399:C399">_xlfn.XLOOKUP(A399,'Main Data'!A396:A1395,'Main Data'!B396:C1395,"Data Not Found",0)</f>
        <v>29</v>
      </c>
      <c r="C399" t="str">
        <v>Female</v>
      </c>
      <c r="E399" s="6" t="s">
        <v>845</v>
      </c>
      <c r="F399" cm="1">
        <f t="array" ref="F399:I399">VLOOKUP(E399,CHOOSE({1,2,3,4,5},'Main Data'!A396:A1395,'Main Data'!B396:B1395,'Main Data'!C396:C1395,'Main Data'!M396:M1395,'Main Data'!N396:N1395),{2,3,4,5},0)</f>
        <v>29</v>
      </c>
      <c r="G399" t="str">
        <v>Female</v>
      </c>
      <c r="H399" t="str">
        <v>Japan</v>
      </c>
      <c r="I399">
        <v>2.92</v>
      </c>
      <c r="L399" s="6" t="s">
        <v>845</v>
      </c>
      <c r="M399" t="str" cm="1">
        <f t="array" ref="M399:O399">INDEX('Main Data'!A396:O1395,MATCH(L399,'Main Data'!A396:A1395,0),{3,7,14})</f>
        <v>Female</v>
      </c>
      <c r="N399">
        <v>108015.22</v>
      </c>
      <c r="O399">
        <v>2.92</v>
      </c>
    </row>
    <row r="400" spans="1:15" x14ac:dyDescent="0.3">
      <c r="A400" s="6" t="s">
        <v>847</v>
      </c>
      <c r="B400" cm="1">
        <f t="array" ref="B400:C400">_xlfn.XLOOKUP(A400,'Main Data'!A397:A1396,'Main Data'!B397:C1396,"Data Not Found",0)</f>
        <v>63</v>
      </c>
      <c r="C400" t="str">
        <v>Female</v>
      </c>
      <c r="E400" s="6" t="s">
        <v>847</v>
      </c>
      <c r="F400" cm="1">
        <f t="array" ref="F400:I400">VLOOKUP(E400,CHOOSE({1,2,3,4,5},'Main Data'!A397:A1396,'Main Data'!B397:B1396,'Main Data'!C397:C1396,'Main Data'!M397:M1396,'Main Data'!N397:N1396),{2,3,4,5},0)</f>
        <v>63</v>
      </c>
      <c r="G400" t="str">
        <v>Female</v>
      </c>
      <c r="H400" t="str">
        <v>USA</v>
      </c>
      <c r="I400">
        <v>3.48</v>
      </c>
      <c r="L400" s="6" t="s">
        <v>847</v>
      </c>
      <c r="M400" t="str" cm="1">
        <f t="array" ref="M400:O400">INDEX('Main Data'!A397:O1396,MATCH(L400,'Main Data'!A397:A1396,0),{3,7,14})</f>
        <v>Female</v>
      </c>
      <c r="N400">
        <v>66325.66</v>
      </c>
      <c r="O400">
        <v>3.48</v>
      </c>
    </row>
    <row r="401" spans="1:15" x14ac:dyDescent="0.3">
      <c r="A401" s="6" t="s">
        <v>849</v>
      </c>
      <c r="B401" cm="1">
        <f t="array" ref="B401:C401">_xlfn.XLOOKUP(A401,'Main Data'!A398:A1397,'Main Data'!B398:C1397,"Data Not Found",0)</f>
        <v>31</v>
      </c>
      <c r="C401" t="str">
        <v>Male</v>
      </c>
      <c r="E401" s="6" t="s">
        <v>849</v>
      </c>
      <c r="F401" cm="1">
        <f t="array" ref="F401:I401">VLOOKUP(E401,CHOOSE({1,2,3,4,5},'Main Data'!A398:A1397,'Main Data'!B398:B1397,'Main Data'!C398:C1397,'Main Data'!M398:M1397,'Main Data'!N398:N1397),{2,3,4,5},0)</f>
        <v>31</v>
      </c>
      <c r="G401" t="str">
        <v>Male</v>
      </c>
      <c r="H401" t="str">
        <v>France</v>
      </c>
      <c r="I401">
        <v>4.5</v>
      </c>
      <c r="L401" s="6" t="s">
        <v>849</v>
      </c>
      <c r="M401" t="str" cm="1">
        <f t="array" ref="M401:O401">INDEX('Main Data'!A398:O1397,MATCH(L401,'Main Data'!A398:A1397,0),{3,7,14})</f>
        <v>Male</v>
      </c>
      <c r="N401">
        <v>131376</v>
      </c>
      <c r="O401">
        <v>4.5</v>
      </c>
    </row>
    <row r="402" spans="1:15" x14ac:dyDescent="0.3">
      <c r="A402" s="6" t="s">
        <v>851</v>
      </c>
      <c r="B402" cm="1">
        <f t="array" ref="B402:C402">_xlfn.XLOOKUP(A402,'Main Data'!A399:A1398,'Main Data'!B399:C1398,"Data Not Found",0)</f>
        <v>22</v>
      </c>
      <c r="C402" t="str">
        <v>Female</v>
      </c>
      <c r="E402" s="6" t="s">
        <v>851</v>
      </c>
      <c r="F402" cm="1">
        <f t="array" ref="F402:I402">VLOOKUP(E402,CHOOSE({1,2,3,4,5},'Main Data'!A399:A1398,'Main Data'!B399:B1398,'Main Data'!C399:C1398,'Main Data'!M399:M1398,'Main Data'!N399:N1398),{2,3,4,5},0)</f>
        <v>22</v>
      </c>
      <c r="G402" t="str">
        <v>Female</v>
      </c>
      <c r="H402" t="str">
        <v>UK</v>
      </c>
      <c r="I402">
        <v>3.88</v>
      </c>
      <c r="L402" s="6" t="s">
        <v>851</v>
      </c>
      <c r="M402" t="str" cm="1">
        <f t="array" ref="M402:O402">INDEX('Main Data'!A399:O1398,MATCH(L402,'Main Data'!A399:A1398,0),{3,7,14})</f>
        <v>Female</v>
      </c>
      <c r="N402">
        <v>92174.65</v>
      </c>
      <c r="O402">
        <v>3.88</v>
      </c>
    </row>
    <row r="403" spans="1:15" x14ac:dyDescent="0.3">
      <c r="A403" s="6" t="s">
        <v>853</v>
      </c>
      <c r="B403" cm="1">
        <f t="array" ref="B403:C403">_xlfn.XLOOKUP(A403,'Main Data'!A400:A1399,'Main Data'!B400:C1399,"Data Not Found",0)</f>
        <v>41</v>
      </c>
      <c r="C403" t="str">
        <v>Other</v>
      </c>
      <c r="E403" s="6" t="s">
        <v>853</v>
      </c>
      <c r="F403" cm="1">
        <f t="array" ref="F403:I403">VLOOKUP(E403,CHOOSE({1,2,3,4,5},'Main Data'!A400:A1399,'Main Data'!B400:B1399,'Main Data'!C400:C1399,'Main Data'!M400:M1399,'Main Data'!N400:N1399),{2,3,4,5},0)</f>
        <v>41</v>
      </c>
      <c r="G403" t="str">
        <v>Other</v>
      </c>
      <c r="H403" t="str">
        <v>UAE</v>
      </c>
      <c r="I403">
        <v>3.8</v>
      </c>
      <c r="L403" s="6" t="s">
        <v>853</v>
      </c>
      <c r="M403" t="str" cm="1">
        <f t="array" ref="M403:O403">INDEX('Main Data'!A400:O1399,MATCH(L403,'Main Data'!A400:A1399,0),{3,7,14})</f>
        <v>Other</v>
      </c>
      <c r="N403">
        <v>152633.64000000001</v>
      </c>
      <c r="O403">
        <v>3.8</v>
      </c>
    </row>
    <row r="404" spans="1:15" x14ac:dyDescent="0.3">
      <c r="A404" s="6" t="s">
        <v>855</v>
      </c>
      <c r="B404" cm="1">
        <f t="array" ref="B404:C404">_xlfn.XLOOKUP(A404,'Main Data'!A401:A1400,'Main Data'!B401:C1400,"Data Not Found",0)</f>
        <v>58</v>
      </c>
      <c r="C404" t="str">
        <v>Male</v>
      </c>
      <c r="E404" s="6" t="s">
        <v>855</v>
      </c>
      <c r="F404" cm="1">
        <f t="array" ref="F404:I404">VLOOKUP(E404,CHOOSE({1,2,3,4,5},'Main Data'!A401:A1400,'Main Data'!B401:B1400,'Main Data'!C401:C1400,'Main Data'!M401:M1400,'Main Data'!N401:N1400),{2,3,4,5},0)</f>
        <v>58</v>
      </c>
      <c r="G404" t="str">
        <v>Male</v>
      </c>
      <c r="H404" t="str">
        <v>Japan</v>
      </c>
      <c r="I404">
        <v>1.48</v>
      </c>
      <c r="L404" s="6" t="s">
        <v>855</v>
      </c>
      <c r="M404" t="str" cm="1">
        <f t="array" ref="M404:O404">INDEX('Main Data'!A401:O1400,MATCH(L404,'Main Data'!A401:A1400,0),{3,7,14})</f>
        <v>Male</v>
      </c>
      <c r="N404">
        <v>189097.28</v>
      </c>
      <c r="O404">
        <v>1.48</v>
      </c>
    </row>
    <row r="405" spans="1:15" x14ac:dyDescent="0.3">
      <c r="A405" s="6" t="s">
        <v>857</v>
      </c>
      <c r="B405" cm="1">
        <f t="array" ref="B405:C405">_xlfn.XLOOKUP(A405,'Main Data'!A402:A1401,'Main Data'!B402:C1401,"Data Not Found",0)</f>
        <v>39</v>
      </c>
      <c r="C405" t="str">
        <v>Other</v>
      </c>
      <c r="E405" s="6" t="s">
        <v>857</v>
      </c>
      <c r="F405" cm="1">
        <f t="array" ref="F405:I405">VLOOKUP(E405,CHOOSE({1,2,3,4,5},'Main Data'!A402:A1401,'Main Data'!B402:B1401,'Main Data'!C402:C1401,'Main Data'!M402:M1401,'Main Data'!N402:N1401),{2,3,4,5},0)</f>
        <v>39</v>
      </c>
      <c r="G405" t="str">
        <v>Other</v>
      </c>
      <c r="H405" t="str">
        <v>USA</v>
      </c>
      <c r="I405">
        <v>3.25</v>
      </c>
      <c r="L405" s="6" t="s">
        <v>857</v>
      </c>
      <c r="M405" t="str" cm="1">
        <f t="array" ref="M405:O405">INDEX('Main Data'!A402:O1401,MATCH(L405,'Main Data'!A402:A1401,0),{3,7,14})</f>
        <v>Other</v>
      </c>
      <c r="N405">
        <v>56287.66</v>
      </c>
      <c r="O405">
        <v>3.25</v>
      </c>
    </row>
    <row r="406" spans="1:15" x14ac:dyDescent="0.3">
      <c r="A406" s="6" t="s">
        <v>859</v>
      </c>
      <c r="B406" cm="1">
        <f t="array" ref="B406:C406">_xlfn.XLOOKUP(A406,'Main Data'!A403:A1402,'Main Data'!B403:C1402,"Data Not Found",0)</f>
        <v>42</v>
      </c>
      <c r="C406" t="str">
        <v>Male</v>
      </c>
      <c r="E406" s="6" t="s">
        <v>859</v>
      </c>
      <c r="F406" cm="1">
        <f t="array" ref="F406:I406">VLOOKUP(E406,CHOOSE({1,2,3,4,5},'Main Data'!A403:A1402,'Main Data'!B403:B1402,'Main Data'!C403:C1402,'Main Data'!M403:M1402,'Main Data'!N403:N1402),{2,3,4,5},0)</f>
        <v>42</v>
      </c>
      <c r="G406" t="str">
        <v>Male</v>
      </c>
      <c r="H406" t="str">
        <v>France</v>
      </c>
      <c r="I406">
        <v>3.22</v>
      </c>
      <c r="L406" s="6" t="s">
        <v>859</v>
      </c>
      <c r="M406" t="str" cm="1">
        <f t="array" ref="M406:O406">INDEX('Main Data'!A403:O1402,MATCH(L406,'Main Data'!A403:A1402,0),{3,7,14})</f>
        <v>Male</v>
      </c>
      <c r="N406">
        <v>100083.47</v>
      </c>
      <c r="O406">
        <v>3.22</v>
      </c>
    </row>
    <row r="407" spans="1:15" x14ac:dyDescent="0.3">
      <c r="A407" s="6" t="s">
        <v>861</v>
      </c>
      <c r="B407" cm="1">
        <f t="array" ref="B407:C407">_xlfn.XLOOKUP(A407,'Main Data'!A404:A1403,'Main Data'!B404:C1403,"Data Not Found",0)</f>
        <v>25</v>
      </c>
      <c r="C407" t="str">
        <v>Other</v>
      </c>
      <c r="E407" s="6" t="s">
        <v>861</v>
      </c>
      <c r="F407" cm="1">
        <f t="array" ref="F407:I407">VLOOKUP(E407,CHOOSE({1,2,3,4,5},'Main Data'!A404:A1403,'Main Data'!B404:B1403,'Main Data'!C404:C1403,'Main Data'!M404:M1403,'Main Data'!N404:N1403),{2,3,4,5},0)</f>
        <v>25</v>
      </c>
      <c r="G407" t="str">
        <v>Other</v>
      </c>
      <c r="H407" t="str">
        <v>UK</v>
      </c>
      <c r="I407">
        <v>3.04</v>
      </c>
      <c r="L407" s="6" t="s">
        <v>861</v>
      </c>
      <c r="M407" t="str" cm="1">
        <f t="array" ref="M407:O407">INDEX('Main Data'!A404:O1403,MATCH(L407,'Main Data'!A404:A1403,0),{3,7,14})</f>
        <v>Other</v>
      </c>
      <c r="N407">
        <v>120298.18</v>
      </c>
      <c r="O407">
        <v>3.04</v>
      </c>
    </row>
    <row r="408" spans="1:15" x14ac:dyDescent="0.3">
      <c r="A408" s="6" t="s">
        <v>863</v>
      </c>
      <c r="B408" cm="1">
        <f t="array" ref="B408:C408">_xlfn.XLOOKUP(A408,'Main Data'!A405:A1404,'Main Data'!B405:C1404,"Data Not Found",0)</f>
        <v>64</v>
      </c>
      <c r="C408" t="str">
        <v>Male</v>
      </c>
      <c r="E408" s="6" t="s">
        <v>863</v>
      </c>
      <c r="F408" cm="1">
        <f t="array" ref="F408:I408">VLOOKUP(E408,CHOOSE({1,2,3,4,5},'Main Data'!A405:A1404,'Main Data'!B405:B1404,'Main Data'!C405:C1404,'Main Data'!M405:M1404,'Main Data'!N405:N1404),{2,3,4,5},0)</f>
        <v>64</v>
      </c>
      <c r="G408" t="str">
        <v>Male</v>
      </c>
      <c r="H408" t="str">
        <v>UAE</v>
      </c>
      <c r="I408">
        <v>1.1299999999999999</v>
      </c>
      <c r="L408" s="6" t="s">
        <v>863</v>
      </c>
      <c r="M408" t="str" cm="1">
        <f t="array" ref="M408:O408">INDEX('Main Data'!A405:O1404,MATCH(L408,'Main Data'!A405:A1404,0),{3,7,14})</f>
        <v>Male</v>
      </c>
      <c r="N408">
        <v>158702.24</v>
      </c>
      <c r="O408">
        <v>1.1299999999999999</v>
      </c>
    </row>
    <row r="409" spans="1:15" x14ac:dyDescent="0.3">
      <c r="A409" s="6" t="s">
        <v>865</v>
      </c>
      <c r="B409" cm="1">
        <f t="array" ref="B409:C409">_xlfn.XLOOKUP(A409,'Main Data'!A406:A1405,'Main Data'!B406:C1405,"Data Not Found",0)</f>
        <v>23</v>
      </c>
      <c r="C409" t="str">
        <v>Other</v>
      </c>
      <c r="E409" s="6" t="s">
        <v>865</v>
      </c>
      <c r="F409" cm="1">
        <f t="array" ref="F409:I409">VLOOKUP(E409,CHOOSE({1,2,3,4,5},'Main Data'!A406:A1405,'Main Data'!B406:B1405,'Main Data'!C406:C1405,'Main Data'!M406:M1405,'Main Data'!N406:N1405),{2,3,4,5},0)</f>
        <v>23</v>
      </c>
      <c r="G409" t="str">
        <v>Other</v>
      </c>
      <c r="H409" t="str">
        <v>Japan</v>
      </c>
      <c r="I409">
        <v>4.07</v>
      </c>
      <c r="L409" s="6" t="s">
        <v>865</v>
      </c>
      <c r="M409" t="str" cm="1">
        <f t="array" ref="M409:O409">INDEX('Main Data'!A406:O1405,MATCH(L409,'Main Data'!A406:A1405,0),{3,7,14})</f>
        <v>Other</v>
      </c>
      <c r="N409">
        <v>77263.34</v>
      </c>
      <c r="O409">
        <v>4.07</v>
      </c>
    </row>
    <row r="410" spans="1:15" x14ac:dyDescent="0.3">
      <c r="A410" s="6" t="s">
        <v>867</v>
      </c>
      <c r="B410" cm="1">
        <f t="array" ref="B410:C410">_xlfn.XLOOKUP(A410,'Main Data'!A407:A1406,'Main Data'!B407:C1406,"Data Not Found",0)</f>
        <v>42</v>
      </c>
      <c r="C410" t="str">
        <v>Female</v>
      </c>
      <c r="E410" s="6" t="s">
        <v>867</v>
      </c>
      <c r="F410" cm="1">
        <f t="array" ref="F410:I410">VLOOKUP(E410,CHOOSE({1,2,3,4,5},'Main Data'!A407:A1406,'Main Data'!B407:B1406,'Main Data'!C407:C1406,'Main Data'!M407:M1406,'Main Data'!N407:N1406),{2,3,4,5},0)</f>
        <v>42</v>
      </c>
      <c r="G410" t="str">
        <v>Female</v>
      </c>
      <c r="H410" t="str">
        <v>USA</v>
      </c>
      <c r="I410">
        <v>2.29</v>
      </c>
      <c r="L410" s="6" t="s">
        <v>867</v>
      </c>
      <c r="M410" t="str" cm="1">
        <f t="array" ref="M410:O410">INDEX('Main Data'!A407:O1406,MATCH(L410,'Main Data'!A407:A1406,0),{3,7,14})</f>
        <v>Female</v>
      </c>
      <c r="N410">
        <v>81558.710000000006</v>
      </c>
      <c r="O410">
        <v>2.29</v>
      </c>
    </row>
    <row r="411" spans="1:15" x14ac:dyDescent="0.3">
      <c r="A411" s="6" t="s">
        <v>869</v>
      </c>
      <c r="B411" cm="1">
        <f t="array" ref="B411:C411">_xlfn.XLOOKUP(A411,'Main Data'!A408:A1407,'Main Data'!B408:C1407,"Data Not Found",0)</f>
        <v>58</v>
      </c>
      <c r="C411" t="str">
        <v>Male</v>
      </c>
      <c r="E411" s="6" t="s">
        <v>869</v>
      </c>
      <c r="F411" cm="1">
        <f t="array" ref="F411:I411">VLOOKUP(E411,CHOOSE({1,2,3,4,5},'Main Data'!A408:A1407,'Main Data'!B408:B1407,'Main Data'!C408:C1407,'Main Data'!M408:M1407,'Main Data'!N408:N1407),{2,3,4,5},0)</f>
        <v>58</v>
      </c>
      <c r="G411" t="str">
        <v>Male</v>
      </c>
      <c r="H411" t="str">
        <v>France</v>
      </c>
      <c r="I411">
        <v>2.75</v>
      </c>
      <c r="L411" s="6" t="s">
        <v>869</v>
      </c>
      <c r="M411" t="str" cm="1">
        <f t="array" ref="M411:O411">INDEX('Main Data'!A408:O1407,MATCH(L411,'Main Data'!A408:A1407,0),{3,7,14})</f>
        <v>Male</v>
      </c>
      <c r="N411">
        <v>72396.899999999994</v>
      </c>
      <c r="O411">
        <v>2.75</v>
      </c>
    </row>
    <row r="412" spans="1:15" x14ac:dyDescent="0.3">
      <c r="A412" s="6" t="s">
        <v>871</v>
      </c>
      <c r="B412" cm="1">
        <f t="array" ref="B412:C412">_xlfn.XLOOKUP(A412,'Main Data'!A409:A1408,'Main Data'!B409:C1408,"Data Not Found",0)</f>
        <v>26</v>
      </c>
      <c r="C412" t="str">
        <v>Other</v>
      </c>
      <c r="E412" s="6" t="s">
        <v>871</v>
      </c>
      <c r="F412" cm="1">
        <f t="array" ref="F412:I412">VLOOKUP(E412,CHOOSE({1,2,3,4,5},'Main Data'!A409:A1408,'Main Data'!B409:B1408,'Main Data'!C409:C1408,'Main Data'!M409:M1408,'Main Data'!N409:N1408),{2,3,4,5},0)</f>
        <v>26</v>
      </c>
      <c r="G412" t="str">
        <v>Other</v>
      </c>
      <c r="H412" t="str">
        <v>UK</v>
      </c>
      <c r="I412">
        <v>4.53</v>
      </c>
      <c r="L412" s="6" t="s">
        <v>871</v>
      </c>
      <c r="M412" t="str" cm="1">
        <f t="array" ref="M412:O412">INDEX('Main Data'!A409:O1408,MATCH(L412,'Main Data'!A409:A1408,0),{3,7,14})</f>
        <v>Other</v>
      </c>
      <c r="N412">
        <v>78211.460000000006</v>
      </c>
      <c r="O412">
        <v>4.53</v>
      </c>
    </row>
    <row r="413" spans="1:15" x14ac:dyDescent="0.3">
      <c r="A413" s="6" t="s">
        <v>873</v>
      </c>
      <c r="B413" cm="1">
        <f t="array" ref="B413:C413">_xlfn.XLOOKUP(A413,'Main Data'!A410:A1409,'Main Data'!B410:C1409,"Data Not Found",0)</f>
        <v>38</v>
      </c>
      <c r="C413" t="str">
        <v>Other</v>
      </c>
      <c r="E413" s="6" t="s">
        <v>873</v>
      </c>
      <c r="F413" cm="1">
        <f t="array" ref="F413:I413">VLOOKUP(E413,CHOOSE({1,2,3,4,5},'Main Data'!A410:A1409,'Main Data'!B410:B1409,'Main Data'!C410:C1409,'Main Data'!M410:M1409,'Main Data'!N410:N1409),{2,3,4,5},0)</f>
        <v>38</v>
      </c>
      <c r="G413" t="str">
        <v>Other</v>
      </c>
      <c r="H413" t="str">
        <v>UAE</v>
      </c>
      <c r="I413">
        <v>4.7300000000000004</v>
      </c>
      <c r="L413" s="6" t="s">
        <v>873</v>
      </c>
      <c r="M413" t="str" cm="1">
        <f t="array" ref="M413:O413">INDEX('Main Data'!A410:O1409,MATCH(L413,'Main Data'!A410:A1409,0),{3,7,14})</f>
        <v>Other</v>
      </c>
      <c r="N413">
        <v>91186.13</v>
      </c>
      <c r="O413">
        <v>4.7300000000000004</v>
      </c>
    </row>
    <row r="414" spans="1:15" x14ac:dyDescent="0.3">
      <c r="A414" s="6" t="s">
        <v>875</v>
      </c>
      <c r="B414" cm="1">
        <f t="array" ref="B414:C414">_xlfn.XLOOKUP(A414,'Main Data'!A411:A1410,'Main Data'!B411:C1410,"Data Not Found",0)</f>
        <v>32</v>
      </c>
      <c r="C414" t="str">
        <v>Other</v>
      </c>
      <c r="E414" s="6" t="s">
        <v>875</v>
      </c>
      <c r="F414" cm="1">
        <f t="array" ref="F414:I414">VLOOKUP(E414,CHOOSE({1,2,3,4,5},'Main Data'!A411:A1410,'Main Data'!B411:B1410,'Main Data'!C411:C1410,'Main Data'!M411:M1410,'Main Data'!N411:N1410),{2,3,4,5},0)</f>
        <v>32</v>
      </c>
      <c r="G414" t="str">
        <v>Other</v>
      </c>
      <c r="H414" t="str">
        <v>Japan</v>
      </c>
      <c r="I414">
        <v>1.05</v>
      </c>
      <c r="L414" s="6" t="s">
        <v>875</v>
      </c>
      <c r="M414" t="str" cm="1">
        <f t="array" ref="M414:O414">INDEX('Main Data'!A411:O1410,MATCH(L414,'Main Data'!A411:A1410,0),{3,7,14})</f>
        <v>Other</v>
      </c>
      <c r="N414">
        <v>198921.42</v>
      </c>
      <c r="O414">
        <v>1.05</v>
      </c>
    </row>
    <row r="415" spans="1:15" x14ac:dyDescent="0.3">
      <c r="A415" s="6" t="s">
        <v>877</v>
      </c>
      <c r="B415" cm="1">
        <f t="array" ref="B415:C415">_xlfn.XLOOKUP(A415,'Main Data'!A412:A1411,'Main Data'!B412:C1411,"Data Not Found",0)</f>
        <v>62</v>
      </c>
      <c r="C415" t="str">
        <v>Other</v>
      </c>
      <c r="E415" s="6" t="s">
        <v>877</v>
      </c>
      <c r="F415" cm="1">
        <f t="array" ref="F415:I415">VLOOKUP(E415,CHOOSE({1,2,3,4,5},'Main Data'!A412:A1411,'Main Data'!B412:B1411,'Main Data'!C412:C1411,'Main Data'!M412:M1411,'Main Data'!N412:N1411),{2,3,4,5},0)</f>
        <v>62</v>
      </c>
      <c r="G415" t="str">
        <v>Other</v>
      </c>
      <c r="H415" t="str">
        <v>USA</v>
      </c>
      <c r="I415">
        <v>4.3600000000000003</v>
      </c>
      <c r="L415" s="6" t="s">
        <v>877</v>
      </c>
      <c r="M415" t="str" cm="1">
        <f t="array" ref="M415:O415">INDEX('Main Data'!A412:O1411,MATCH(L415,'Main Data'!A412:A1411,0),{3,7,14})</f>
        <v>Other</v>
      </c>
      <c r="N415">
        <v>56218.77</v>
      </c>
      <c r="O415">
        <v>4.3600000000000003</v>
      </c>
    </row>
    <row r="416" spans="1:15" x14ac:dyDescent="0.3">
      <c r="A416" s="6" t="s">
        <v>879</v>
      </c>
      <c r="B416" cm="1">
        <f t="array" ref="B416:C416">_xlfn.XLOOKUP(A416,'Main Data'!A413:A1412,'Main Data'!B413:C1412,"Data Not Found",0)</f>
        <v>52</v>
      </c>
      <c r="C416" t="str">
        <v>Female</v>
      </c>
      <c r="E416" s="6" t="s">
        <v>879</v>
      </c>
      <c r="F416" cm="1">
        <f t="array" ref="F416:I416">VLOOKUP(E416,CHOOSE({1,2,3,4,5},'Main Data'!A413:A1412,'Main Data'!B413:B1412,'Main Data'!C413:C1412,'Main Data'!M413:M1412,'Main Data'!N413:N1412),{2,3,4,5},0)</f>
        <v>52</v>
      </c>
      <c r="G416" t="str">
        <v>Female</v>
      </c>
      <c r="H416" t="str">
        <v>France</v>
      </c>
      <c r="I416">
        <v>4.04</v>
      </c>
      <c r="L416" s="6" t="s">
        <v>879</v>
      </c>
      <c r="M416" t="str" cm="1">
        <f t="array" ref="M416:O416">INDEX('Main Data'!A413:O1412,MATCH(L416,'Main Data'!A413:A1412,0),{3,7,14})</f>
        <v>Female</v>
      </c>
      <c r="N416">
        <v>90202.02</v>
      </c>
      <c r="O416">
        <v>4.04</v>
      </c>
    </row>
    <row r="417" spans="1:15" x14ac:dyDescent="0.3">
      <c r="A417" s="6" t="s">
        <v>881</v>
      </c>
      <c r="B417" cm="1">
        <f t="array" ref="B417:C417">_xlfn.XLOOKUP(A417,'Main Data'!A414:A1413,'Main Data'!B414:C1413,"Data Not Found",0)</f>
        <v>49</v>
      </c>
      <c r="C417" t="str">
        <v>Female</v>
      </c>
      <c r="E417" s="6" t="s">
        <v>881</v>
      </c>
      <c r="F417" cm="1">
        <f t="array" ref="F417:I417">VLOOKUP(E417,CHOOSE({1,2,3,4,5},'Main Data'!A414:A1413,'Main Data'!B414:B1413,'Main Data'!C414:C1413,'Main Data'!M414:M1413,'Main Data'!N414:N1413),{2,3,4,5},0)</f>
        <v>49</v>
      </c>
      <c r="G417" t="str">
        <v>Female</v>
      </c>
      <c r="H417" t="str">
        <v>UK</v>
      </c>
      <c r="I417">
        <v>4.83</v>
      </c>
      <c r="L417" s="6" t="s">
        <v>881</v>
      </c>
      <c r="M417" t="str" cm="1">
        <f t="array" ref="M417:O417">INDEX('Main Data'!A414:O1413,MATCH(L417,'Main Data'!A414:A1413,0),{3,7,14})</f>
        <v>Female</v>
      </c>
      <c r="N417">
        <v>113204.39</v>
      </c>
      <c r="O417">
        <v>4.83</v>
      </c>
    </row>
    <row r="418" spans="1:15" x14ac:dyDescent="0.3">
      <c r="A418" s="6" t="s">
        <v>883</v>
      </c>
      <c r="B418" cm="1">
        <f t="array" ref="B418:C418">_xlfn.XLOOKUP(A418,'Main Data'!A415:A1414,'Main Data'!B415:C1414,"Data Not Found",0)</f>
        <v>53</v>
      </c>
      <c r="C418" t="str">
        <v>Male</v>
      </c>
      <c r="E418" s="6" t="s">
        <v>883</v>
      </c>
      <c r="F418" cm="1">
        <f t="array" ref="F418:I418">VLOOKUP(E418,CHOOSE({1,2,3,4,5},'Main Data'!A415:A1414,'Main Data'!B415:B1414,'Main Data'!C415:C1414,'Main Data'!M415:M1414,'Main Data'!N415:N1414),{2,3,4,5},0)</f>
        <v>53</v>
      </c>
      <c r="G418" t="str">
        <v>Male</v>
      </c>
      <c r="H418" t="str">
        <v>UAE</v>
      </c>
      <c r="I418">
        <v>4.83</v>
      </c>
      <c r="L418" s="6" t="s">
        <v>883</v>
      </c>
      <c r="M418" t="str" cm="1">
        <f t="array" ref="M418:O418">INDEX('Main Data'!A415:O1414,MATCH(L418,'Main Data'!A415:A1414,0),{3,7,14})</f>
        <v>Male</v>
      </c>
      <c r="N418">
        <v>190124.27</v>
      </c>
      <c r="O418">
        <v>4.83</v>
      </c>
    </row>
    <row r="419" spans="1:15" x14ac:dyDescent="0.3">
      <c r="A419" s="6" t="s">
        <v>885</v>
      </c>
      <c r="B419" cm="1">
        <f t="array" ref="B419:C419">_xlfn.XLOOKUP(A419,'Main Data'!A416:A1415,'Main Data'!B416:C1415,"Data Not Found",0)</f>
        <v>42</v>
      </c>
      <c r="C419" t="str">
        <v>Male</v>
      </c>
      <c r="E419" s="6" t="s">
        <v>885</v>
      </c>
      <c r="F419" cm="1">
        <f t="array" ref="F419:I419">VLOOKUP(E419,CHOOSE({1,2,3,4,5},'Main Data'!A416:A1415,'Main Data'!B416:B1415,'Main Data'!C416:C1415,'Main Data'!M416:M1415,'Main Data'!N416:N1415),{2,3,4,5},0)</f>
        <v>42</v>
      </c>
      <c r="G419" t="str">
        <v>Male</v>
      </c>
      <c r="H419" t="str">
        <v>Japan</v>
      </c>
      <c r="I419">
        <v>4.8600000000000003</v>
      </c>
      <c r="L419" s="6" t="s">
        <v>885</v>
      </c>
      <c r="M419" t="str" cm="1">
        <f t="array" ref="M419:O419">INDEX('Main Data'!A416:O1415,MATCH(L419,'Main Data'!A416:A1415,0),{3,7,14})</f>
        <v>Male</v>
      </c>
      <c r="N419">
        <v>90825.03</v>
      </c>
      <c r="O419">
        <v>4.8600000000000003</v>
      </c>
    </row>
    <row r="420" spans="1:15" x14ac:dyDescent="0.3">
      <c r="A420" s="6" t="s">
        <v>887</v>
      </c>
      <c r="B420" cm="1">
        <f t="array" ref="B420:C420">_xlfn.XLOOKUP(A420,'Main Data'!A417:A1416,'Main Data'!B417:C1416,"Data Not Found",0)</f>
        <v>28</v>
      </c>
      <c r="C420" t="str">
        <v>Other</v>
      </c>
      <c r="E420" s="6" t="s">
        <v>887</v>
      </c>
      <c r="F420" cm="1">
        <f t="array" ref="F420:I420">VLOOKUP(E420,CHOOSE({1,2,3,4,5},'Main Data'!A417:A1416,'Main Data'!B417:B1416,'Main Data'!C417:C1416,'Main Data'!M417:M1416,'Main Data'!N417:N1416),{2,3,4,5},0)</f>
        <v>28</v>
      </c>
      <c r="G420" t="str">
        <v>Other</v>
      </c>
      <c r="H420" t="str">
        <v>USA</v>
      </c>
      <c r="I420">
        <v>4.22</v>
      </c>
      <c r="L420" s="6" t="s">
        <v>887</v>
      </c>
      <c r="M420" t="str" cm="1">
        <f t="array" ref="M420:O420">INDEX('Main Data'!A417:O1416,MATCH(L420,'Main Data'!A417:A1416,0),{3,7,14})</f>
        <v>Other</v>
      </c>
      <c r="N420">
        <v>102098.94</v>
      </c>
      <c r="O420">
        <v>4.22</v>
      </c>
    </row>
    <row r="421" spans="1:15" x14ac:dyDescent="0.3">
      <c r="A421" s="6" t="s">
        <v>889</v>
      </c>
      <c r="B421" cm="1">
        <f t="array" ref="B421:C421">_xlfn.XLOOKUP(A421,'Main Data'!A418:A1417,'Main Data'!B418:C1417,"Data Not Found",0)</f>
        <v>31</v>
      </c>
      <c r="C421" t="str">
        <v>Male</v>
      </c>
      <c r="E421" s="6" t="s">
        <v>889</v>
      </c>
      <c r="F421" cm="1">
        <f t="array" ref="F421:I421">VLOOKUP(E421,CHOOSE({1,2,3,4,5},'Main Data'!A418:A1417,'Main Data'!B418:B1417,'Main Data'!C418:C1417,'Main Data'!M418:M1417,'Main Data'!N418:N1417),{2,3,4,5},0)</f>
        <v>31</v>
      </c>
      <c r="G421" t="str">
        <v>Male</v>
      </c>
      <c r="H421" t="str">
        <v>France</v>
      </c>
      <c r="I421">
        <v>4.88</v>
      </c>
      <c r="L421" s="6" t="s">
        <v>889</v>
      </c>
      <c r="M421" t="str" cm="1">
        <f t="array" ref="M421:O421">INDEX('Main Data'!A418:O1417,MATCH(L421,'Main Data'!A418:A1417,0),{3,7,14})</f>
        <v>Male</v>
      </c>
      <c r="N421">
        <v>126445.75</v>
      </c>
      <c r="O421">
        <v>4.88</v>
      </c>
    </row>
    <row r="422" spans="1:15" x14ac:dyDescent="0.3">
      <c r="A422" s="6" t="s">
        <v>891</v>
      </c>
      <c r="B422" cm="1">
        <f t="array" ref="B422:C422">_xlfn.XLOOKUP(A422,'Main Data'!A419:A1418,'Main Data'!B419:C1418,"Data Not Found",0)</f>
        <v>49</v>
      </c>
      <c r="C422" t="str">
        <v>Other</v>
      </c>
      <c r="E422" s="6" t="s">
        <v>891</v>
      </c>
      <c r="F422" cm="1">
        <f t="array" ref="F422:I422">VLOOKUP(E422,CHOOSE({1,2,3,4,5},'Main Data'!A419:A1418,'Main Data'!B419:B1418,'Main Data'!C419:C1418,'Main Data'!M419:M1418,'Main Data'!N419:N1418),{2,3,4,5},0)</f>
        <v>49</v>
      </c>
      <c r="G422" t="str">
        <v>Other</v>
      </c>
      <c r="H422" t="str">
        <v>UK</v>
      </c>
      <c r="I422">
        <v>1.58</v>
      </c>
      <c r="L422" s="6" t="s">
        <v>891</v>
      </c>
      <c r="M422" t="str" cm="1">
        <f t="array" ref="M422:O422">INDEX('Main Data'!A419:O1418,MATCH(L422,'Main Data'!A419:A1418,0),{3,7,14})</f>
        <v>Other</v>
      </c>
      <c r="N422">
        <v>59994.86</v>
      </c>
      <c r="O422">
        <v>1.58</v>
      </c>
    </row>
    <row r="423" spans="1:15" x14ac:dyDescent="0.3">
      <c r="A423" s="6" t="s">
        <v>893</v>
      </c>
      <c r="B423" cm="1">
        <f t="array" ref="B423:C423">_xlfn.XLOOKUP(A423,'Main Data'!A420:A1419,'Main Data'!B420:C1419,"Data Not Found",0)</f>
        <v>57</v>
      </c>
      <c r="C423" t="str">
        <v>Male</v>
      </c>
      <c r="E423" s="6" t="s">
        <v>893</v>
      </c>
      <c r="F423" cm="1">
        <f t="array" ref="F423:I423">VLOOKUP(E423,CHOOSE({1,2,3,4,5},'Main Data'!A420:A1419,'Main Data'!B420:B1419,'Main Data'!C420:C1419,'Main Data'!M420:M1419,'Main Data'!N420:N1419),{2,3,4,5},0)</f>
        <v>57</v>
      </c>
      <c r="G423" t="str">
        <v>Male</v>
      </c>
      <c r="H423" t="str">
        <v>UAE</v>
      </c>
      <c r="I423">
        <v>3.27</v>
      </c>
      <c r="L423" s="6" t="s">
        <v>893</v>
      </c>
      <c r="M423" t="str" cm="1">
        <f t="array" ref="M423:O423">INDEX('Main Data'!A420:O1419,MATCH(L423,'Main Data'!A420:A1419,0),{3,7,14})</f>
        <v>Male</v>
      </c>
      <c r="N423">
        <v>63513.69</v>
      </c>
      <c r="O423">
        <v>3.27</v>
      </c>
    </row>
    <row r="424" spans="1:15" x14ac:dyDescent="0.3">
      <c r="A424" s="6" t="s">
        <v>895</v>
      </c>
      <c r="B424" cm="1">
        <f t="array" ref="B424:C424">_xlfn.XLOOKUP(A424,'Main Data'!A421:A1420,'Main Data'!B421:C1420,"Data Not Found",0)</f>
        <v>41</v>
      </c>
      <c r="C424" t="str">
        <v>Male</v>
      </c>
      <c r="E424" s="6" t="s">
        <v>895</v>
      </c>
      <c r="F424" cm="1">
        <f t="array" ref="F424:I424">VLOOKUP(E424,CHOOSE({1,2,3,4,5},'Main Data'!A421:A1420,'Main Data'!B421:B1420,'Main Data'!C421:C1420,'Main Data'!M421:M1420,'Main Data'!N421:N1420),{2,3,4,5},0)</f>
        <v>41</v>
      </c>
      <c r="G424" t="str">
        <v>Male</v>
      </c>
      <c r="H424" t="str">
        <v>Japan</v>
      </c>
      <c r="I424">
        <v>4.2</v>
      </c>
      <c r="L424" s="6" t="s">
        <v>895</v>
      </c>
      <c r="M424" t="str" cm="1">
        <f t="array" ref="M424:O424">INDEX('Main Data'!A421:O1420,MATCH(L424,'Main Data'!A421:A1420,0),{3,7,14})</f>
        <v>Male</v>
      </c>
      <c r="N424">
        <v>77863.98</v>
      </c>
      <c r="O424">
        <v>4.2</v>
      </c>
    </row>
    <row r="425" spans="1:15" x14ac:dyDescent="0.3">
      <c r="A425" s="6" t="s">
        <v>897</v>
      </c>
      <c r="B425" cm="1">
        <f t="array" ref="B425:C425">_xlfn.XLOOKUP(A425,'Main Data'!A422:A1421,'Main Data'!B422:C1421,"Data Not Found",0)</f>
        <v>34</v>
      </c>
      <c r="C425" t="str">
        <v>Other</v>
      </c>
      <c r="E425" s="6" t="s">
        <v>897</v>
      </c>
      <c r="F425" cm="1">
        <f t="array" ref="F425:I425">VLOOKUP(E425,CHOOSE({1,2,3,4,5},'Main Data'!A422:A1421,'Main Data'!B422:B1421,'Main Data'!C422:C1421,'Main Data'!M422:M1421,'Main Data'!N422:N1421),{2,3,4,5},0)</f>
        <v>34</v>
      </c>
      <c r="G425" t="str">
        <v>Other</v>
      </c>
      <c r="H425" t="str">
        <v>USA</v>
      </c>
      <c r="I425">
        <v>1.76</v>
      </c>
      <c r="L425" s="6" t="s">
        <v>897</v>
      </c>
      <c r="M425" t="str" cm="1">
        <f t="array" ref="M425:O425">INDEX('Main Data'!A422:O1421,MATCH(L425,'Main Data'!A422:A1421,0),{3,7,14})</f>
        <v>Other</v>
      </c>
      <c r="N425">
        <v>89280.19</v>
      </c>
      <c r="O425">
        <v>1.76</v>
      </c>
    </row>
    <row r="426" spans="1:15" x14ac:dyDescent="0.3">
      <c r="A426" s="6" t="s">
        <v>899</v>
      </c>
      <c r="B426" cm="1">
        <f t="array" ref="B426:C426">_xlfn.XLOOKUP(A426,'Main Data'!A423:A1422,'Main Data'!B423:C1422,"Data Not Found",0)</f>
        <v>40</v>
      </c>
      <c r="C426" t="str">
        <v>Female</v>
      </c>
      <c r="E426" s="6" t="s">
        <v>899</v>
      </c>
      <c r="F426" cm="1">
        <f t="array" ref="F426:I426">VLOOKUP(E426,CHOOSE({1,2,3,4,5},'Main Data'!A423:A1422,'Main Data'!B423:B1422,'Main Data'!C423:C1422,'Main Data'!M423:M1422,'Main Data'!N423:N1422),{2,3,4,5},0)</f>
        <v>40</v>
      </c>
      <c r="G426" t="str">
        <v>Female</v>
      </c>
      <c r="H426" t="str">
        <v>France</v>
      </c>
      <c r="I426">
        <v>2.38</v>
      </c>
      <c r="L426" s="6" t="s">
        <v>899</v>
      </c>
      <c r="M426" t="str" cm="1">
        <f t="array" ref="M426:O426">INDEX('Main Data'!A423:O1422,MATCH(L426,'Main Data'!A423:A1422,0),{3,7,14})</f>
        <v>Female</v>
      </c>
      <c r="N426">
        <v>127788.99</v>
      </c>
      <c r="O426">
        <v>2.38</v>
      </c>
    </row>
    <row r="427" spans="1:15" x14ac:dyDescent="0.3">
      <c r="A427" s="6" t="s">
        <v>901</v>
      </c>
      <c r="B427" cm="1">
        <f t="array" ref="B427:C427">_xlfn.XLOOKUP(A427,'Main Data'!A424:A1423,'Main Data'!B424:C1423,"Data Not Found",0)</f>
        <v>32</v>
      </c>
      <c r="C427" t="str">
        <v>Other</v>
      </c>
      <c r="E427" s="6" t="s">
        <v>901</v>
      </c>
      <c r="F427" cm="1">
        <f t="array" ref="F427:I427">VLOOKUP(E427,CHOOSE({1,2,3,4,5},'Main Data'!A424:A1423,'Main Data'!B424:B1423,'Main Data'!C424:C1423,'Main Data'!M424:M1423,'Main Data'!N424:N1423),{2,3,4,5},0)</f>
        <v>32</v>
      </c>
      <c r="G427" t="str">
        <v>Other</v>
      </c>
      <c r="H427" t="str">
        <v>UK</v>
      </c>
      <c r="I427">
        <v>1.54</v>
      </c>
      <c r="L427" s="6" t="s">
        <v>901</v>
      </c>
      <c r="M427" t="str" cm="1">
        <f t="array" ref="M427:O427">INDEX('Main Data'!A424:O1423,MATCH(L427,'Main Data'!A424:A1423,0),{3,7,14})</f>
        <v>Other</v>
      </c>
      <c r="N427">
        <v>130275.07</v>
      </c>
      <c r="O427">
        <v>1.54</v>
      </c>
    </row>
    <row r="428" spans="1:15" x14ac:dyDescent="0.3">
      <c r="A428" s="6" t="s">
        <v>903</v>
      </c>
      <c r="B428" cm="1">
        <f t="array" ref="B428:C428">_xlfn.XLOOKUP(A428,'Main Data'!A425:A1424,'Main Data'!B425:C1424,"Data Not Found",0)</f>
        <v>56</v>
      </c>
      <c r="C428" t="str">
        <v>Female</v>
      </c>
      <c r="E428" s="6" t="s">
        <v>903</v>
      </c>
      <c r="F428" cm="1">
        <f t="array" ref="F428:I428">VLOOKUP(E428,CHOOSE({1,2,3,4,5},'Main Data'!A425:A1424,'Main Data'!B425:B1424,'Main Data'!C425:C1424,'Main Data'!M425:M1424,'Main Data'!N425:N1424),{2,3,4,5},0)</f>
        <v>56</v>
      </c>
      <c r="G428" t="str">
        <v>Female</v>
      </c>
      <c r="H428" t="str">
        <v>UAE</v>
      </c>
      <c r="I428">
        <v>3.49</v>
      </c>
      <c r="L428" s="6" t="s">
        <v>903</v>
      </c>
      <c r="M428" t="str" cm="1">
        <f t="array" ref="M428:O428">INDEX('Main Data'!A425:O1424,MATCH(L428,'Main Data'!A425:A1424,0),{3,7,14})</f>
        <v>Female</v>
      </c>
      <c r="N428">
        <v>164451.89000000001</v>
      </c>
      <c r="O428">
        <v>3.49</v>
      </c>
    </row>
    <row r="429" spans="1:15" x14ac:dyDescent="0.3">
      <c r="A429" s="6" t="s">
        <v>905</v>
      </c>
      <c r="B429" cm="1">
        <f t="array" ref="B429:C429">_xlfn.XLOOKUP(A429,'Main Data'!A426:A1425,'Main Data'!B426:C1425,"Data Not Found",0)</f>
        <v>55</v>
      </c>
      <c r="C429" t="str">
        <v>Male</v>
      </c>
      <c r="E429" s="6" t="s">
        <v>905</v>
      </c>
      <c r="F429" cm="1">
        <f t="array" ref="F429:I429">VLOOKUP(E429,CHOOSE({1,2,3,4,5},'Main Data'!A426:A1425,'Main Data'!B426:B1425,'Main Data'!C426:C1425,'Main Data'!M426:M1425,'Main Data'!N426:N1425),{2,3,4,5},0)</f>
        <v>55</v>
      </c>
      <c r="G429" t="str">
        <v>Male</v>
      </c>
      <c r="H429" t="str">
        <v>Japan</v>
      </c>
      <c r="I429">
        <v>1.83</v>
      </c>
      <c r="L429" s="6" t="s">
        <v>905</v>
      </c>
      <c r="M429" t="str" cm="1">
        <f t="array" ref="M429:O429">INDEX('Main Data'!A426:O1425,MATCH(L429,'Main Data'!A426:A1425,0),{3,7,14})</f>
        <v>Male</v>
      </c>
      <c r="N429">
        <v>117560.82</v>
      </c>
      <c r="O429">
        <v>1.83</v>
      </c>
    </row>
    <row r="430" spans="1:15" x14ac:dyDescent="0.3">
      <c r="A430" s="6" t="s">
        <v>907</v>
      </c>
      <c r="B430" cm="1">
        <f t="array" ref="B430:C430">_xlfn.XLOOKUP(A430,'Main Data'!A427:A1426,'Main Data'!B427:C1426,"Data Not Found",0)</f>
        <v>25</v>
      </c>
      <c r="C430" t="str">
        <v>Female</v>
      </c>
      <c r="E430" s="6" t="s">
        <v>907</v>
      </c>
      <c r="F430" cm="1">
        <f t="array" ref="F430:I430">VLOOKUP(E430,CHOOSE({1,2,3,4,5},'Main Data'!A427:A1426,'Main Data'!B427:B1426,'Main Data'!C427:C1426,'Main Data'!M427:M1426,'Main Data'!N427:N1426),{2,3,4,5},0)</f>
        <v>25</v>
      </c>
      <c r="G430" t="str">
        <v>Female</v>
      </c>
      <c r="H430" t="str">
        <v>USA</v>
      </c>
      <c r="I430">
        <v>4.05</v>
      </c>
      <c r="L430" s="6" t="s">
        <v>907</v>
      </c>
      <c r="M430" t="str" cm="1">
        <f t="array" ref="M430:O430">INDEX('Main Data'!A427:O1426,MATCH(L430,'Main Data'!A427:A1426,0),{3,7,14})</f>
        <v>Female</v>
      </c>
      <c r="N430">
        <v>155677.67000000001</v>
      </c>
      <c r="O430">
        <v>4.05</v>
      </c>
    </row>
    <row r="431" spans="1:15" x14ac:dyDescent="0.3">
      <c r="A431" s="6" t="s">
        <v>909</v>
      </c>
      <c r="B431" cm="1">
        <f t="array" ref="B431:C431">_xlfn.XLOOKUP(A431,'Main Data'!A428:A1427,'Main Data'!B428:C1427,"Data Not Found",0)</f>
        <v>34</v>
      </c>
      <c r="C431" t="str">
        <v>Other</v>
      </c>
      <c r="E431" s="6" t="s">
        <v>909</v>
      </c>
      <c r="F431" cm="1">
        <f t="array" ref="F431:I431">VLOOKUP(E431,CHOOSE({1,2,3,4,5},'Main Data'!A428:A1427,'Main Data'!B428:B1427,'Main Data'!C428:C1427,'Main Data'!M428:M1427,'Main Data'!N428:N1427),{2,3,4,5},0)</f>
        <v>34</v>
      </c>
      <c r="G431" t="str">
        <v>Other</v>
      </c>
      <c r="H431" t="str">
        <v>France</v>
      </c>
      <c r="I431">
        <v>3.74</v>
      </c>
      <c r="L431" s="6" t="s">
        <v>909</v>
      </c>
      <c r="M431" t="str" cm="1">
        <f t="array" ref="M431:O431">INDEX('Main Data'!A428:O1427,MATCH(L431,'Main Data'!A428:A1427,0),{3,7,14})</f>
        <v>Other</v>
      </c>
      <c r="N431">
        <v>156137.44</v>
      </c>
      <c r="O431">
        <v>3.74</v>
      </c>
    </row>
    <row r="432" spans="1:15" x14ac:dyDescent="0.3">
      <c r="A432" s="6" t="s">
        <v>911</v>
      </c>
      <c r="B432" cm="1">
        <f t="array" ref="B432:C432">_xlfn.XLOOKUP(A432,'Main Data'!A429:A1428,'Main Data'!B429:C1428,"Data Not Found",0)</f>
        <v>58</v>
      </c>
      <c r="C432" t="str">
        <v>Male</v>
      </c>
      <c r="E432" s="6" t="s">
        <v>911</v>
      </c>
      <c r="F432" cm="1">
        <f t="array" ref="F432:I432">VLOOKUP(E432,CHOOSE({1,2,3,4,5},'Main Data'!A429:A1428,'Main Data'!B429:B1428,'Main Data'!C429:C1428,'Main Data'!M429:M1428,'Main Data'!N429:N1428),{2,3,4,5},0)</f>
        <v>58</v>
      </c>
      <c r="G432" t="str">
        <v>Male</v>
      </c>
      <c r="H432" t="str">
        <v>UK</v>
      </c>
      <c r="I432">
        <v>3.97</v>
      </c>
      <c r="L432" s="6" t="s">
        <v>911</v>
      </c>
      <c r="M432" t="str" cm="1">
        <f t="array" ref="M432:O432">INDEX('Main Data'!A429:O1428,MATCH(L432,'Main Data'!A429:A1428,0),{3,7,14})</f>
        <v>Male</v>
      </c>
      <c r="N432">
        <v>194305.68</v>
      </c>
      <c r="O432">
        <v>3.97</v>
      </c>
    </row>
    <row r="433" spans="1:15" x14ac:dyDescent="0.3">
      <c r="A433" s="6" t="s">
        <v>913</v>
      </c>
      <c r="B433" cm="1">
        <f t="array" ref="B433:C433">_xlfn.XLOOKUP(A433,'Main Data'!A430:A1429,'Main Data'!B430:C1429,"Data Not Found",0)</f>
        <v>23</v>
      </c>
      <c r="C433" t="str">
        <v>Female</v>
      </c>
      <c r="E433" s="6" t="s">
        <v>913</v>
      </c>
      <c r="F433" cm="1">
        <f t="array" ref="F433:I433">VLOOKUP(E433,CHOOSE({1,2,3,4,5},'Main Data'!A430:A1429,'Main Data'!B430:B1429,'Main Data'!C430:C1429,'Main Data'!M430:M1429,'Main Data'!N430:N1429),{2,3,4,5},0)</f>
        <v>23</v>
      </c>
      <c r="G433" t="str">
        <v>Female</v>
      </c>
      <c r="H433" t="str">
        <v>UAE</v>
      </c>
      <c r="I433">
        <v>3.36</v>
      </c>
      <c r="L433" s="6" t="s">
        <v>913</v>
      </c>
      <c r="M433" t="str" cm="1">
        <f t="array" ref="M433:O433">INDEX('Main Data'!A430:O1429,MATCH(L433,'Main Data'!A430:A1429,0),{3,7,14})</f>
        <v>Female</v>
      </c>
      <c r="N433">
        <v>99504.05</v>
      </c>
      <c r="O433">
        <v>3.36</v>
      </c>
    </row>
    <row r="434" spans="1:15" x14ac:dyDescent="0.3">
      <c r="A434" s="6" t="s">
        <v>915</v>
      </c>
      <c r="B434" cm="1">
        <f t="array" ref="B434:C434">_xlfn.XLOOKUP(A434,'Main Data'!A431:A1430,'Main Data'!B431:C1430,"Data Not Found",0)</f>
        <v>22</v>
      </c>
      <c r="C434" t="str">
        <v>Female</v>
      </c>
      <c r="E434" s="6" t="s">
        <v>915</v>
      </c>
      <c r="F434" cm="1">
        <f t="array" ref="F434:I434">VLOOKUP(E434,CHOOSE({1,2,3,4,5},'Main Data'!A431:A1430,'Main Data'!B431:B1430,'Main Data'!C431:C1430,'Main Data'!M431:M1430,'Main Data'!N431:N1430),{2,3,4,5},0)</f>
        <v>22</v>
      </c>
      <c r="G434" t="str">
        <v>Female</v>
      </c>
      <c r="H434" t="str">
        <v>Japan</v>
      </c>
      <c r="I434">
        <v>1.02</v>
      </c>
      <c r="L434" s="6" t="s">
        <v>915</v>
      </c>
      <c r="M434" t="str" cm="1">
        <f t="array" ref="M434:O434">INDEX('Main Data'!A431:O1430,MATCH(L434,'Main Data'!A431:A1430,0),{3,7,14})</f>
        <v>Female</v>
      </c>
      <c r="N434">
        <v>103949.47</v>
      </c>
      <c r="O434">
        <v>1.02</v>
      </c>
    </row>
    <row r="435" spans="1:15" x14ac:dyDescent="0.3">
      <c r="A435" s="6" t="s">
        <v>917</v>
      </c>
      <c r="B435" cm="1">
        <f t="array" ref="B435:C435">_xlfn.XLOOKUP(A435,'Main Data'!A432:A1431,'Main Data'!B432:C1431,"Data Not Found",0)</f>
        <v>61</v>
      </c>
      <c r="C435" t="str">
        <v>Other</v>
      </c>
      <c r="E435" s="6" t="s">
        <v>917</v>
      </c>
      <c r="F435" cm="1">
        <f t="array" ref="F435:I435">VLOOKUP(E435,CHOOSE({1,2,3,4,5},'Main Data'!A432:A1431,'Main Data'!B432:B1431,'Main Data'!C432:C1431,'Main Data'!M432:M1431,'Main Data'!N432:N1431),{2,3,4,5},0)</f>
        <v>61</v>
      </c>
      <c r="G435" t="str">
        <v>Other</v>
      </c>
      <c r="H435" t="str">
        <v>USA</v>
      </c>
      <c r="I435">
        <v>1.45</v>
      </c>
      <c r="L435" s="6" t="s">
        <v>917</v>
      </c>
      <c r="M435" t="str" cm="1">
        <f t="array" ref="M435:O435">INDEX('Main Data'!A432:O1431,MATCH(L435,'Main Data'!A432:A1431,0),{3,7,14})</f>
        <v>Other</v>
      </c>
      <c r="N435">
        <v>154358.57999999999</v>
      </c>
      <c r="O435">
        <v>1.45</v>
      </c>
    </row>
    <row r="436" spans="1:15" x14ac:dyDescent="0.3">
      <c r="A436" s="6" t="s">
        <v>919</v>
      </c>
      <c r="B436" cm="1">
        <f t="array" ref="B436:C436">_xlfn.XLOOKUP(A436,'Main Data'!A433:A1432,'Main Data'!B433:C1432,"Data Not Found",0)</f>
        <v>46</v>
      </c>
      <c r="C436" t="str">
        <v>Male</v>
      </c>
      <c r="E436" s="6" t="s">
        <v>919</v>
      </c>
      <c r="F436" cm="1">
        <f t="array" ref="F436:I436">VLOOKUP(E436,CHOOSE({1,2,3,4,5},'Main Data'!A433:A1432,'Main Data'!B433:B1432,'Main Data'!C433:C1432,'Main Data'!M433:M1432,'Main Data'!N433:N1432),{2,3,4,5},0)</f>
        <v>46</v>
      </c>
      <c r="G436" t="str">
        <v>Male</v>
      </c>
      <c r="H436" t="str">
        <v>France</v>
      </c>
      <c r="I436">
        <v>2.0299999999999998</v>
      </c>
      <c r="L436" s="6" t="s">
        <v>919</v>
      </c>
      <c r="M436" t="str" cm="1">
        <f t="array" ref="M436:O436">INDEX('Main Data'!A433:O1432,MATCH(L436,'Main Data'!A433:A1432,0),{3,7,14})</f>
        <v>Male</v>
      </c>
      <c r="N436">
        <v>105989.57</v>
      </c>
      <c r="O436">
        <v>2.0299999999999998</v>
      </c>
    </row>
    <row r="437" spans="1:15" x14ac:dyDescent="0.3">
      <c r="A437" s="6" t="s">
        <v>921</v>
      </c>
      <c r="B437" cm="1">
        <f t="array" ref="B437:C437">_xlfn.XLOOKUP(A437,'Main Data'!A434:A1433,'Main Data'!B434:C1433,"Data Not Found",0)</f>
        <v>58</v>
      </c>
      <c r="C437" t="str">
        <v>Male</v>
      </c>
      <c r="E437" s="6" t="s">
        <v>921</v>
      </c>
      <c r="F437" cm="1">
        <f t="array" ref="F437:I437">VLOOKUP(E437,CHOOSE({1,2,3,4,5},'Main Data'!A434:A1433,'Main Data'!B434:B1433,'Main Data'!C434:C1433,'Main Data'!M434:M1433,'Main Data'!N434:N1433),{2,3,4,5},0)</f>
        <v>58</v>
      </c>
      <c r="G437" t="str">
        <v>Male</v>
      </c>
      <c r="H437" t="str">
        <v>UK</v>
      </c>
      <c r="I437">
        <v>4.03</v>
      </c>
      <c r="L437" s="6" t="s">
        <v>921</v>
      </c>
      <c r="M437" t="str" cm="1">
        <f t="array" ref="M437:O437">INDEX('Main Data'!A434:O1433,MATCH(L437,'Main Data'!A434:A1433,0),{3,7,14})</f>
        <v>Male</v>
      </c>
      <c r="N437">
        <v>174286.48</v>
      </c>
      <c r="O437">
        <v>4.03</v>
      </c>
    </row>
    <row r="438" spans="1:15" x14ac:dyDescent="0.3">
      <c r="A438" s="6" t="s">
        <v>923</v>
      </c>
      <c r="B438" cm="1">
        <f t="array" ref="B438:C438">_xlfn.XLOOKUP(A438,'Main Data'!A435:A1434,'Main Data'!B435:C1434,"Data Not Found",0)</f>
        <v>57</v>
      </c>
      <c r="C438" t="str">
        <v>Female</v>
      </c>
      <c r="E438" s="6" t="s">
        <v>923</v>
      </c>
      <c r="F438" cm="1">
        <f t="array" ref="F438:I438">VLOOKUP(E438,CHOOSE({1,2,3,4,5},'Main Data'!A435:A1434,'Main Data'!B435:B1434,'Main Data'!C435:C1434,'Main Data'!M435:M1434,'Main Data'!N435:N1434),{2,3,4,5},0)</f>
        <v>57</v>
      </c>
      <c r="G438" t="str">
        <v>Female</v>
      </c>
      <c r="H438" t="str">
        <v>UAE</v>
      </c>
      <c r="I438">
        <v>3.73</v>
      </c>
      <c r="L438" s="6" t="s">
        <v>923</v>
      </c>
      <c r="M438" t="str" cm="1">
        <f t="array" ref="M438:O438">INDEX('Main Data'!A435:O1434,MATCH(L438,'Main Data'!A435:A1434,0),{3,7,14})</f>
        <v>Female</v>
      </c>
      <c r="N438">
        <v>63463.66</v>
      </c>
      <c r="O438">
        <v>3.73</v>
      </c>
    </row>
    <row r="439" spans="1:15" x14ac:dyDescent="0.3">
      <c r="A439" s="6" t="s">
        <v>925</v>
      </c>
      <c r="B439" cm="1">
        <f t="array" ref="B439:C439">_xlfn.XLOOKUP(A439,'Main Data'!A436:A1435,'Main Data'!B436:C1435,"Data Not Found",0)</f>
        <v>27</v>
      </c>
      <c r="C439" t="str">
        <v>Female</v>
      </c>
      <c r="E439" s="6" t="s">
        <v>925</v>
      </c>
      <c r="F439" cm="1">
        <f t="array" ref="F439:I439">VLOOKUP(E439,CHOOSE({1,2,3,4,5},'Main Data'!A436:A1435,'Main Data'!B436:B1435,'Main Data'!C436:C1435,'Main Data'!M436:M1435,'Main Data'!N436:N1435),{2,3,4,5},0)</f>
        <v>27</v>
      </c>
      <c r="G439" t="str">
        <v>Female</v>
      </c>
      <c r="H439" t="str">
        <v>Japan</v>
      </c>
      <c r="I439">
        <v>1.65</v>
      </c>
      <c r="L439" s="6" t="s">
        <v>925</v>
      </c>
      <c r="M439" t="str" cm="1">
        <f t="array" ref="M439:O439">INDEX('Main Data'!A436:O1435,MATCH(L439,'Main Data'!A436:A1435,0),{3,7,14})</f>
        <v>Female</v>
      </c>
      <c r="N439">
        <v>154150.01999999999</v>
      </c>
      <c r="O439">
        <v>1.65</v>
      </c>
    </row>
    <row r="440" spans="1:15" x14ac:dyDescent="0.3">
      <c r="A440" s="6" t="s">
        <v>927</v>
      </c>
      <c r="B440" cm="1">
        <f t="array" ref="B440:C440">_xlfn.XLOOKUP(A440,'Main Data'!A437:A1436,'Main Data'!B437:C1436,"Data Not Found",0)</f>
        <v>28</v>
      </c>
      <c r="C440" t="str">
        <v>Female</v>
      </c>
      <c r="E440" s="6" t="s">
        <v>927</v>
      </c>
      <c r="F440" cm="1">
        <f t="array" ref="F440:I440">VLOOKUP(E440,CHOOSE({1,2,3,4,5},'Main Data'!A437:A1436,'Main Data'!B437:B1436,'Main Data'!C437:C1436,'Main Data'!M437:M1436,'Main Data'!N437:N1436),{2,3,4,5},0)</f>
        <v>28</v>
      </c>
      <c r="G440" t="str">
        <v>Female</v>
      </c>
      <c r="H440" t="str">
        <v>USA</v>
      </c>
      <c r="I440">
        <v>3.07</v>
      </c>
      <c r="L440" s="6" t="s">
        <v>927</v>
      </c>
      <c r="M440" t="str" cm="1">
        <f t="array" ref="M440:O440">INDEX('Main Data'!A437:O1436,MATCH(L440,'Main Data'!A437:A1436,0),{3,7,14})</f>
        <v>Female</v>
      </c>
      <c r="N440">
        <v>73321.13</v>
      </c>
      <c r="O440">
        <v>3.07</v>
      </c>
    </row>
    <row r="441" spans="1:15" x14ac:dyDescent="0.3">
      <c r="A441" s="6" t="s">
        <v>929</v>
      </c>
      <c r="B441" cm="1">
        <f t="array" ref="B441:C441">_xlfn.XLOOKUP(A441,'Main Data'!A438:A1437,'Main Data'!B438:C1437,"Data Not Found",0)</f>
        <v>25</v>
      </c>
      <c r="C441" t="str">
        <v>Male</v>
      </c>
      <c r="E441" s="6" t="s">
        <v>929</v>
      </c>
      <c r="F441" cm="1">
        <f t="array" ref="F441:I441">VLOOKUP(E441,CHOOSE({1,2,3,4,5},'Main Data'!A438:A1437,'Main Data'!B438:B1437,'Main Data'!C438:C1437,'Main Data'!M438:M1437,'Main Data'!N438:N1437),{2,3,4,5},0)</f>
        <v>25</v>
      </c>
      <c r="G441" t="str">
        <v>Male</v>
      </c>
      <c r="H441" t="str">
        <v>France</v>
      </c>
      <c r="I441">
        <v>1.08</v>
      </c>
      <c r="L441" s="6" t="s">
        <v>929</v>
      </c>
      <c r="M441" t="str" cm="1">
        <f t="array" ref="M441:O441">INDEX('Main Data'!A438:O1437,MATCH(L441,'Main Data'!A438:A1437,0),{3,7,14})</f>
        <v>Male</v>
      </c>
      <c r="N441">
        <v>132586.35999999999</v>
      </c>
      <c r="O441">
        <v>1.08</v>
      </c>
    </row>
    <row r="442" spans="1:15" x14ac:dyDescent="0.3">
      <c r="A442" s="6" t="s">
        <v>931</v>
      </c>
      <c r="B442" cm="1">
        <f t="array" ref="B442:C442">_xlfn.XLOOKUP(A442,'Main Data'!A439:A1438,'Main Data'!B439:C1438,"Data Not Found",0)</f>
        <v>56</v>
      </c>
      <c r="C442" t="str">
        <v>Female</v>
      </c>
      <c r="E442" s="6" t="s">
        <v>931</v>
      </c>
      <c r="F442" cm="1">
        <f t="array" ref="F442:I442">VLOOKUP(E442,CHOOSE({1,2,3,4,5},'Main Data'!A439:A1438,'Main Data'!B439:B1438,'Main Data'!C439:C1438,'Main Data'!M439:M1438,'Main Data'!N439:N1438),{2,3,4,5},0)</f>
        <v>56</v>
      </c>
      <c r="G442" t="str">
        <v>Female</v>
      </c>
      <c r="H442" t="str">
        <v>UK</v>
      </c>
      <c r="I442">
        <v>2.7</v>
      </c>
      <c r="L442" s="6" t="s">
        <v>931</v>
      </c>
      <c r="M442" t="str" cm="1">
        <f t="array" ref="M442:O442">INDEX('Main Data'!A439:O1438,MATCH(L442,'Main Data'!A439:A1438,0),{3,7,14})</f>
        <v>Female</v>
      </c>
      <c r="N442">
        <v>125927.47</v>
      </c>
      <c r="O442">
        <v>2.7</v>
      </c>
    </row>
    <row r="443" spans="1:15" x14ac:dyDescent="0.3">
      <c r="A443" s="6" t="s">
        <v>933</v>
      </c>
      <c r="B443" cm="1">
        <f t="array" ref="B443:C443">_xlfn.XLOOKUP(A443,'Main Data'!A440:A1439,'Main Data'!B440:C1439,"Data Not Found",0)</f>
        <v>62</v>
      </c>
      <c r="C443" t="str">
        <v>Female</v>
      </c>
      <c r="E443" s="6" t="s">
        <v>933</v>
      </c>
      <c r="F443" cm="1">
        <f t="array" ref="F443:I443">VLOOKUP(E443,CHOOSE({1,2,3,4,5},'Main Data'!A440:A1439,'Main Data'!B440:B1439,'Main Data'!C440:C1439,'Main Data'!M440:M1439,'Main Data'!N440:N1439),{2,3,4,5},0)</f>
        <v>62</v>
      </c>
      <c r="G443" t="str">
        <v>Female</v>
      </c>
      <c r="H443" t="str">
        <v>UAE</v>
      </c>
      <c r="I443">
        <v>4.08</v>
      </c>
      <c r="L443" s="6" t="s">
        <v>933</v>
      </c>
      <c r="M443" t="str" cm="1">
        <f t="array" ref="M443:O443">INDEX('Main Data'!A440:O1439,MATCH(L443,'Main Data'!A440:A1439,0),{3,7,14})</f>
        <v>Female</v>
      </c>
      <c r="N443">
        <v>151680.64000000001</v>
      </c>
      <c r="O443">
        <v>4.08</v>
      </c>
    </row>
    <row r="444" spans="1:15" x14ac:dyDescent="0.3">
      <c r="A444" s="6" t="s">
        <v>935</v>
      </c>
      <c r="B444" cm="1">
        <f t="array" ref="B444:C444">_xlfn.XLOOKUP(A444,'Main Data'!A441:A1440,'Main Data'!B441:C1440,"Data Not Found",0)</f>
        <v>55</v>
      </c>
      <c r="C444" t="str">
        <v>Male</v>
      </c>
      <c r="E444" s="6" t="s">
        <v>935</v>
      </c>
      <c r="F444" cm="1">
        <f t="array" ref="F444:I444">VLOOKUP(E444,CHOOSE({1,2,3,4,5},'Main Data'!A441:A1440,'Main Data'!B441:B1440,'Main Data'!C441:C1440,'Main Data'!M441:M1440,'Main Data'!N441:N1440),{2,3,4,5},0)</f>
        <v>55</v>
      </c>
      <c r="G444" t="str">
        <v>Male</v>
      </c>
      <c r="H444" t="str">
        <v>Japan</v>
      </c>
      <c r="I444">
        <v>1.56</v>
      </c>
      <c r="L444" s="6" t="s">
        <v>935</v>
      </c>
      <c r="M444" t="str" cm="1">
        <f t="array" ref="M444:O444">INDEX('Main Data'!A441:O1440,MATCH(L444,'Main Data'!A441:A1440,0),{3,7,14})</f>
        <v>Male</v>
      </c>
      <c r="N444">
        <v>134217.37</v>
      </c>
      <c r="O444">
        <v>1.56</v>
      </c>
    </row>
    <row r="445" spans="1:15" x14ac:dyDescent="0.3">
      <c r="A445" s="6" t="s">
        <v>937</v>
      </c>
      <c r="B445" cm="1">
        <f t="array" ref="B445:C445">_xlfn.XLOOKUP(A445,'Main Data'!A442:A1441,'Main Data'!B442:C1441,"Data Not Found",0)</f>
        <v>50</v>
      </c>
      <c r="C445" t="str">
        <v>Male</v>
      </c>
      <c r="E445" s="6" t="s">
        <v>937</v>
      </c>
      <c r="F445" cm="1">
        <f t="array" ref="F445:I445">VLOOKUP(E445,CHOOSE({1,2,3,4,5},'Main Data'!A442:A1441,'Main Data'!B442:B1441,'Main Data'!C442:C1441,'Main Data'!M442:M1441,'Main Data'!N442:N1441),{2,3,4,5},0)</f>
        <v>50</v>
      </c>
      <c r="G445" t="str">
        <v>Male</v>
      </c>
      <c r="H445" t="str">
        <v>USA</v>
      </c>
      <c r="I445">
        <v>3.2</v>
      </c>
      <c r="L445" s="6" t="s">
        <v>937</v>
      </c>
      <c r="M445" t="str" cm="1">
        <f t="array" ref="M445:O445">INDEX('Main Data'!A442:O1441,MATCH(L445,'Main Data'!A442:A1441,0),{3,7,14})</f>
        <v>Male</v>
      </c>
      <c r="N445">
        <v>131330.39000000001</v>
      </c>
      <c r="O445">
        <v>3.2</v>
      </c>
    </row>
    <row r="446" spans="1:15" x14ac:dyDescent="0.3">
      <c r="A446" s="6" t="s">
        <v>939</v>
      </c>
      <c r="B446" cm="1">
        <f t="array" ref="B446:C446">_xlfn.XLOOKUP(A446,'Main Data'!A443:A1442,'Main Data'!B443:C1442,"Data Not Found",0)</f>
        <v>26</v>
      </c>
      <c r="C446" t="str">
        <v>Other</v>
      </c>
      <c r="E446" s="6" t="s">
        <v>939</v>
      </c>
      <c r="F446" cm="1">
        <f t="array" ref="F446:I446">VLOOKUP(E446,CHOOSE({1,2,3,4,5},'Main Data'!A443:A1442,'Main Data'!B443:B1442,'Main Data'!C443:C1442,'Main Data'!M443:M1442,'Main Data'!N443:N1442),{2,3,4,5},0)</f>
        <v>26</v>
      </c>
      <c r="G446" t="str">
        <v>Other</v>
      </c>
      <c r="H446" t="str">
        <v>France</v>
      </c>
      <c r="I446">
        <v>4.03</v>
      </c>
      <c r="L446" s="6" t="s">
        <v>939</v>
      </c>
      <c r="M446" t="str" cm="1">
        <f t="array" ref="M446:O446">INDEX('Main Data'!A443:O1442,MATCH(L446,'Main Data'!A443:A1442,0),{3,7,14})</f>
        <v>Other</v>
      </c>
      <c r="N446">
        <v>126730.18</v>
      </c>
      <c r="O446">
        <v>4.03</v>
      </c>
    </row>
    <row r="447" spans="1:15" x14ac:dyDescent="0.3">
      <c r="A447" s="6" t="s">
        <v>941</v>
      </c>
      <c r="B447" cm="1">
        <f t="array" ref="B447:C447">_xlfn.XLOOKUP(A447,'Main Data'!A444:A1443,'Main Data'!B444:C1443,"Data Not Found",0)</f>
        <v>48</v>
      </c>
      <c r="C447" t="str">
        <v>Male</v>
      </c>
      <c r="E447" s="6" t="s">
        <v>941</v>
      </c>
      <c r="F447" cm="1">
        <f t="array" ref="F447:I447">VLOOKUP(E447,CHOOSE({1,2,3,4,5},'Main Data'!A444:A1443,'Main Data'!B444:B1443,'Main Data'!C444:C1443,'Main Data'!M444:M1443,'Main Data'!N444:N1443),{2,3,4,5},0)</f>
        <v>48</v>
      </c>
      <c r="G447" t="str">
        <v>Male</v>
      </c>
      <c r="H447" t="str">
        <v>UK</v>
      </c>
      <c r="I447">
        <v>3.77</v>
      </c>
      <c r="L447" s="6" t="s">
        <v>941</v>
      </c>
      <c r="M447" t="str" cm="1">
        <f t="array" ref="M447:O447">INDEX('Main Data'!A444:O1443,MATCH(L447,'Main Data'!A444:A1443,0),{3,7,14})</f>
        <v>Male</v>
      </c>
      <c r="N447">
        <v>166801.68</v>
      </c>
      <c r="O447">
        <v>3.77</v>
      </c>
    </row>
    <row r="448" spans="1:15" x14ac:dyDescent="0.3">
      <c r="A448" s="6" t="s">
        <v>943</v>
      </c>
      <c r="B448" cm="1">
        <f t="array" ref="B448:C448">_xlfn.XLOOKUP(A448,'Main Data'!A445:A1444,'Main Data'!B445:C1444,"Data Not Found",0)</f>
        <v>54</v>
      </c>
      <c r="C448" t="str">
        <v>Male</v>
      </c>
      <c r="E448" s="6" t="s">
        <v>943</v>
      </c>
      <c r="F448" cm="1">
        <f t="array" ref="F448:I448">VLOOKUP(E448,CHOOSE({1,2,3,4,5},'Main Data'!A445:A1444,'Main Data'!B445:B1444,'Main Data'!C445:C1444,'Main Data'!M445:M1444,'Main Data'!N445:N1444),{2,3,4,5},0)</f>
        <v>54</v>
      </c>
      <c r="G448" t="str">
        <v>Male</v>
      </c>
      <c r="H448" t="str">
        <v>UAE</v>
      </c>
      <c r="I448">
        <v>1.72</v>
      </c>
      <c r="L448" s="6" t="s">
        <v>943</v>
      </c>
      <c r="M448" t="str" cm="1">
        <f t="array" ref="M448:O448">INDEX('Main Data'!A445:O1444,MATCH(L448,'Main Data'!A445:A1444,0),{3,7,14})</f>
        <v>Male</v>
      </c>
      <c r="N448">
        <v>90293.06</v>
      </c>
      <c r="O448">
        <v>1.72</v>
      </c>
    </row>
    <row r="449" spans="1:15" x14ac:dyDescent="0.3">
      <c r="A449" s="6" t="s">
        <v>945</v>
      </c>
      <c r="B449" cm="1">
        <f t="array" ref="B449:C449">_xlfn.XLOOKUP(A449,'Main Data'!A446:A1445,'Main Data'!B446:C1445,"Data Not Found",0)</f>
        <v>31</v>
      </c>
      <c r="C449" t="str">
        <v>Other</v>
      </c>
      <c r="E449" s="6" t="s">
        <v>945</v>
      </c>
      <c r="F449" cm="1">
        <f t="array" ref="F449:I449">VLOOKUP(E449,CHOOSE({1,2,3,4,5},'Main Data'!A446:A1445,'Main Data'!B446:B1445,'Main Data'!C446:C1445,'Main Data'!M446:M1445,'Main Data'!N446:N1445),{2,3,4,5},0)</f>
        <v>31</v>
      </c>
      <c r="G449" t="str">
        <v>Other</v>
      </c>
      <c r="H449" t="str">
        <v>Japan</v>
      </c>
      <c r="I449">
        <v>4.7699999999999996</v>
      </c>
      <c r="L449" s="6" t="s">
        <v>945</v>
      </c>
      <c r="M449" t="str" cm="1">
        <f t="array" ref="M449:O449">INDEX('Main Data'!A446:O1445,MATCH(L449,'Main Data'!A446:A1445,0),{3,7,14})</f>
        <v>Other</v>
      </c>
      <c r="N449">
        <v>74141.320000000007</v>
      </c>
      <c r="O449">
        <v>4.7699999999999996</v>
      </c>
    </row>
    <row r="450" spans="1:15" x14ac:dyDescent="0.3">
      <c r="A450" s="6" t="s">
        <v>947</v>
      </c>
      <c r="B450" cm="1">
        <f t="array" ref="B450:C450">_xlfn.XLOOKUP(A450,'Main Data'!A447:A1446,'Main Data'!B447:C1446,"Data Not Found",0)</f>
        <v>27</v>
      </c>
      <c r="C450" t="str">
        <v>Male</v>
      </c>
      <c r="E450" s="6" t="s">
        <v>947</v>
      </c>
      <c r="F450" cm="1">
        <f t="array" ref="F450:I450">VLOOKUP(E450,CHOOSE({1,2,3,4,5},'Main Data'!A447:A1446,'Main Data'!B447:B1446,'Main Data'!C447:C1446,'Main Data'!M447:M1446,'Main Data'!N447:N1446),{2,3,4,5},0)</f>
        <v>27</v>
      </c>
      <c r="G450" t="str">
        <v>Male</v>
      </c>
      <c r="H450" t="str">
        <v>USA</v>
      </c>
      <c r="I450">
        <v>4.2</v>
      </c>
      <c r="L450" s="6" t="s">
        <v>947</v>
      </c>
      <c r="M450" t="str" cm="1">
        <f t="array" ref="M450:O450">INDEX('Main Data'!A447:O1446,MATCH(L450,'Main Data'!A447:A1446,0),{3,7,14})</f>
        <v>Male</v>
      </c>
      <c r="N450">
        <v>51891.32</v>
      </c>
      <c r="O450">
        <v>4.2</v>
      </c>
    </row>
    <row r="451" spans="1:15" x14ac:dyDescent="0.3">
      <c r="A451" s="6" t="s">
        <v>949</v>
      </c>
      <c r="B451" cm="1">
        <f t="array" ref="B451:C451">_xlfn.XLOOKUP(A451,'Main Data'!A448:A1447,'Main Data'!B448:C1447,"Data Not Found",0)</f>
        <v>55</v>
      </c>
      <c r="C451" t="str">
        <v>Other</v>
      </c>
      <c r="E451" s="6" t="s">
        <v>949</v>
      </c>
      <c r="F451" cm="1">
        <f t="array" ref="F451:I451">VLOOKUP(E451,CHOOSE({1,2,3,4,5},'Main Data'!A448:A1447,'Main Data'!B448:B1447,'Main Data'!C448:C1447,'Main Data'!M448:M1447,'Main Data'!N448:N1447),{2,3,4,5},0)</f>
        <v>55</v>
      </c>
      <c r="G451" t="str">
        <v>Other</v>
      </c>
      <c r="H451" t="str">
        <v>France</v>
      </c>
      <c r="I451">
        <v>1.74</v>
      </c>
      <c r="L451" s="6" t="s">
        <v>949</v>
      </c>
      <c r="M451" t="str" cm="1">
        <f t="array" ref="M451:O451">INDEX('Main Data'!A448:O1447,MATCH(L451,'Main Data'!A448:A1447,0),{3,7,14})</f>
        <v>Other</v>
      </c>
      <c r="N451">
        <v>69781.47</v>
      </c>
      <c r="O451">
        <v>1.74</v>
      </c>
    </row>
    <row r="452" spans="1:15" x14ac:dyDescent="0.3">
      <c r="A452" s="6" t="s">
        <v>951</v>
      </c>
      <c r="B452" cm="1">
        <f t="array" ref="B452:C452">_xlfn.XLOOKUP(A452,'Main Data'!A449:A1448,'Main Data'!B449:C1448,"Data Not Found",0)</f>
        <v>29</v>
      </c>
      <c r="C452" t="str">
        <v>Male</v>
      </c>
      <c r="E452" s="6" t="s">
        <v>951</v>
      </c>
      <c r="F452" cm="1">
        <f t="array" ref="F452:I452">VLOOKUP(E452,CHOOSE({1,2,3,4,5},'Main Data'!A449:A1448,'Main Data'!B449:B1448,'Main Data'!C449:C1448,'Main Data'!M449:M1448,'Main Data'!N449:N1448),{2,3,4,5},0)</f>
        <v>29</v>
      </c>
      <c r="G452" t="str">
        <v>Male</v>
      </c>
      <c r="H452" t="str">
        <v>UK</v>
      </c>
      <c r="I452">
        <v>4.13</v>
      </c>
      <c r="L452" s="6" t="s">
        <v>951</v>
      </c>
      <c r="M452" t="str" cm="1">
        <f t="array" ref="M452:O452">INDEX('Main Data'!A449:O1448,MATCH(L452,'Main Data'!A449:A1448,0),{3,7,14})</f>
        <v>Male</v>
      </c>
      <c r="N452">
        <v>146761.14000000001</v>
      </c>
      <c r="O452">
        <v>4.13</v>
      </c>
    </row>
    <row r="453" spans="1:15" x14ac:dyDescent="0.3">
      <c r="A453" s="6" t="s">
        <v>953</v>
      </c>
      <c r="B453" cm="1">
        <f t="array" ref="B453:C453">_xlfn.XLOOKUP(A453,'Main Data'!A450:A1449,'Main Data'!B450:C1449,"Data Not Found",0)</f>
        <v>52</v>
      </c>
      <c r="C453" t="str">
        <v>Other</v>
      </c>
      <c r="E453" s="6" t="s">
        <v>953</v>
      </c>
      <c r="F453" cm="1">
        <f t="array" ref="F453:I453">VLOOKUP(E453,CHOOSE({1,2,3,4,5},'Main Data'!A450:A1449,'Main Data'!B450:B1449,'Main Data'!C450:C1449,'Main Data'!M450:M1449,'Main Data'!N450:N1449),{2,3,4,5},0)</f>
        <v>52</v>
      </c>
      <c r="G453" t="str">
        <v>Other</v>
      </c>
      <c r="H453" t="str">
        <v>UAE</v>
      </c>
      <c r="I453">
        <v>2.0299999999999998</v>
      </c>
      <c r="L453" s="6" t="s">
        <v>953</v>
      </c>
      <c r="M453" t="str" cm="1">
        <f t="array" ref="M453:O453">INDEX('Main Data'!A450:O1449,MATCH(L453,'Main Data'!A450:A1449,0),{3,7,14})</f>
        <v>Other</v>
      </c>
      <c r="N453">
        <v>158157.91</v>
      </c>
      <c r="O453">
        <v>2.0299999999999998</v>
      </c>
    </row>
    <row r="454" spans="1:15" x14ac:dyDescent="0.3">
      <c r="A454" s="6" t="s">
        <v>955</v>
      </c>
      <c r="B454" cm="1">
        <f t="array" ref="B454:C454">_xlfn.XLOOKUP(A454,'Main Data'!A451:A1450,'Main Data'!B451:C1450,"Data Not Found",0)</f>
        <v>30</v>
      </c>
      <c r="C454" t="str">
        <v>Female</v>
      </c>
      <c r="E454" s="6" t="s">
        <v>955</v>
      </c>
      <c r="F454" cm="1">
        <f t="array" ref="F454:I454">VLOOKUP(E454,CHOOSE({1,2,3,4,5},'Main Data'!A451:A1450,'Main Data'!B451:B1450,'Main Data'!C451:C1450,'Main Data'!M451:M1450,'Main Data'!N451:N1450),{2,3,4,5},0)</f>
        <v>30</v>
      </c>
      <c r="G454" t="str">
        <v>Female</v>
      </c>
      <c r="H454" t="str">
        <v>Japan</v>
      </c>
      <c r="I454">
        <v>4.62</v>
      </c>
      <c r="L454" s="6" t="s">
        <v>955</v>
      </c>
      <c r="M454" t="str" cm="1">
        <f t="array" ref="M454:O454">INDEX('Main Data'!A451:O1450,MATCH(L454,'Main Data'!A451:A1450,0),{3,7,14})</f>
        <v>Female</v>
      </c>
      <c r="N454">
        <v>144438.03</v>
      </c>
      <c r="O454">
        <v>4.62</v>
      </c>
    </row>
    <row r="455" spans="1:15" x14ac:dyDescent="0.3">
      <c r="A455" s="6" t="s">
        <v>957</v>
      </c>
      <c r="B455" cm="1">
        <f t="array" ref="B455:C455">_xlfn.XLOOKUP(A455,'Main Data'!A452:A1451,'Main Data'!B452:C1451,"Data Not Found",0)</f>
        <v>42</v>
      </c>
      <c r="C455" t="str">
        <v>Female</v>
      </c>
      <c r="E455" s="6" t="s">
        <v>957</v>
      </c>
      <c r="F455" cm="1">
        <f t="array" ref="F455:I455">VLOOKUP(E455,CHOOSE({1,2,3,4,5},'Main Data'!A452:A1451,'Main Data'!B452:B1451,'Main Data'!C452:C1451,'Main Data'!M452:M1451,'Main Data'!N452:N1451),{2,3,4,5},0)</f>
        <v>42</v>
      </c>
      <c r="G455" t="str">
        <v>Female</v>
      </c>
      <c r="H455" t="str">
        <v>USA</v>
      </c>
      <c r="I455">
        <v>4.4000000000000004</v>
      </c>
      <c r="L455" s="6" t="s">
        <v>957</v>
      </c>
      <c r="M455" t="str" cm="1">
        <f t="array" ref="M455:O455">INDEX('Main Data'!A452:O1451,MATCH(L455,'Main Data'!A452:A1451,0),{3,7,14})</f>
        <v>Female</v>
      </c>
      <c r="N455">
        <v>60293.13</v>
      </c>
      <c r="O455">
        <v>4.4000000000000004</v>
      </c>
    </row>
    <row r="456" spans="1:15" x14ac:dyDescent="0.3">
      <c r="A456" s="6" t="s">
        <v>959</v>
      </c>
      <c r="B456" cm="1">
        <f t="array" ref="B456:C456">_xlfn.XLOOKUP(A456,'Main Data'!A453:A1452,'Main Data'!B453:C1452,"Data Not Found",0)</f>
        <v>29</v>
      </c>
      <c r="C456" t="str">
        <v>Female</v>
      </c>
      <c r="E456" s="6" t="s">
        <v>959</v>
      </c>
      <c r="F456" cm="1">
        <f t="array" ref="F456:I456">VLOOKUP(E456,CHOOSE({1,2,3,4,5},'Main Data'!A453:A1452,'Main Data'!B453:B1452,'Main Data'!C453:C1452,'Main Data'!M453:M1452,'Main Data'!N453:N1452),{2,3,4,5},0)</f>
        <v>29</v>
      </c>
      <c r="G456" t="str">
        <v>Female</v>
      </c>
      <c r="H456" t="str">
        <v>France</v>
      </c>
      <c r="I456">
        <v>3.55</v>
      </c>
      <c r="L456" s="6" t="s">
        <v>959</v>
      </c>
      <c r="M456" t="str" cm="1">
        <f t="array" ref="M456:O456">INDEX('Main Data'!A453:O1452,MATCH(L456,'Main Data'!A453:A1452,0),{3,7,14})</f>
        <v>Female</v>
      </c>
      <c r="N456">
        <v>165890.32999999999</v>
      </c>
      <c r="O456">
        <v>3.55</v>
      </c>
    </row>
    <row r="457" spans="1:15" x14ac:dyDescent="0.3">
      <c r="A457" s="6" t="s">
        <v>961</v>
      </c>
      <c r="B457" cm="1">
        <f t="array" ref="B457:C457">_xlfn.XLOOKUP(A457,'Main Data'!A454:A1453,'Main Data'!B454:C1453,"Data Not Found",0)</f>
        <v>25</v>
      </c>
      <c r="C457" t="str">
        <v>Other</v>
      </c>
      <c r="E457" s="6" t="s">
        <v>961</v>
      </c>
      <c r="F457" cm="1">
        <f t="array" ref="F457:I457">VLOOKUP(E457,CHOOSE({1,2,3,4,5},'Main Data'!A454:A1453,'Main Data'!B454:B1453,'Main Data'!C454:C1453,'Main Data'!M454:M1453,'Main Data'!N454:N1453),{2,3,4,5},0)</f>
        <v>25</v>
      </c>
      <c r="G457" t="str">
        <v>Other</v>
      </c>
      <c r="H457" t="str">
        <v>UK</v>
      </c>
      <c r="I457">
        <v>3.62</v>
      </c>
      <c r="L457" s="6" t="s">
        <v>961</v>
      </c>
      <c r="M457" t="str" cm="1">
        <f t="array" ref="M457:O457">INDEX('Main Data'!A454:O1453,MATCH(L457,'Main Data'!A454:A1453,0),{3,7,14})</f>
        <v>Other</v>
      </c>
      <c r="N457">
        <v>127434.94</v>
      </c>
      <c r="O457">
        <v>3.62</v>
      </c>
    </row>
    <row r="458" spans="1:15" x14ac:dyDescent="0.3">
      <c r="A458" s="6" t="s">
        <v>963</v>
      </c>
      <c r="B458" cm="1">
        <f t="array" ref="B458:C458">_xlfn.XLOOKUP(A458,'Main Data'!A455:A1454,'Main Data'!B455:C1454,"Data Not Found",0)</f>
        <v>43</v>
      </c>
      <c r="C458" t="str">
        <v>Female</v>
      </c>
      <c r="E458" s="6" t="s">
        <v>963</v>
      </c>
      <c r="F458" cm="1">
        <f t="array" ref="F458:I458">VLOOKUP(E458,CHOOSE({1,2,3,4,5},'Main Data'!A455:A1454,'Main Data'!B455:B1454,'Main Data'!C455:C1454,'Main Data'!M455:M1454,'Main Data'!N455:N1454),{2,3,4,5},0)</f>
        <v>43</v>
      </c>
      <c r="G458" t="str">
        <v>Female</v>
      </c>
      <c r="H458" t="str">
        <v>UAE</v>
      </c>
      <c r="I458">
        <v>1.29</v>
      </c>
      <c r="L458" s="6" t="s">
        <v>963</v>
      </c>
      <c r="M458" t="str" cm="1">
        <f t="array" ref="M458:O458">INDEX('Main Data'!A455:O1454,MATCH(L458,'Main Data'!A455:A1454,0),{3,7,14})</f>
        <v>Female</v>
      </c>
      <c r="N458">
        <v>86011.97</v>
      </c>
      <c r="O458">
        <v>1.29</v>
      </c>
    </row>
    <row r="459" spans="1:15" x14ac:dyDescent="0.3">
      <c r="A459" s="6" t="s">
        <v>965</v>
      </c>
      <c r="B459" cm="1">
        <f t="array" ref="B459:C459">_xlfn.XLOOKUP(A459,'Main Data'!A456:A1455,'Main Data'!B456:C1455,"Data Not Found",0)</f>
        <v>49</v>
      </c>
      <c r="C459" t="str">
        <v>Male</v>
      </c>
      <c r="E459" s="6" t="s">
        <v>965</v>
      </c>
      <c r="F459" cm="1">
        <f t="array" ref="F459:I459">VLOOKUP(E459,CHOOSE({1,2,3,4,5},'Main Data'!A456:A1455,'Main Data'!B456:B1455,'Main Data'!C456:C1455,'Main Data'!M456:M1455,'Main Data'!N456:N1455),{2,3,4,5},0)</f>
        <v>49</v>
      </c>
      <c r="G459" t="str">
        <v>Male</v>
      </c>
      <c r="H459" t="str">
        <v>Japan</v>
      </c>
      <c r="I459">
        <v>2.34</v>
      </c>
      <c r="L459" s="6" t="s">
        <v>965</v>
      </c>
      <c r="M459" t="str" cm="1">
        <f t="array" ref="M459:O459">INDEX('Main Data'!A456:O1455,MATCH(L459,'Main Data'!A456:A1455,0),{3,7,14})</f>
        <v>Male</v>
      </c>
      <c r="N459">
        <v>137986.93</v>
      </c>
      <c r="O459">
        <v>2.34</v>
      </c>
    </row>
    <row r="460" spans="1:15" x14ac:dyDescent="0.3">
      <c r="A460" s="6" t="s">
        <v>967</v>
      </c>
      <c r="B460" cm="1">
        <f t="array" ref="B460:C460">_xlfn.XLOOKUP(A460,'Main Data'!A457:A1456,'Main Data'!B457:C1456,"Data Not Found",0)</f>
        <v>25</v>
      </c>
      <c r="C460" t="str">
        <v>Other</v>
      </c>
      <c r="E460" s="6" t="s">
        <v>967</v>
      </c>
      <c r="F460" cm="1">
        <f t="array" ref="F460:I460">VLOOKUP(E460,CHOOSE({1,2,3,4,5},'Main Data'!A457:A1456,'Main Data'!B457:B1456,'Main Data'!C457:C1456,'Main Data'!M457:M1456,'Main Data'!N457:N1456),{2,3,4,5},0)</f>
        <v>25</v>
      </c>
      <c r="G460" t="str">
        <v>Other</v>
      </c>
      <c r="H460" t="str">
        <v>USA</v>
      </c>
      <c r="I460">
        <v>4.55</v>
      </c>
      <c r="L460" s="6" t="s">
        <v>967</v>
      </c>
      <c r="M460" t="str" cm="1">
        <f t="array" ref="M460:O460">INDEX('Main Data'!A457:O1456,MATCH(L460,'Main Data'!A457:A1456,0),{3,7,14})</f>
        <v>Other</v>
      </c>
      <c r="N460">
        <v>112388.59</v>
      </c>
      <c r="O460">
        <v>4.55</v>
      </c>
    </row>
    <row r="461" spans="1:15" x14ac:dyDescent="0.3">
      <c r="A461" s="6" t="s">
        <v>969</v>
      </c>
      <c r="B461" cm="1">
        <f t="array" ref="B461:C461">_xlfn.XLOOKUP(A461,'Main Data'!A458:A1457,'Main Data'!B458:C1457,"Data Not Found",0)</f>
        <v>60</v>
      </c>
      <c r="C461" t="str">
        <v>Male</v>
      </c>
      <c r="E461" s="6" t="s">
        <v>969</v>
      </c>
      <c r="F461" cm="1">
        <f t="array" ref="F461:I461">VLOOKUP(E461,CHOOSE({1,2,3,4,5},'Main Data'!A458:A1457,'Main Data'!B458:B1457,'Main Data'!C458:C1457,'Main Data'!M458:M1457,'Main Data'!N458:N1457),{2,3,4,5},0)</f>
        <v>60</v>
      </c>
      <c r="G461" t="str">
        <v>Male</v>
      </c>
      <c r="H461" t="str">
        <v>France</v>
      </c>
      <c r="I461">
        <v>2.25</v>
      </c>
      <c r="L461" s="6" t="s">
        <v>969</v>
      </c>
      <c r="M461" t="str" cm="1">
        <f t="array" ref="M461:O461">INDEX('Main Data'!A458:O1457,MATCH(L461,'Main Data'!A458:A1457,0),{3,7,14})</f>
        <v>Male</v>
      </c>
      <c r="N461">
        <v>154603.26</v>
      </c>
      <c r="O461">
        <v>2.25</v>
      </c>
    </row>
    <row r="462" spans="1:15" x14ac:dyDescent="0.3">
      <c r="A462" s="6" t="s">
        <v>971</v>
      </c>
      <c r="B462" cm="1">
        <f t="array" ref="B462:C462">_xlfn.XLOOKUP(A462,'Main Data'!A459:A1458,'Main Data'!B459:C1458,"Data Not Found",0)</f>
        <v>42</v>
      </c>
      <c r="C462" t="str">
        <v>Male</v>
      </c>
      <c r="E462" s="6" t="s">
        <v>971</v>
      </c>
      <c r="F462" cm="1">
        <f t="array" ref="F462:I462">VLOOKUP(E462,CHOOSE({1,2,3,4,5},'Main Data'!A459:A1458,'Main Data'!B459:B1458,'Main Data'!C459:C1458,'Main Data'!M459:M1458,'Main Data'!N459:N1458),{2,3,4,5},0)</f>
        <v>42</v>
      </c>
      <c r="G462" t="str">
        <v>Male</v>
      </c>
      <c r="H462" t="str">
        <v>UK</v>
      </c>
      <c r="I462">
        <v>2.2000000000000002</v>
      </c>
      <c r="L462" s="6" t="s">
        <v>971</v>
      </c>
      <c r="M462" t="str" cm="1">
        <f t="array" ref="M462:O462">INDEX('Main Data'!A459:O1458,MATCH(L462,'Main Data'!A459:A1458,0),{3,7,14})</f>
        <v>Male</v>
      </c>
      <c r="N462">
        <v>124353.39</v>
      </c>
      <c r="O462">
        <v>2.2000000000000002</v>
      </c>
    </row>
    <row r="463" spans="1:15" x14ac:dyDescent="0.3">
      <c r="A463" s="6" t="s">
        <v>973</v>
      </c>
      <c r="B463" cm="1">
        <f t="array" ref="B463:C463">_xlfn.XLOOKUP(A463,'Main Data'!A460:A1459,'Main Data'!B460:C1459,"Data Not Found",0)</f>
        <v>29</v>
      </c>
      <c r="C463" t="str">
        <v>Male</v>
      </c>
      <c r="E463" s="6" t="s">
        <v>973</v>
      </c>
      <c r="F463" cm="1">
        <f t="array" ref="F463:I463">VLOOKUP(E463,CHOOSE({1,2,3,4,5},'Main Data'!A460:A1459,'Main Data'!B460:B1459,'Main Data'!C460:C1459,'Main Data'!M460:M1459,'Main Data'!N460:N1459),{2,3,4,5},0)</f>
        <v>29</v>
      </c>
      <c r="G463" t="str">
        <v>Male</v>
      </c>
      <c r="H463" t="str">
        <v>UAE</v>
      </c>
      <c r="I463">
        <v>2.84</v>
      </c>
      <c r="L463" s="6" t="s">
        <v>973</v>
      </c>
      <c r="M463" t="str" cm="1">
        <f t="array" ref="M463:O463">INDEX('Main Data'!A460:O1459,MATCH(L463,'Main Data'!A460:A1459,0),{3,7,14})</f>
        <v>Male</v>
      </c>
      <c r="N463">
        <v>55397.05</v>
      </c>
      <c r="O463">
        <v>2.84</v>
      </c>
    </row>
    <row r="464" spans="1:15" x14ac:dyDescent="0.3">
      <c r="A464" s="6" t="s">
        <v>975</v>
      </c>
      <c r="B464" cm="1">
        <f t="array" ref="B464:C464">_xlfn.XLOOKUP(A464,'Main Data'!A461:A1460,'Main Data'!B461:C1460,"Data Not Found",0)</f>
        <v>41</v>
      </c>
      <c r="C464" t="str">
        <v>Other</v>
      </c>
      <c r="E464" s="6" t="s">
        <v>975</v>
      </c>
      <c r="F464" cm="1">
        <f t="array" ref="F464:I464">VLOOKUP(E464,CHOOSE({1,2,3,4,5},'Main Data'!A461:A1460,'Main Data'!B461:B1460,'Main Data'!C461:C1460,'Main Data'!M461:M1460,'Main Data'!N461:N1460),{2,3,4,5},0)</f>
        <v>41</v>
      </c>
      <c r="G464" t="str">
        <v>Other</v>
      </c>
      <c r="H464" t="str">
        <v>Japan</v>
      </c>
      <c r="I464">
        <v>1.75</v>
      </c>
      <c r="L464" s="6" t="s">
        <v>975</v>
      </c>
      <c r="M464" t="str" cm="1">
        <f t="array" ref="M464:O464">INDEX('Main Data'!A461:O1460,MATCH(L464,'Main Data'!A461:A1460,0),{3,7,14})</f>
        <v>Other</v>
      </c>
      <c r="N464">
        <v>146694</v>
      </c>
      <c r="O464">
        <v>1.75</v>
      </c>
    </row>
    <row r="465" spans="1:15" x14ac:dyDescent="0.3">
      <c r="A465" s="6" t="s">
        <v>977</v>
      </c>
      <c r="B465" cm="1">
        <f t="array" ref="B465:C465">_xlfn.XLOOKUP(A465,'Main Data'!A462:A1461,'Main Data'!B462:C1461,"Data Not Found",0)</f>
        <v>53</v>
      </c>
      <c r="C465" t="str">
        <v>Male</v>
      </c>
      <c r="E465" s="6" t="s">
        <v>977</v>
      </c>
      <c r="F465" cm="1">
        <f t="array" ref="F465:I465">VLOOKUP(E465,CHOOSE({1,2,3,4,5},'Main Data'!A462:A1461,'Main Data'!B462:B1461,'Main Data'!C462:C1461,'Main Data'!M462:M1461,'Main Data'!N462:N1461),{2,3,4,5},0)</f>
        <v>53</v>
      </c>
      <c r="G465" t="str">
        <v>Male</v>
      </c>
      <c r="H465" t="str">
        <v>USA</v>
      </c>
      <c r="I465">
        <v>4.5</v>
      </c>
      <c r="L465" s="6" t="s">
        <v>977</v>
      </c>
      <c r="M465" t="str" cm="1">
        <f t="array" ref="M465:O465">INDEX('Main Data'!A462:O1461,MATCH(L465,'Main Data'!A462:A1461,0),{3,7,14})</f>
        <v>Male</v>
      </c>
      <c r="N465">
        <v>156708.01</v>
      </c>
      <c r="O465">
        <v>4.5</v>
      </c>
    </row>
    <row r="466" spans="1:15" x14ac:dyDescent="0.3">
      <c r="A466" s="6" t="s">
        <v>979</v>
      </c>
      <c r="B466" cm="1">
        <f t="array" ref="B466:C466">_xlfn.XLOOKUP(A466,'Main Data'!A463:A1462,'Main Data'!B463:C1462,"Data Not Found",0)</f>
        <v>22</v>
      </c>
      <c r="C466" t="str">
        <v>Female</v>
      </c>
      <c r="E466" s="6" t="s">
        <v>979</v>
      </c>
      <c r="F466" cm="1">
        <f t="array" ref="F466:I466">VLOOKUP(E466,CHOOSE({1,2,3,4,5},'Main Data'!A463:A1462,'Main Data'!B463:B1462,'Main Data'!C463:C1462,'Main Data'!M463:M1462,'Main Data'!N463:N1462),{2,3,4,5},0)</f>
        <v>22</v>
      </c>
      <c r="G466" t="str">
        <v>Female</v>
      </c>
      <c r="H466" t="str">
        <v>France</v>
      </c>
      <c r="I466">
        <v>4.13</v>
      </c>
      <c r="L466" s="6" t="s">
        <v>979</v>
      </c>
      <c r="M466" t="str" cm="1">
        <f t="array" ref="M466:O466">INDEX('Main Data'!A463:O1462,MATCH(L466,'Main Data'!A463:A1462,0),{3,7,14})</f>
        <v>Female</v>
      </c>
      <c r="N466">
        <v>147059.89000000001</v>
      </c>
      <c r="O466">
        <v>4.13</v>
      </c>
    </row>
    <row r="467" spans="1:15" x14ac:dyDescent="0.3">
      <c r="A467" s="6" t="s">
        <v>981</v>
      </c>
      <c r="B467" cm="1">
        <f t="array" ref="B467:C467">_xlfn.XLOOKUP(A467,'Main Data'!A464:A1463,'Main Data'!B464:C1463,"Data Not Found",0)</f>
        <v>27</v>
      </c>
      <c r="C467" t="str">
        <v>Other</v>
      </c>
      <c r="E467" s="6" t="s">
        <v>981</v>
      </c>
      <c r="F467" cm="1">
        <f t="array" ref="F467:I467">VLOOKUP(E467,CHOOSE({1,2,3,4,5},'Main Data'!A464:A1463,'Main Data'!B464:B1463,'Main Data'!C464:C1463,'Main Data'!M464:M1463,'Main Data'!N464:N1463),{2,3,4,5},0)</f>
        <v>27</v>
      </c>
      <c r="G467" t="str">
        <v>Other</v>
      </c>
      <c r="H467" t="str">
        <v>UK</v>
      </c>
      <c r="I467">
        <v>1.52</v>
      </c>
      <c r="L467" s="6" t="s">
        <v>981</v>
      </c>
      <c r="M467" t="str" cm="1">
        <f t="array" ref="M467:O467">INDEX('Main Data'!A464:O1463,MATCH(L467,'Main Data'!A464:A1463,0),{3,7,14})</f>
        <v>Other</v>
      </c>
      <c r="N467">
        <v>187200.93</v>
      </c>
      <c r="O467">
        <v>1.52</v>
      </c>
    </row>
    <row r="468" spans="1:15" x14ac:dyDescent="0.3">
      <c r="A468" s="6" t="s">
        <v>983</v>
      </c>
      <c r="B468" cm="1">
        <f t="array" ref="B468:C468">_xlfn.XLOOKUP(A468,'Main Data'!A465:A1464,'Main Data'!B465:C1464,"Data Not Found",0)</f>
        <v>49</v>
      </c>
      <c r="C468" t="str">
        <v>Female</v>
      </c>
      <c r="E468" s="6" t="s">
        <v>983</v>
      </c>
      <c r="F468" cm="1">
        <f t="array" ref="F468:I468">VLOOKUP(E468,CHOOSE({1,2,3,4,5},'Main Data'!A465:A1464,'Main Data'!B465:B1464,'Main Data'!C465:C1464,'Main Data'!M465:M1464,'Main Data'!N465:N1464),{2,3,4,5},0)</f>
        <v>49</v>
      </c>
      <c r="G468" t="str">
        <v>Female</v>
      </c>
      <c r="H468" t="str">
        <v>UAE</v>
      </c>
      <c r="I468">
        <v>2.29</v>
      </c>
      <c r="L468" s="6" t="s">
        <v>983</v>
      </c>
      <c r="M468" t="str" cm="1">
        <f t="array" ref="M468:O468">INDEX('Main Data'!A465:O1464,MATCH(L468,'Main Data'!A465:A1464,0),{3,7,14})</f>
        <v>Female</v>
      </c>
      <c r="N468">
        <v>99966.81</v>
      </c>
      <c r="O468">
        <v>2.29</v>
      </c>
    </row>
    <row r="469" spans="1:15" x14ac:dyDescent="0.3">
      <c r="A469" s="6" t="s">
        <v>985</v>
      </c>
      <c r="B469" cm="1">
        <f t="array" ref="B469:C469">_xlfn.XLOOKUP(A469,'Main Data'!A466:A1465,'Main Data'!B466:C1465,"Data Not Found",0)</f>
        <v>52</v>
      </c>
      <c r="C469" t="str">
        <v>Other</v>
      </c>
      <c r="E469" s="6" t="s">
        <v>985</v>
      </c>
      <c r="F469" cm="1">
        <f t="array" ref="F469:I469">VLOOKUP(E469,CHOOSE({1,2,3,4,5},'Main Data'!A466:A1465,'Main Data'!B466:B1465,'Main Data'!C466:C1465,'Main Data'!M466:M1465,'Main Data'!N466:N1465),{2,3,4,5},0)</f>
        <v>52</v>
      </c>
      <c r="G469" t="str">
        <v>Other</v>
      </c>
      <c r="H469" t="str">
        <v>Japan</v>
      </c>
      <c r="I469">
        <v>1.59</v>
      </c>
      <c r="L469" s="6" t="s">
        <v>985</v>
      </c>
      <c r="M469" t="str" cm="1">
        <f t="array" ref="M469:O469">INDEX('Main Data'!A466:O1465,MATCH(L469,'Main Data'!A466:A1465,0),{3,7,14})</f>
        <v>Other</v>
      </c>
      <c r="N469">
        <v>84205.47</v>
      </c>
      <c r="O469">
        <v>1.59</v>
      </c>
    </row>
    <row r="470" spans="1:15" x14ac:dyDescent="0.3">
      <c r="A470" s="6" t="s">
        <v>987</v>
      </c>
      <c r="B470" cm="1">
        <f t="array" ref="B470:C470">_xlfn.XLOOKUP(A470,'Main Data'!A467:A1466,'Main Data'!B467:C1466,"Data Not Found",0)</f>
        <v>31</v>
      </c>
      <c r="C470" t="str">
        <v>Male</v>
      </c>
      <c r="E470" s="6" t="s">
        <v>987</v>
      </c>
      <c r="F470" cm="1">
        <f t="array" ref="F470:I470">VLOOKUP(E470,CHOOSE({1,2,3,4,5},'Main Data'!A467:A1466,'Main Data'!B467:B1466,'Main Data'!C467:C1466,'Main Data'!M467:M1466,'Main Data'!N467:N1466),{2,3,4,5},0)</f>
        <v>31</v>
      </c>
      <c r="G470" t="str">
        <v>Male</v>
      </c>
      <c r="H470" t="str">
        <v>USA</v>
      </c>
      <c r="I470">
        <v>2.5499999999999998</v>
      </c>
      <c r="L470" s="6" t="s">
        <v>987</v>
      </c>
      <c r="M470" t="str" cm="1">
        <f t="array" ref="M470:O470">INDEX('Main Data'!A467:O1466,MATCH(L470,'Main Data'!A467:A1466,0),{3,7,14})</f>
        <v>Male</v>
      </c>
      <c r="N470">
        <v>126542.11</v>
      </c>
      <c r="O470">
        <v>2.5499999999999998</v>
      </c>
    </row>
    <row r="471" spans="1:15" x14ac:dyDescent="0.3">
      <c r="A471" s="6" t="s">
        <v>989</v>
      </c>
      <c r="B471" cm="1">
        <f t="array" ref="B471:C471">_xlfn.XLOOKUP(A471,'Main Data'!A468:A1467,'Main Data'!B468:C1467,"Data Not Found",0)</f>
        <v>41</v>
      </c>
      <c r="C471" t="str">
        <v>Female</v>
      </c>
      <c r="E471" s="6" t="s">
        <v>989</v>
      </c>
      <c r="F471" cm="1">
        <f t="array" ref="F471:I471">VLOOKUP(E471,CHOOSE({1,2,3,4,5},'Main Data'!A468:A1467,'Main Data'!B468:B1467,'Main Data'!C468:C1467,'Main Data'!M468:M1467,'Main Data'!N468:N1467),{2,3,4,5},0)</f>
        <v>41</v>
      </c>
      <c r="G471" t="str">
        <v>Female</v>
      </c>
      <c r="H471" t="str">
        <v>France</v>
      </c>
      <c r="I471">
        <v>3.61</v>
      </c>
      <c r="L471" s="6" t="s">
        <v>989</v>
      </c>
      <c r="M471" t="str" cm="1">
        <f t="array" ref="M471:O471">INDEX('Main Data'!A468:O1467,MATCH(L471,'Main Data'!A468:A1467,0),{3,7,14})</f>
        <v>Female</v>
      </c>
      <c r="N471">
        <v>171027.43</v>
      </c>
      <c r="O471">
        <v>3.61</v>
      </c>
    </row>
    <row r="472" spans="1:15" x14ac:dyDescent="0.3">
      <c r="A472" s="6" t="s">
        <v>991</v>
      </c>
      <c r="B472" cm="1">
        <f t="array" ref="B472:C472">_xlfn.XLOOKUP(A472,'Main Data'!A469:A1468,'Main Data'!B469:C1468,"Data Not Found",0)</f>
        <v>29</v>
      </c>
      <c r="C472" t="str">
        <v>Other</v>
      </c>
      <c r="E472" s="6" t="s">
        <v>991</v>
      </c>
      <c r="F472" cm="1">
        <f t="array" ref="F472:I472">VLOOKUP(E472,CHOOSE({1,2,3,4,5},'Main Data'!A469:A1468,'Main Data'!B469:B1468,'Main Data'!C469:C1468,'Main Data'!M469:M1468,'Main Data'!N469:N1468),{2,3,4,5},0)</f>
        <v>29</v>
      </c>
      <c r="G472" t="str">
        <v>Other</v>
      </c>
      <c r="H472" t="str">
        <v>UK</v>
      </c>
      <c r="I472">
        <v>2.04</v>
      </c>
      <c r="L472" s="6" t="s">
        <v>991</v>
      </c>
      <c r="M472" t="str" cm="1">
        <f t="array" ref="M472:O472">INDEX('Main Data'!A469:O1468,MATCH(L472,'Main Data'!A469:A1468,0),{3,7,14})</f>
        <v>Other</v>
      </c>
      <c r="N472">
        <v>153019.21</v>
      </c>
      <c r="O472">
        <v>2.04</v>
      </c>
    </row>
    <row r="473" spans="1:15" x14ac:dyDescent="0.3">
      <c r="A473" s="6" t="s">
        <v>993</v>
      </c>
      <c r="B473" cm="1">
        <f t="array" ref="B473:C473">_xlfn.XLOOKUP(A473,'Main Data'!A470:A1469,'Main Data'!B470:C1469,"Data Not Found",0)</f>
        <v>43</v>
      </c>
      <c r="C473" t="str">
        <v>Male</v>
      </c>
      <c r="E473" s="6" t="s">
        <v>993</v>
      </c>
      <c r="F473" cm="1">
        <f t="array" ref="F473:I473">VLOOKUP(E473,CHOOSE({1,2,3,4,5},'Main Data'!A470:A1469,'Main Data'!B470:B1469,'Main Data'!C470:C1469,'Main Data'!M470:M1469,'Main Data'!N470:N1469),{2,3,4,5},0)</f>
        <v>43</v>
      </c>
      <c r="G473" t="str">
        <v>Male</v>
      </c>
      <c r="H473" t="str">
        <v>UAE</v>
      </c>
      <c r="I473">
        <v>4.0599999999999996</v>
      </c>
      <c r="L473" s="6" t="s">
        <v>993</v>
      </c>
      <c r="M473" t="str" cm="1">
        <f t="array" ref="M473:O473">INDEX('Main Data'!A470:O1469,MATCH(L473,'Main Data'!A470:A1469,0),{3,7,14})</f>
        <v>Male</v>
      </c>
      <c r="N473">
        <v>113713.19</v>
      </c>
      <c r="O473">
        <v>4.0599999999999996</v>
      </c>
    </row>
    <row r="474" spans="1:15" x14ac:dyDescent="0.3">
      <c r="A474" s="6" t="s">
        <v>995</v>
      </c>
      <c r="B474" cm="1">
        <f t="array" ref="B474:C474">_xlfn.XLOOKUP(A474,'Main Data'!A471:A1470,'Main Data'!B471:C1470,"Data Not Found",0)</f>
        <v>59</v>
      </c>
      <c r="C474" t="str">
        <v>Male</v>
      </c>
      <c r="E474" s="6" t="s">
        <v>995</v>
      </c>
      <c r="F474" cm="1">
        <f t="array" ref="F474:I474">VLOOKUP(E474,CHOOSE({1,2,3,4,5},'Main Data'!A471:A1470,'Main Data'!B471:B1470,'Main Data'!C471:C1470,'Main Data'!M471:M1470,'Main Data'!N471:N1470),{2,3,4,5},0)</f>
        <v>59</v>
      </c>
      <c r="G474" t="str">
        <v>Male</v>
      </c>
      <c r="H474" t="str">
        <v>Japan</v>
      </c>
      <c r="I474">
        <v>4.8600000000000003</v>
      </c>
      <c r="L474" s="6" t="s">
        <v>995</v>
      </c>
      <c r="M474" t="str" cm="1">
        <f t="array" ref="M474:O474">INDEX('Main Data'!A471:O1470,MATCH(L474,'Main Data'!A471:A1470,0),{3,7,14})</f>
        <v>Male</v>
      </c>
      <c r="N474">
        <v>75135.62</v>
      </c>
      <c r="O474">
        <v>4.8600000000000003</v>
      </c>
    </row>
    <row r="475" spans="1:15" x14ac:dyDescent="0.3">
      <c r="A475" s="6" t="s">
        <v>997</v>
      </c>
      <c r="B475" cm="1">
        <f t="array" ref="B475:C475">_xlfn.XLOOKUP(A475,'Main Data'!A472:A1471,'Main Data'!B472:C1471,"Data Not Found",0)</f>
        <v>50</v>
      </c>
      <c r="C475" t="str">
        <v>Other</v>
      </c>
      <c r="E475" s="6" t="s">
        <v>997</v>
      </c>
      <c r="F475" cm="1">
        <f t="array" ref="F475:I475">VLOOKUP(E475,CHOOSE({1,2,3,4,5},'Main Data'!A472:A1471,'Main Data'!B472:B1471,'Main Data'!C472:C1471,'Main Data'!M472:M1471,'Main Data'!N472:N1471),{2,3,4,5},0)</f>
        <v>50</v>
      </c>
      <c r="G475" t="str">
        <v>Other</v>
      </c>
      <c r="H475" t="str">
        <v>USA</v>
      </c>
      <c r="I475">
        <v>3.44</v>
      </c>
      <c r="L475" s="6" t="s">
        <v>997</v>
      </c>
      <c r="M475" t="str" cm="1">
        <f t="array" ref="M475:O475">INDEX('Main Data'!A472:O1471,MATCH(L475,'Main Data'!A472:A1471,0),{3,7,14})</f>
        <v>Other</v>
      </c>
      <c r="N475">
        <v>75361.929999999993</v>
      </c>
      <c r="O475">
        <v>3.44</v>
      </c>
    </row>
    <row r="476" spans="1:15" x14ac:dyDescent="0.3">
      <c r="A476" s="6" t="s">
        <v>999</v>
      </c>
      <c r="B476" cm="1">
        <f t="array" ref="B476:C476">_xlfn.XLOOKUP(A476,'Main Data'!A473:A1472,'Main Data'!B473:C1472,"Data Not Found",0)</f>
        <v>30</v>
      </c>
      <c r="C476" t="str">
        <v>Other</v>
      </c>
      <c r="E476" s="6" t="s">
        <v>999</v>
      </c>
      <c r="F476" cm="1">
        <f t="array" ref="F476:I476">VLOOKUP(E476,CHOOSE({1,2,3,4,5},'Main Data'!A473:A1472,'Main Data'!B473:B1472,'Main Data'!C473:C1472,'Main Data'!M473:M1472,'Main Data'!N473:N1472),{2,3,4,5},0)</f>
        <v>30</v>
      </c>
      <c r="G476" t="str">
        <v>Other</v>
      </c>
      <c r="H476" t="str">
        <v>France</v>
      </c>
      <c r="I476">
        <v>2.33</v>
      </c>
      <c r="L476" s="6" t="s">
        <v>999</v>
      </c>
      <c r="M476" t="str" cm="1">
        <f t="array" ref="M476:O476">INDEX('Main Data'!A473:O1472,MATCH(L476,'Main Data'!A473:A1472,0),{3,7,14})</f>
        <v>Other</v>
      </c>
      <c r="N476">
        <v>115512.88</v>
      </c>
      <c r="O476">
        <v>2.33</v>
      </c>
    </row>
    <row r="477" spans="1:15" x14ac:dyDescent="0.3">
      <c r="A477" s="6" t="s">
        <v>1001</v>
      </c>
      <c r="B477" cm="1">
        <f t="array" ref="B477:C477">_xlfn.XLOOKUP(A477,'Main Data'!A474:A1473,'Main Data'!B474:C1473,"Data Not Found",0)</f>
        <v>22</v>
      </c>
      <c r="C477" t="str">
        <v>Other</v>
      </c>
      <c r="E477" s="6" t="s">
        <v>1001</v>
      </c>
      <c r="F477" cm="1">
        <f t="array" ref="F477:I477">VLOOKUP(E477,CHOOSE({1,2,3,4,5},'Main Data'!A474:A1473,'Main Data'!B474:B1473,'Main Data'!C474:C1473,'Main Data'!M474:M1473,'Main Data'!N474:N1473),{2,3,4,5},0)</f>
        <v>22</v>
      </c>
      <c r="G477" t="str">
        <v>Other</v>
      </c>
      <c r="H477" t="str">
        <v>UK</v>
      </c>
      <c r="I477">
        <v>3.93</v>
      </c>
      <c r="L477" s="6" t="s">
        <v>1001</v>
      </c>
      <c r="M477" t="str" cm="1">
        <f t="array" ref="M477:O477">INDEX('Main Data'!A474:O1473,MATCH(L477,'Main Data'!A474:A1473,0),{3,7,14})</f>
        <v>Other</v>
      </c>
      <c r="N477">
        <v>184602.8</v>
      </c>
      <c r="O477">
        <v>3.93</v>
      </c>
    </row>
    <row r="478" spans="1:15" x14ac:dyDescent="0.3">
      <c r="A478" s="6" t="s">
        <v>1003</v>
      </c>
      <c r="B478" cm="1">
        <f t="array" ref="B478:C478">_xlfn.XLOOKUP(A478,'Main Data'!A475:A1474,'Main Data'!B475:C1474,"Data Not Found",0)</f>
        <v>62</v>
      </c>
      <c r="C478" t="str">
        <v>Other</v>
      </c>
      <c r="E478" s="6" t="s">
        <v>1003</v>
      </c>
      <c r="F478" cm="1">
        <f t="array" ref="F478:I478">VLOOKUP(E478,CHOOSE({1,2,3,4,5},'Main Data'!A475:A1474,'Main Data'!B475:B1474,'Main Data'!C475:C1474,'Main Data'!M475:M1474,'Main Data'!N475:N1474),{2,3,4,5},0)</f>
        <v>62</v>
      </c>
      <c r="G478" t="str">
        <v>Other</v>
      </c>
      <c r="H478" t="str">
        <v>UAE</v>
      </c>
      <c r="I478">
        <v>2.06</v>
      </c>
      <c r="L478" s="6" t="s">
        <v>1003</v>
      </c>
      <c r="M478" t="str" cm="1">
        <f t="array" ref="M478:O478">INDEX('Main Data'!A475:O1474,MATCH(L478,'Main Data'!A475:A1474,0),{3,7,14})</f>
        <v>Other</v>
      </c>
      <c r="N478">
        <v>113763.54</v>
      </c>
      <c r="O478">
        <v>2.06</v>
      </c>
    </row>
    <row r="479" spans="1:15" x14ac:dyDescent="0.3">
      <c r="A479" s="6" t="s">
        <v>1005</v>
      </c>
      <c r="B479" cm="1">
        <f t="array" ref="B479:C479">_xlfn.XLOOKUP(A479,'Main Data'!A476:A1475,'Main Data'!B476:C1475,"Data Not Found",0)</f>
        <v>60</v>
      </c>
      <c r="C479" t="str">
        <v>Female</v>
      </c>
      <c r="E479" s="6" t="s">
        <v>1005</v>
      </c>
      <c r="F479" cm="1">
        <f t="array" ref="F479:I479">VLOOKUP(E479,CHOOSE({1,2,3,4,5},'Main Data'!A476:A1475,'Main Data'!B476:B1475,'Main Data'!C476:C1475,'Main Data'!M476:M1475,'Main Data'!N476:N1475),{2,3,4,5},0)</f>
        <v>60</v>
      </c>
      <c r="G479" t="str">
        <v>Female</v>
      </c>
      <c r="H479" t="str">
        <v>Japan</v>
      </c>
      <c r="I479">
        <v>4.54</v>
      </c>
      <c r="L479" s="6" t="s">
        <v>1005</v>
      </c>
      <c r="M479" t="str" cm="1">
        <f t="array" ref="M479:O479">INDEX('Main Data'!A476:O1475,MATCH(L479,'Main Data'!A476:A1475,0),{3,7,14})</f>
        <v>Female</v>
      </c>
      <c r="N479">
        <v>190227.15</v>
      </c>
      <c r="O479">
        <v>4.54</v>
      </c>
    </row>
    <row r="480" spans="1:15" x14ac:dyDescent="0.3">
      <c r="A480" s="6" t="s">
        <v>1007</v>
      </c>
      <c r="B480" cm="1">
        <f t="array" ref="B480:C480">_xlfn.XLOOKUP(A480,'Main Data'!A477:A1476,'Main Data'!B477:C1476,"Data Not Found",0)</f>
        <v>47</v>
      </c>
      <c r="C480" t="str">
        <v>Other</v>
      </c>
      <c r="E480" s="6" t="s">
        <v>1007</v>
      </c>
      <c r="F480" cm="1">
        <f t="array" ref="F480:I480">VLOOKUP(E480,CHOOSE({1,2,3,4,5},'Main Data'!A477:A1476,'Main Data'!B477:B1476,'Main Data'!C477:C1476,'Main Data'!M477:M1476,'Main Data'!N477:N1476),{2,3,4,5},0)</f>
        <v>47</v>
      </c>
      <c r="G480" t="str">
        <v>Other</v>
      </c>
      <c r="H480" t="str">
        <v>USA</v>
      </c>
      <c r="I480">
        <v>4.05</v>
      </c>
      <c r="L480" s="6" t="s">
        <v>1007</v>
      </c>
      <c r="M480" t="str" cm="1">
        <f t="array" ref="M480:O480">INDEX('Main Data'!A477:O1476,MATCH(L480,'Main Data'!A477:A1476,0),{3,7,14})</f>
        <v>Other</v>
      </c>
      <c r="N480">
        <v>120272.36</v>
      </c>
      <c r="O480">
        <v>4.05</v>
      </c>
    </row>
    <row r="481" spans="1:15" x14ac:dyDescent="0.3">
      <c r="A481" s="6" t="s">
        <v>1009</v>
      </c>
      <c r="B481" cm="1">
        <f t="array" ref="B481:C481">_xlfn.XLOOKUP(A481,'Main Data'!A478:A1477,'Main Data'!B478:C1477,"Data Not Found",0)</f>
        <v>32</v>
      </c>
      <c r="C481" t="str">
        <v>Male</v>
      </c>
      <c r="E481" s="6" t="s">
        <v>1009</v>
      </c>
      <c r="F481" cm="1">
        <f t="array" ref="F481:I481">VLOOKUP(E481,CHOOSE({1,2,3,4,5},'Main Data'!A478:A1477,'Main Data'!B478:B1477,'Main Data'!C478:C1477,'Main Data'!M478:M1477,'Main Data'!N478:N1477),{2,3,4,5},0)</f>
        <v>32</v>
      </c>
      <c r="G481" t="str">
        <v>Male</v>
      </c>
      <c r="H481" t="str">
        <v>France</v>
      </c>
      <c r="I481">
        <v>2.68</v>
      </c>
      <c r="L481" s="6" t="s">
        <v>1009</v>
      </c>
      <c r="M481" t="str" cm="1">
        <f t="array" ref="M481:O481">INDEX('Main Data'!A478:O1477,MATCH(L481,'Main Data'!A478:A1477,0),{3,7,14})</f>
        <v>Male</v>
      </c>
      <c r="N481">
        <v>55507.31</v>
      </c>
      <c r="O481">
        <v>2.68</v>
      </c>
    </row>
    <row r="482" spans="1:15" x14ac:dyDescent="0.3">
      <c r="A482" s="6" t="s">
        <v>1011</v>
      </c>
      <c r="B482" cm="1">
        <f t="array" ref="B482:C482">_xlfn.XLOOKUP(A482,'Main Data'!A479:A1478,'Main Data'!B479:C1478,"Data Not Found",0)</f>
        <v>56</v>
      </c>
      <c r="C482" t="str">
        <v>Female</v>
      </c>
      <c r="E482" s="6" t="s">
        <v>1011</v>
      </c>
      <c r="F482" cm="1">
        <f t="array" ref="F482:I482">VLOOKUP(E482,CHOOSE({1,2,3,4,5},'Main Data'!A479:A1478,'Main Data'!B479:B1478,'Main Data'!C479:C1478,'Main Data'!M479:M1478,'Main Data'!N479:N1478),{2,3,4,5},0)</f>
        <v>56</v>
      </c>
      <c r="G482" t="str">
        <v>Female</v>
      </c>
      <c r="H482" t="str">
        <v>UK</v>
      </c>
      <c r="I482">
        <v>3.93</v>
      </c>
      <c r="L482" s="6" t="s">
        <v>1011</v>
      </c>
      <c r="M482" t="str" cm="1">
        <f t="array" ref="M482:O482">INDEX('Main Data'!A479:O1478,MATCH(L482,'Main Data'!A479:A1478,0),{3,7,14})</f>
        <v>Female</v>
      </c>
      <c r="N482">
        <v>89186.42</v>
      </c>
      <c r="O482">
        <v>3.93</v>
      </c>
    </row>
    <row r="483" spans="1:15" x14ac:dyDescent="0.3">
      <c r="A483" s="6" t="s">
        <v>1013</v>
      </c>
      <c r="B483" cm="1">
        <f t="array" ref="B483:C483">_xlfn.XLOOKUP(A483,'Main Data'!A480:A1479,'Main Data'!B480:C1479,"Data Not Found",0)</f>
        <v>45</v>
      </c>
      <c r="C483" t="str">
        <v>Male</v>
      </c>
      <c r="E483" s="6" t="s">
        <v>1013</v>
      </c>
      <c r="F483" cm="1">
        <f t="array" ref="F483:I483">VLOOKUP(E483,CHOOSE({1,2,3,4,5},'Main Data'!A480:A1479,'Main Data'!B480:B1479,'Main Data'!C480:C1479,'Main Data'!M480:M1479,'Main Data'!N480:N1479),{2,3,4,5},0)</f>
        <v>45</v>
      </c>
      <c r="G483" t="str">
        <v>Male</v>
      </c>
      <c r="H483" t="str">
        <v>UAE</v>
      </c>
      <c r="I483">
        <v>1</v>
      </c>
      <c r="L483" s="6" t="s">
        <v>1013</v>
      </c>
      <c r="M483" t="str" cm="1">
        <f t="array" ref="M483:O483">INDEX('Main Data'!A480:O1479,MATCH(L483,'Main Data'!A480:A1479,0),{3,7,14})</f>
        <v>Male</v>
      </c>
      <c r="N483">
        <v>51788.23</v>
      </c>
      <c r="O483">
        <v>1</v>
      </c>
    </row>
    <row r="484" spans="1:15" x14ac:dyDescent="0.3">
      <c r="A484" s="6" t="s">
        <v>1015</v>
      </c>
      <c r="B484" cm="1">
        <f t="array" ref="B484:C484">_xlfn.XLOOKUP(A484,'Main Data'!A481:A1480,'Main Data'!B481:C1480,"Data Not Found",0)</f>
        <v>54</v>
      </c>
      <c r="C484" t="str">
        <v>Male</v>
      </c>
      <c r="E484" s="6" t="s">
        <v>1015</v>
      </c>
      <c r="F484" cm="1">
        <f t="array" ref="F484:I484">VLOOKUP(E484,CHOOSE({1,2,3,4,5},'Main Data'!A481:A1480,'Main Data'!B481:B1480,'Main Data'!C481:C1480,'Main Data'!M481:M1480,'Main Data'!N481:N1480),{2,3,4,5},0)</f>
        <v>54</v>
      </c>
      <c r="G484" t="str">
        <v>Male</v>
      </c>
      <c r="H484" t="str">
        <v>Japan</v>
      </c>
      <c r="I484">
        <v>4.13</v>
      </c>
      <c r="L484" s="6" t="s">
        <v>1015</v>
      </c>
      <c r="M484" t="str" cm="1">
        <f t="array" ref="M484:O484">INDEX('Main Data'!A481:O1480,MATCH(L484,'Main Data'!A481:A1480,0),{3,7,14})</f>
        <v>Male</v>
      </c>
      <c r="N484">
        <v>79831.399999999994</v>
      </c>
      <c r="O484">
        <v>4.13</v>
      </c>
    </row>
    <row r="485" spans="1:15" x14ac:dyDescent="0.3">
      <c r="A485" s="6" t="s">
        <v>1017</v>
      </c>
      <c r="B485" cm="1">
        <f t="array" ref="B485:C485">_xlfn.XLOOKUP(A485,'Main Data'!A482:A1481,'Main Data'!B482:C1481,"Data Not Found",0)</f>
        <v>41</v>
      </c>
      <c r="C485" t="str">
        <v>Other</v>
      </c>
      <c r="E485" s="6" t="s">
        <v>1017</v>
      </c>
      <c r="F485" cm="1">
        <f t="array" ref="F485:I485">VLOOKUP(E485,CHOOSE({1,2,3,4,5},'Main Data'!A482:A1481,'Main Data'!B482:B1481,'Main Data'!C482:C1481,'Main Data'!M482:M1481,'Main Data'!N482:N1481),{2,3,4,5},0)</f>
        <v>41</v>
      </c>
      <c r="G485" t="str">
        <v>Other</v>
      </c>
      <c r="H485" t="str">
        <v>USA</v>
      </c>
      <c r="I485">
        <v>3.96</v>
      </c>
      <c r="L485" s="6" t="s">
        <v>1017</v>
      </c>
      <c r="M485" t="str" cm="1">
        <f t="array" ref="M485:O485">INDEX('Main Data'!A482:O1481,MATCH(L485,'Main Data'!A482:A1481,0),{3,7,14})</f>
        <v>Other</v>
      </c>
      <c r="N485">
        <v>119117.35</v>
      </c>
      <c r="O485">
        <v>3.96</v>
      </c>
    </row>
    <row r="486" spans="1:15" x14ac:dyDescent="0.3">
      <c r="A486" s="6" t="s">
        <v>1019</v>
      </c>
      <c r="B486" cm="1">
        <f t="array" ref="B486:C486">_xlfn.XLOOKUP(A486,'Main Data'!A483:A1482,'Main Data'!B483:C1482,"Data Not Found",0)</f>
        <v>48</v>
      </c>
      <c r="C486" t="str">
        <v>Female</v>
      </c>
      <c r="E486" s="6" t="s">
        <v>1019</v>
      </c>
      <c r="F486" cm="1">
        <f t="array" ref="F486:I486">VLOOKUP(E486,CHOOSE({1,2,3,4,5},'Main Data'!A483:A1482,'Main Data'!B483:B1482,'Main Data'!C483:C1482,'Main Data'!M483:M1482,'Main Data'!N483:N1482),{2,3,4,5},0)</f>
        <v>48</v>
      </c>
      <c r="G486" t="str">
        <v>Female</v>
      </c>
      <c r="H486" t="str">
        <v>France</v>
      </c>
      <c r="I486">
        <v>2.5099999999999998</v>
      </c>
      <c r="L486" s="6" t="s">
        <v>1019</v>
      </c>
      <c r="M486" t="str" cm="1">
        <f t="array" ref="M486:O486">INDEX('Main Data'!A483:O1482,MATCH(L486,'Main Data'!A483:A1482,0),{3,7,14})</f>
        <v>Female</v>
      </c>
      <c r="N486">
        <v>121215.02</v>
      </c>
      <c r="O486">
        <v>2.5099999999999998</v>
      </c>
    </row>
    <row r="487" spans="1:15" x14ac:dyDescent="0.3">
      <c r="A487" s="6" t="s">
        <v>1021</v>
      </c>
      <c r="B487" cm="1">
        <f t="array" ref="B487:C487">_xlfn.XLOOKUP(A487,'Main Data'!A484:A1483,'Main Data'!B484:C1483,"Data Not Found",0)</f>
        <v>36</v>
      </c>
      <c r="C487" t="str">
        <v>Other</v>
      </c>
      <c r="E487" s="6" t="s">
        <v>1021</v>
      </c>
      <c r="F487" cm="1">
        <f t="array" ref="F487:I487">VLOOKUP(E487,CHOOSE({1,2,3,4,5},'Main Data'!A484:A1483,'Main Data'!B484:B1483,'Main Data'!C484:C1483,'Main Data'!M484:M1483,'Main Data'!N484:N1483),{2,3,4,5},0)</f>
        <v>36</v>
      </c>
      <c r="G487" t="str">
        <v>Other</v>
      </c>
      <c r="H487" t="str">
        <v>UK</v>
      </c>
      <c r="I487">
        <v>1.27</v>
      </c>
      <c r="L487" s="6" t="s">
        <v>1021</v>
      </c>
      <c r="M487" t="str" cm="1">
        <f t="array" ref="M487:O487">INDEX('Main Data'!A484:O1483,MATCH(L487,'Main Data'!A484:A1483,0),{3,7,14})</f>
        <v>Other</v>
      </c>
      <c r="N487">
        <v>198606.98</v>
      </c>
      <c r="O487">
        <v>1.27</v>
      </c>
    </row>
    <row r="488" spans="1:15" x14ac:dyDescent="0.3">
      <c r="A488" s="6" t="s">
        <v>1023</v>
      </c>
      <c r="B488" cm="1">
        <f t="array" ref="B488:C488">_xlfn.XLOOKUP(A488,'Main Data'!A485:A1484,'Main Data'!B485:C1484,"Data Not Found",0)</f>
        <v>54</v>
      </c>
      <c r="C488" t="str">
        <v>Male</v>
      </c>
      <c r="E488" s="6" t="s">
        <v>1023</v>
      </c>
      <c r="F488" cm="1">
        <f t="array" ref="F488:I488">VLOOKUP(E488,CHOOSE({1,2,3,4,5},'Main Data'!A485:A1484,'Main Data'!B485:B1484,'Main Data'!C485:C1484,'Main Data'!M485:M1484,'Main Data'!N485:N1484),{2,3,4,5},0)</f>
        <v>54</v>
      </c>
      <c r="G488" t="str">
        <v>Male</v>
      </c>
      <c r="H488" t="str">
        <v>UAE</v>
      </c>
      <c r="I488">
        <v>2.72</v>
      </c>
      <c r="L488" s="6" t="s">
        <v>1023</v>
      </c>
      <c r="M488" t="str" cm="1">
        <f t="array" ref="M488:O488">INDEX('Main Data'!A485:O1484,MATCH(L488,'Main Data'!A485:A1484,0),{3,7,14})</f>
        <v>Male</v>
      </c>
      <c r="N488">
        <v>70899.87</v>
      </c>
      <c r="O488">
        <v>2.72</v>
      </c>
    </row>
    <row r="489" spans="1:15" x14ac:dyDescent="0.3">
      <c r="A489" s="6" t="s">
        <v>1025</v>
      </c>
      <c r="B489" cm="1">
        <f t="array" ref="B489:C489">_xlfn.XLOOKUP(A489,'Main Data'!A486:A1485,'Main Data'!B486:C1485,"Data Not Found",0)</f>
        <v>28</v>
      </c>
      <c r="C489" t="str">
        <v>Other</v>
      </c>
      <c r="E489" s="6" t="s">
        <v>1025</v>
      </c>
      <c r="F489" cm="1">
        <f t="array" ref="F489:I489">VLOOKUP(E489,CHOOSE({1,2,3,4,5},'Main Data'!A486:A1485,'Main Data'!B486:B1485,'Main Data'!C486:C1485,'Main Data'!M486:M1485,'Main Data'!N486:N1485),{2,3,4,5},0)</f>
        <v>28</v>
      </c>
      <c r="G489" t="str">
        <v>Other</v>
      </c>
      <c r="H489" t="str">
        <v>Japan</v>
      </c>
      <c r="I489">
        <v>1.01</v>
      </c>
      <c r="L489" s="6" t="s">
        <v>1025</v>
      </c>
      <c r="M489" t="str" cm="1">
        <f t="array" ref="M489:O489">INDEX('Main Data'!A486:O1485,MATCH(L489,'Main Data'!A486:A1485,0),{3,7,14})</f>
        <v>Other</v>
      </c>
      <c r="N489">
        <v>138019.17000000001</v>
      </c>
      <c r="O489">
        <v>1.01</v>
      </c>
    </row>
    <row r="490" spans="1:15" x14ac:dyDescent="0.3">
      <c r="A490" s="6" t="s">
        <v>1027</v>
      </c>
      <c r="B490" cm="1">
        <f t="array" ref="B490:C490">_xlfn.XLOOKUP(A490,'Main Data'!A487:A1486,'Main Data'!B487:C1486,"Data Not Found",0)</f>
        <v>55</v>
      </c>
      <c r="C490" t="str">
        <v>Other</v>
      </c>
      <c r="E490" s="6" t="s">
        <v>1027</v>
      </c>
      <c r="F490" cm="1">
        <f t="array" ref="F490:I490">VLOOKUP(E490,CHOOSE({1,2,3,4,5},'Main Data'!A487:A1486,'Main Data'!B487:B1486,'Main Data'!C487:C1486,'Main Data'!M487:M1486,'Main Data'!N487:N1486),{2,3,4,5},0)</f>
        <v>55</v>
      </c>
      <c r="G490" t="str">
        <v>Other</v>
      </c>
      <c r="H490" t="str">
        <v>USA</v>
      </c>
      <c r="I490">
        <v>1.54</v>
      </c>
      <c r="L490" s="6" t="s">
        <v>1027</v>
      </c>
      <c r="M490" t="str" cm="1">
        <f t="array" ref="M490:O490">INDEX('Main Data'!A487:O1486,MATCH(L490,'Main Data'!A487:A1486,0),{3,7,14})</f>
        <v>Other</v>
      </c>
      <c r="N490">
        <v>66822.259999999995</v>
      </c>
      <c r="O490">
        <v>1.54</v>
      </c>
    </row>
    <row r="491" spans="1:15" x14ac:dyDescent="0.3">
      <c r="A491" s="6" t="s">
        <v>1029</v>
      </c>
      <c r="B491" cm="1">
        <f t="array" ref="B491:C491">_xlfn.XLOOKUP(A491,'Main Data'!A488:A1487,'Main Data'!B488:C1487,"Data Not Found",0)</f>
        <v>63</v>
      </c>
      <c r="C491" t="str">
        <v>Other</v>
      </c>
      <c r="E491" s="6" t="s">
        <v>1029</v>
      </c>
      <c r="F491" cm="1">
        <f t="array" ref="F491:I491">VLOOKUP(E491,CHOOSE({1,2,3,4,5},'Main Data'!A488:A1487,'Main Data'!B488:B1487,'Main Data'!C488:C1487,'Main Data'!M488:M1487,'Main Data'!N488:N1487),{2,3,4,5},0)</f>
        <v>63</v>
      </c>
      <c r="G491" t="str">
        <v>Other</v>
      </c>
      <c r="H491" t="str">
        <v>France</v>
      </c>
      <c r="I491">
        <v>2.0299999999999998</v>
      </c>
      <c r="L491" s="6" t="s">
        <v>1029</v>
      </c>
      <c r="M491" t="str" cm="1">
        <f t="array" ref="M491:O491">INDEX('Main Data'!A488:O1487,MATCH(L491,'Main Data'!A488:A1487,0),{3,7,14})</f>
        <v>Other</v>
      </c>
      <c r="N491">
        <v>102914.86</v>
      </c>
      <c r="O491">
        <v>2.0299999999999998</v>
      </c>
    </row>
    <row r="492" spans="1:15" x14ac:dyDescent="0.3">
      <c r="A492" s="6" t="s">
        <v>1031</v>
      </c>
      <c r="B492" cm="1">
        <f t="array" ref="B492:C492">_xlfn.XLOOKUP(A492,'Main Data'!A489:A1488,'Main Data'!B489:C1488,"Data Not Found",0)</f>
        <v>26</v>
      </c>
      <c r="C492" t="str">
        <v>Other</v>
      </c>
      <c r="E492" s="6" t="s">
        <v>1031</v>
      </c>
      <c r="F492" cm="1">
        <f t="array" ref="F492:I492">VLOOKUP(E492,CHOOSE({1,2,3,4,5},'Main Data'!A489:A1488,'Main Data'!B489:B1488,'Main Data'!C489:C1488,'Main Data'!M489:M1488,'Main Data'!N489:N1488),{2,3,4,5},0)</f>
        <v>26</v>
      </c>
      <c r="G492" t="str">
        <v>Other</v>
      </c>
      <c r="H492" t="str">
        <v>UK</v>
      </c>
      <c r="I492">
        <v>1.1499999999999999</v>
      </c>
      <c r="L492" s="6" t="s">
        <v>1031</v>
      </c>
      <c r="M492" t="str" cm="1">
        <f t="array" ref="M492:O492">INDEX('Main Data'!A489:O1488,MATCH(L492,'Main Data'!A489:A1488,0),{3,7,14})</f>
        <v>Other</v>
      </c>
      <c r="N492">
        <v>148622.15</v>
      </c>
      <c r="O492">
        <v>1.1499999999999999</v>
      </c>
    </row>
    <row r="493" spans="1:15" x14ac:dyDescent="0.3">
      <c r="A493" s="6" t="s">
        <v>1033</v>
      </c>
      <c r="B493" cm="1">
        <f t="array" ref="B493:C493">_xlfn.XLOOKUP(A493,'Main Data'!A490:A1489,'Main Data'!B490:C1489,"Data Not Found",0)</f>
        <v>51</v>
      </c>
      <c r="C493" t="str">
        <v>Other</v>
      </c>
      <c r="E493" s="6" t="s">
        <v>1033</v>
      </c>
      <c r="F493" cm="1">
        <f t="array" ref="F493:I493">VLOOKUP(E493,CHOOSE({1,2,3,4,5},'Main Data'!A490:A1489,'Main Data'!B490:B1489,'Main Data'!C490:C1489,'Main Data'!M490:M1489,'Main Data'!N490:N1489),{2,3,4,5},0)</f>
        <v>51</v>
      </c>
      <c r="G493" t="str">
        <v>Other</v>
      </c>
      <c r="H493" t="str">
        <v>UAE</v>
      </c>
      <c r="I493">
        <v>3.43</v>
      </c>
      <c r="L493" s="6" t="s">
        <v>1033</v>
      </c>
      <c r="M493" t="str" cm="1">
        <f t="array" ref="M493:O493">INDEX('Main Data'!A490:O1489,MATCH(L493,'Main Data'!A490:A1489,0),{3,7,14})</f>
        <v>Other</v>
      </c>
      <c r="N493">
        <v>135477.45000000001</v>
      </c>
      <c r="O493">
        <v>3.43</v>
      </c>
    </row>
    <row r="494" spans="1:15" x14ac:dyDescent="0.3">
      <c r="A494" s="6" t="s">
        <v>1035</v>
      </c>
      <c r="B494" cm="1">
        <f t="array" ref="B494:C494">_xlfn.XLOOKUP(A494,'Main Data'!A491:A1490,'Main Data'!B491:C1490,"Data Not Found",0)</f>
        <v>49</v>
      </c>
      <c r="C494" t="str">
        <v>Other</v>
      </c>
      <c r="E494" s="6" t="s">
        <v>1035</v>
      </c>
      <c r="F494" cm="1">
        <f t="array" ref="F494:I494">VLOOKUP(E494,CHOOSE({1,2,3,4,5},'Main Data'!A491:A1490,'Main Data'!B491:B1490,'Main Data'!C491:C1490,'Main Data'!M491:M1490,'Main Data'!N491:N1490),{2,3,4,5},0)</f>
        <v>49</v>
      </c>
      <c r="G494" t="str">
        <v>Other</v>
      </c>
      <c r="H494" t="str">
        <v>Japan</v>
      </c>
      <c r="I494">
        <v>4.59</v>
      </c>
      <c r="L494" s="6" t="s">
        <v>1035</v>
      </c>
      <c r="M494" t="str" cm="1">
        <f t="array" ref="M494:O494">INDEX('Main Data'!A491:O1490,MATCH(L494,'Main Data'!A491:A1490,0),{3,7,14})</f>
        <v>Other</v>
      </c>
      <c r="N494">
        <v>99591.17</v>
      </c>
      <c r="O494">
        <v>4.59</v>
      </c>
    </row>
    <row r="495" spans="1:15" x14ac:dyDescent="0.3">
      <c r="A495" s="6" t="s">
        <v>1037</v>
      </c>
      <c r="B495" cm="1">
        <f t="array" ref="B495:C495">_xlfn.XLOOKUP(A495,'Main Data'!A492:A1491,'Main Data'!B492:C1491,"Data Not Found",0)</f>
        <v>39</v>
      </c>
      <c r="C495" t="str">
        <v>Female</v>
      </c>
      <c r="E495" s="6" t="s">
        <v>1037</v>
      </c>
      <c r="F495" cm="1">
        <f t="array" ref="F495:I495">VLOOKUP(E495,CHOOSE({1,2,3,4,5},'Main Data'!A492:A1491,'Main Data'!B492:B1491,'Main Data'!C492:C1491,'Main Data'!M492:M1491,'Main Data'!N492:N1491),{2,3,4,5},0)</f>
        <v>39</v>
      </c>
      <c r="G495" t="str">
        <v>Female</v>
      </c>
      <c r="H495" t="str">
        <v>USA</v>
      </c>
      <c r="I495">
        <v>2.63</v>
      </c>
      <c r="L495" s="6" t="s">
        <v>1037</v>
      </c>
      <c r="M495" t="str" cm="1">
        <f t="array" ref="M495:O495">INDEX('Main Data'!A492:O1491,MATCH(L495,'Main Data'!A492:A1491,0),{3,7,14})</f>
        <v>Female</v>
      </c>
      <c r="N495">
        <v>150677.26</v>
      </c>
      <c r="O495">
        <v>2.63</v>
      </c>
    </row>
    <row r="496" spans="1:15" x14ac:dyDescent="0.3">
      <c r="A496" s="6" t="s">
        <v>1039</v>
      </c>
      <c r="B496" cm="1">
        <f t="array" ref="B496:C496">_xlfn.XLOOKUP(A496,'Main Data'!A493:A1492,'Main Data'!B493:C1492,"Data Not Found",0)</f>
        <v>57</v>
      </c>
      <c r="C496" t="str">
        <v>Other</v>
      </c>
      <c r="E496" s="6" t="s">
        <v>1039</v>
      </c>
      <c r="F496" cm="1">
        <f t="array" ref="F496:I496">VLOOKUP(E496,CHOOSE({1,2,3,4,5},'Main Data'!A493:A1492,'Main Data'!B493:B1492,'Main Data'!C493:C1492,'Main Data'!M493:M1492,'Main Data'!N493:N1492),{2,3,4,5},0)</f>
        <v>57</v>
      </c>
      <c r="G496" t="str">
        <v>Other</v>
      </c>
      <c r="H496" t="str">
        <v>France</v>
      </c>
      <c r="I496">
        <v>3.79</v>
      </c>
      <c r="L496" s="6" t="s">
        <v>1039</v>
      </c>
      <c r="M496" t="str" cm="1">
        <f t="array" ref="M496:O496">INDEX('Main Data'!A493:O1492,MATCH(L496,'Main Data'!A493:A1492,0),{3,7,14})</f>
        <v>Other</v>
      </c>
      <c r="N496">
        <v>152633.1</v>
      </c>
      <c r="O496">
        <v>3.79</v>
      </c>
    </row>
    <row r="497" spans="1:15" x14ac:dyDescent="0.3">
      <c r="A497" s="6" t="s">
        <v>1041</v>
      </c>
      <c r="B497" cm="1">
        <f t="array" ref="B497:C497">_xlfn.XLOOKUP(A497,'Main Data'!A494:A1493,'Main Data'!B494:C1493,"Data Not Found",0)</f>
        <v>24</v>
      </c>
      <c r="C497" t="str">
        <v>Female</v>
      </c>
      <c r="E497" s="6" t="s">
        <v>1041</v>
      </c>
      <c r="F497" cm="1">
        <f t="array" ref="F497:I497">VLOOKUP(E497,CHOOSE({1,2,3,4,5},'Main Data'!A494:A1493,'Main Data'!B494:B1493,'Main Data'!C494:C1493,'Main Data'!M494:M1493,'Main Data'!N494:N1493),{2,3,4,5},0)</f>
        <v>24</v>
      </c>
      <c r="G497" t="str">
        <v>Female</v>
      </c>
      <c r="H497" t="str">
        <v>UK</v>
      </c>
      <c r="I497">
        <v>1.47</v>
      </c>
      <c r="L497" s="6" t="s">
        <v>1041</v>
      </c>
      <c r="M497" t="str" cm="1">
        <f t="array" ref="M497:O497">INDEX('Main Data'!A494:O1493,MATCH(L497,'Main Data'!A494:A1493,0),{3,7,14})</f>
        <v>Female</v>
      </c>
      <c r="N497">
        <v>82335</v>
      </c>
      <c r="O497">
        <v>1.47</v>
      </c>
    </row>
    <row r="498" spans="1:15" x14ac:dyDescent="0.3">
      <c r="A498" s="6" t="s">
        <v>1043</v>
      </c>
      <c r="B498" cm="1">
        <f t="array" ref="B498:C498">_xlfn.XLOOKUP(A498,'Main Data'!A495:A1494,'Main Data'!B495:C1494,"Data Not Found",0)</f>
        <v>42</v>
      </c>
      <c r="C498" t="str">
        <v>Other</v>
      </c>
      <c r="E498" s="6" t="s">
        <v>1043</v>
      </c>
      <c r="F498" cm="1">
        <f t="array" ref="F498:I498">VLOOKUP(E498,CHOOSE({1,2,3,4,5},'Main Data'!A495:A1494,'Main Data'!B495:B1494,'Main Data'!C495:C1494,'Main Data'!M495:M1494,'Main Data'!N495:N1494),{2,3,4,5},0)</f>
        <v>42</v>
      </c>
      <c r="G498" t="str">
        <v>Other</v>
      </c>
      <c r="H498" t="str">
        <v>UAE</v>
      </c>
      <c r="I498">
        <v>4.74</v>
      </c>
      <c r="L498" s="6" t="s">
        <v>1043</v>
      </c>
      <c r="M498" t="str" cm="1">
        <f t="array" ref="M498:O498">INDEX('Main Data'!A495:O1494,MATCH(L498,'Main Data'!A495:A1494,0),{3,7,14})</f>
        <v>Other</v>
      </c>
      <c r="N498">
        <v>109142.71</v>
      </c>
      <c r="O498">
        <v>4.74</v>
      </c>
    </row>
    <row r="499" spans="1:15" x14ac:dyDescent="0.3">
      <c r="A499" s="6" t="s">
        <v>1045</v>
      </c>
      <c r="B499" cm="1">
        <f t="array" ref="B499:C499">_xlfn.XLOOKUP(A499,'Main Data'!A496:A1495,'Main Data'!B496:C1495,"Data Not Found",0)</f>
        <v>37</v>
      </c>
      <c r="C499" t="str">
        <v>Female</v>
      </c>
      <c r="E499" s="6" t="s">
        <v>1045</v>
      </c>
      <c r="F499" cm="1">
        <f t="array" ref="F499:I499">VLOOKUP(E499,CHOOSE({1,2,3,4,5},'Main Data'!A496:A1495,'Main Data'!B496:B1495,'Main Data'!C496:C1495,'Main Data'!M496:M1495,'Main Data'!N496:N1495),{2,3,4,5},0)</f>
        <v>37</v>
      </c>
      <c r="G499" t="str">
        <v>Female</v>
      </c>
      <c r="H499" t="str">
        <v>Japan</v>
      </c>
      <c r="I499">
        <v>4.45</v>
      </c>
      <c r="L499" s="6" t="s">
        <v>1045</v>
      </c>
      <c r="M499" t="str" cm="1">
        <f t="array" ref="M499:O499">INDEX('Main Data'!A496:O1495,MATCH(L499,'Main Data'!A496:A1495,0),{3,7,14})</f>
        <v>Female</v>
      </c>
      <c r="N499">
        <v>110719.86</v>
      </c>
      <c r="O499">
        <v>4.45</v>
      </c>
    </row>
    <row r="500" spans="1:15" x14ac:dyDescent="0.3">
      <c r="A500" s="6" t="s">
        <v>1047</v>
      </c>
      <c r="B500" cm="1">
        <f t="array" ref="B500:C500">_xlfn.XLOOKUP(A500,'Main Data'!A497:A1496,'Main Data'!B497:C1496,"Data Not Found",0)</f>
        <v>58</v>
      </c>
      <c r="C500" t="str">
        <v>Male</v>
      </c>
      <c r="E500" s="6" t="s">
        <v>1047</v>
      </c>
      <c r="F500" cm="1">
        <f t="array" ref="F500:I500">VLOOKUP(E500,CHOOSE({1,2,3,4,5},'Main Data'!A497:A1496,'Main Data'!B497:B1496,'Main Data'!C497:C1496,'Main Data'!M497:M1496,'Main Data'!N497:N1496),{2,3,4,5},0)</f>
        <v>58</v>
      </c>
      <c r="G500" t="str">
        <v>Male</v>
      </c>
      <c r="H500" t="str">
        <v>USA</v>
      </c>
      <c r="I500">
        <v>4.47</v>
      </c>
      <c r="L500" s="6" t="s">
        <v>1047</v>
      </c>
      <c r="M500" t="str" cm="1">
        <f t="array" ref="M500:O500">INDEX('Main Data'!A497:O1496,MATCH(L500,'Main Data'!A497:A1496,0),{3,7,14})</f>
        <v>Male</v>
      </c>
      <c r="N500">
        <v>182157.79</v>
      </c>
      <c r="O500">
        <v>4.47</v>
      </c>
    </row>
    <row r="501" spans="1:15" x14ac:dyDescent="0.3">
      <c r="A501" s="6" t="s">
        <v>1049</v>
      </c>
      <c r="B501" cm="1">
        <f t="array" ref="B501:C501">_xlfn.XLOOKUP(A501,'Main Data'!A498:A1497,'Main Data'!B498:C1497,"Data Not Found",0)</f>
        <v>63</v>
      </c>
      <c r="C501" t="str">
        <v>Female</v>
      </c>
      <c r="E501" s="6" t="s">
        <v>1049</v>
      </c>
      <c r="F501" cm="1">
        <f t="array" ref="F501:I501">VLOOKUP(E501,CHOOSE({1,2,3,4,5},'Main Data'!A498:A1497,'Main Data'!B498:B1497,'Main Data'!C498:C1497,'Main Data'!M498:M1497,'Main Data'!N498:N1497),{2,3,4,5},0)</f>
        <v>63</v>
      </c>
      <c r="G501" t="str">
        <v>Female</v>
      </c>
      <c r="H501" t="str">
        <v>France</v>
      </c>
      <c r="I501">
        <v>4.82</v>
      </c>
      <c r="L501" s="6" t="s">
        <v>1049</v>
      </c>
      <c r="M501" t="str" cm="1">
        <f t="array" ref="M501:O501">INDEX('Main Data'!A498:O1497,MATCH(L501,'Main Data'!A498:A1497,0),{3,7,14})</f>
        <v>Female</v>
      </c>
      <c r="N501">
        <v>147571.76</v>
      </c>
      <c r="O501">
        <v>4.82</v>
      </c>
    </row>
    <row r="502" spans="1:15" x14ac:dyDescent="0.3">
      <c r="A502" s="6" t="s">
        <v>1051</v>
      </c>
      <c r="B502" cm="1">
        <f t="array" ref="B502:C502">_xlfn.XLOOKUP(A502,'Main Data'!A499:A1498,'Main Data'!B499:C1498,"Data Not Found",0)</f>
        <v>26</v>
      </c>
      <c r="C502" t="str">
        <v>Female</v>
      </c>
      <c r="E502" s="6" t="s">
        <v>1051</v>
      </c>
      <c r="F502" cm="1">
        <f t="array" ref="F502:I502">VLOOKUP(E502,CHOOSE({1,2,3,4,5},'Main Data'!A499:A1498,'Main Data'!B499:B1498,'Main Data'!C499:C1498,'Main Data'!M499:M1498,'Main Data'!N499:N1498),{2,3,4,5},0)</f>
        <v>26</v>
      </c>
      <c r="G502" t="str">
        <v>Female</v>
      </c>
      <c r="H502" t="str">
        <v>UK</v>
      </c>
      <c r="I502">
        <v>4.88</v>
      </c>
      <c r="L502" s="6" t="s">
        <v>1051</v>
      </c>
      <c r="M502" t="str" cm="1">
        <f t="array" ref="M502:O502">INDEX('Main Data'!A499:O1498,MATCH(L502,'Main Data'!A499:A1498,0),{3,7,14})</f>
        <v>Female</v>
      </c>
      <c r="N502">
        <v>154991.28</v>
      </c>
      <c r="O502">
        <v>4.88</v>
      </c>
    </row>
    <row r="503" spans="1:15" x14ac:dyDescent="0.3">
      <c r="A503" s="6" t="s">
        <v>1053</v>
      </c>
      <c r="B503" cm="1">
        <f t="array" ref="B503:C503">_xlfn.XLOOKUP(A503,'Main Data'!A500:A1499,'Main Data'!B500:C1499,"Data Not Found",0)</f>
        <v>35</v>
      </c>
      <c r="C503" t="str">
        <v>Male</v>
      </c>
      <c r="E503" s="6" t="s">
        <v>1053</v>
      </c>
      <c r="F503" cm="1">
        <f t="array" ref="F503:I503">VLOOKUP(E503,CHOOSE({1,2,3,4,5},'Main Data'!A500:A1499,'Main Data'!B500:B1499,'Main Data'!C500:C1499,'Main Data'!M500:M1499,'Main Data'!N500:N1499),{2,3,4,5},0)</f>
        <v>35</v>
      </c>
      <c r="G503" t="str">
        <v>Male</v>
      </c>
      <c r="H503" t="str">
        <v>UAE</v>
      </c>
      <c r="I503">
        <v>4.6399999999999997</v>
      </c>
      <c r="L503" s="6" t="s">
        <v>1053</v>
      </c>
      <c r="M503" t="str" cm="1">
        <f t="array" ref="M503:O503">INDEX('Main Data'!A500:O1499,MATCH(L503,'Main Data'!A500:A1499,0),{3,7,14})</f>
        <v>Male</v>
      </c>
      <c r="N503">
        <v>76122.87</v>
      </c>
      <c r="O503">
        <v>4.6399999999999997</v>
      </c>
    </row>
    <row r="504" spans="1:15" x14ac:dyDescent="0.3">
      <c r="A504" s="6" t="s">
        <v>1055</v>
      </c>
      <c r="B504" cm="1">
        <f t="array" ref="B504:C504">_xlfn.XLOOKUP(A504,'Main Data'!A501:A1500,'Main Data'!B501:C1500,"Data Not Found",0)</f>
        <v>52</v>
      </c>
      <c r="C504" t="str">
        <v>Other</v>
      </c>
      <c r="E504" s="6" t="s">
        <v>1055</v>
      </c>
      <c r="F504" cm="1">
        <f t="array" ref="F504:I504">VLOOKUP(E504,CHOOSE({1,2,3,4,5},'Main Data'!A501:A1500,'Main Data'!B501:B1500,'Main Data'!C501:C1500,'Main Data'!M501:M1500,'Main Data'!N501:N1500),{2,3,4,5},0)</f>
        <v>52</v>
      </c>
      <c r="G504" t="str">
        <v>Other</v>
      </c>
      <c r="H504" t="str">
        <v>Japan</v>
      </c>
      <c r="I504">
        <v>4.83</v>
      </c>
      <c r="L504" s="6" t="s">
        <v>1055</v>
      </c>
      <c r="M504" t="str" cm="1">
        <f t="array" ref="M504:O504">INDEX('Main Data'!A501:O1500,MATCH(L504,'Main Data'!A501:A1500,0),{3,7,14})</f>
        <v>Other</v>
      </c>
      <c r="N504">
        <v>198098.61</v>
      </c>
      <c r="O504">
        <v>4.83</v>
      </c>
    </row>
    <row r="505" spans="1:15" x14ac:dyDescent="0.3">
      <c r="A505" s="6" t="s">
        <v>1057</v>
      </c>
      <c r="B505" cm="1">
        <f t="array" ref="B505:C505">_xlfn.XLOOKUP(A505,'Main Data'!A502:A1501,'Main Data'!B502:C1501,"Data Not Found",0)</f>
        <v>45</v>
      </c>
      <c r="C505" t="str">
        <v>Other</v>
      </c>
      <c r="E505" s="6" t="s">
        <v>1057</v>
      </c>
      <c r="F505" cm="1">
        <f t="array" ref="F505:I505">VLOOKUP(E505,CHOOSE({1,2,3,4,5},'Main Data'!A502:A1501,'Main Data'!B502:B1501,'Main Data'!C502:C1501,'Main Data'!M502:M1501,'Main Data'!N502:N1501),{2,3,4,5},0)</f>
        <v>45</v>
      </c>
      <c r="G505" t="str">
        <v>Other</v>
      </c>
      <c r="H505" t="str">
        <v>USA</v>
      </c>
      <c r="I505">
        <v>2.11</v>
      </c>
      <c r="L505" s="6" t="s">
        <v>1057</v>
      </c>
      <c r="M505" t="str" cm="1">
        <f t="array" ref="M505:O505">INDEX('Main Data'!A502:O1501,MATCH(L505,'Main Data'!A502:A1501,0),{3,7,14})</f>
        <v>Other</v>
      </c>
      <c r="N505">
        <v>96385.88</v>
      </c>
      <c r="O505">
        <v>2.11</v>
      </c>
    </row>
    <row r="506" spans="1:15" x14ac:dyDescent="0.3">
      <c r="A506" s="6" t="s">
        <v>1059</v>
      </c>
      <c r="B506" cm="1">
        <f t="array" ref="B506:C506">_xlfn.XLOOKUP(A506,'Main Data'!A503:A1502,'Main Data'!B503:C1502,"Data Not Found",0)</f>
        <v>56</v>
      </c>
      <c r="C506" t="str">
        <v>Female</v>
      </c>
      <c r="E506" s="6" t="s">
        <v>1059</v>
      </c>
      <c r="F506" cm="1">
        <f t="array" ref="F506:I506">VLOOKUP(E506,CHOOSE({1,2,3,4,5},'Main Data'!A503:A1502,'Main Data'!B503:B1502,'Main Data'!C503:C1502,'Main Data'!M503:M1502,'Main Data'!N503:N1502),{2,3,4,5},0)</f>
        <v>56</v>
      </c>
      <c r="G506" t="str">
        <v>Female</v>
      </c>
      <c r="H506" t="str">
        <v>France</v>
      </c>
      <c r="I506">
        <v>3.76</v>
      </c>
      <c r="L506" s="6" t="s">
        <v>1059</v>
      </c>
      <c r="M506" t="str" cm="1">
        <f t="array" ref="M506:O506">INDEX('Main Data'!A503:O1502,MATCH(L506,'Main Data'!A503:A1502,0),{3,7,14})</f>
        <v>Female</v>
      </c>
      <c r="N506">
        <v>126163.48</v>
      </c>
      <c r="O506">
        <v>3.76</v>
      </c>
    </row>
    <row r="507" spans="1:15" x14ac:dyDescent="0.3">
      <c r="A507" s="6" t="s">
        <v>1061</v>
      </c>
      <c r="B507" cm="1">
        <f t="array" ref="B507:C507">_xlfn.XLOOKUP(A507,'Main Data'!A504:A1503,'Main Data'!B504:C1503,"Data Not Found",0)</f>
        <v>57</v>
      </c>
      <c r="C507" t="str">
        <v>Other</v>
      </c>
      <c r="E507" s="6" t="s">
        <v>1061</v>
      </c>
      <c r="F507" cm="1">
        <f t="array" ref="F507:I507">VLOOKUP(E507,CHOOSE({1,2,3,4,5},'Main Data'!A504:A1503,'Main Data'!B504:B1503,'Main Data'!C504:C1503,'Main Data'!M504:M1503,'Main Data'!N504:N1503),{2,3,4,5},0)</f>
        <v>57</v>
      </c>
      <c r="G507" t="str">
        <v>Other</v>
      </c>
      <c r="H507" t="str">
        <v>UK</v>
      </c>
      <c r="I507">
        <v>4.34</v>
      </c>
      <c r="L507" s="6" t="s">
        <v>1061</v>
      </c>
      <c r="M507" t="str" cm="1">
        <f t="array" ref="M507:O507">INDEX('Main Data'!A504:O1503,MATCH(L507,'Main Data'!A504:A1503,0),{3,7,14})</f>
        <v>Other</v>
      </c>
      <c r="N507">
        <v>66406.78</v>
      </c>
      <c r="O507">
        <v>4.34</v>
      </c>
    </row>
    <row r="508" spans="1:15" x14ac:dyDescent="0.3">
      <c r="A508" s="6" t="s">
        <v>1063</v>
      </c>
      <c r="B508" cm="1">
        <f t="array" ref="B508:C508">_xlfn.XLOOKUP(A508,'Main Data'!A505:A1504,'Main Data'!B505:C1504,"Data Not Found",0)</f>
        <v>31</v>
      </c>
      <c r="C508" t="str">
        <v>Other</v>
      </c>
      <c r="E508" s="6" t="s">
        <v>1063</v>
      </c>
      <c r="F508" cm="1">
        <f t="array" ref="F508:I508">VLOOKUP(E508,CHOOSE({1,2,3,4,5},'Main Data'!A505:A1504,'Main Data'!B505:B1504,'Main Data'!C505:C1504,'Main Data'!M505:M1504,'Main Data'!N505:N1504),{2,3,4,5},0)</f>
        <v>31</v>
      </c>
      <c r="G508" t="str">
        <v>Other</v>
      </c>
      <c r="H508" t="str">
        <v>UAE</v>
      </c>
      <c r="I508">
        <v>4.82</v>
      </c>
      <c r="L508" s="6" t="s">
        <v>1063</v>
      </c>
      <c r="M508" t="str" cm="1">
        <f t="array" ref="M508:O508">INDEX('Main Data'!A505:O1504,MATCH(L508,'Main Data'!A505:A1504,0),{3,7,14})</f>
        <v>Other</v>
      </c>
      <c r="N508">
        <v>87081.07</v>
      </c>
      <c r="O508">
        <v>4.82</v>
      </c>
    </row>
    <row r="509" spans="1:15" x14ac:dyDescent="0.3">
      <c r="A509" s="6" t="s">
        <v>1065</v>
      </c>
      <c r="B509" cm="1">
        <f t="array" ref="B509:C509">_xlfn.XLOOKUP(A509,'Main Data'!A506:A1505,'Main Data'!B506:C1505,"Data Not Found",0)</f>
        <v>48</v>
      </c>
      <c r="C509" t="str">
        <v>Male</v>
      </c>
      <c r="E509" s="6" t="s">
        <v>1065</v>
      </c>
      <c r="F509" cm="1">
        <f t="array" ref="F509:I509">VLOOKUP(E509,CHOOSE({1,2,3,4,5},'Main Data'!A506:A1505,'Main Data'!B506:B1505,'Main Data'!C506:C1505,'Main Data'!M506:M1505,'Main Data'!N506:N1505),{2,3,4,5},0)</f>
        <v>48</v>
      </c>
      <c r="G509" t="str">
        <v>Male</v>
      </c>
      <c r="H509" t="str">
        <v>Japan</v>
      </c>
      <c r="I509">
        <v>1.85</v>
      </c>
      <c r="L509" s="6" t="s">
        <v>1065</v>
      </c>
      <c r="M509" t="str" cm="1">
        <f t="array" ref="M509:O509">INDEX('Main Data'!A506:O1505,MATCH(L509,'Main Data'!A506:A1505,0),{3,7,14})</f>
        <v>Male</v>
      </c>
      <c r="N509">
        <v>75125.34</v>
      </c>
      <c r="O509">
        <v>1.85</v>
      </c>
    </row>
    <row r="510" spans="1:15" x14ac:dyDescent="0.3">
      <c r="A510" s="6" t="s">
        <v>1067</v>
      </c>
      <c r="B510" cm="1">
        <f t="array" ref="B510:C510">_xlfn.XLOOKUP(A510,'Main Data'!A507:A1506,'Main Data'!B507:C1506,"Data Not Found",0)</f>
        <v>48</v>
      </c>
      <c r="C510" t="str">
        <v>Other</v>
      </c>
      <c r="E510" s="6" t="s">
        <v>1067</v>
      </c>
      <c r="F510" cm="1">
        <f t="array" ref="F510:I510">VLOOKUP(E510,CHOOSE({1,2,3,4,5},'Main Data'!A507:A1506,'Main Data'!B507:B1506,'Main Data'!C507:C1506,'Main Data'!M507:M1506,'Main Data'!N507:N1506),{2,3,4,5},0)</f>
        <v>48</v>
      </c>
      <c r="G510" t="str">
        <v>Other</v>
      </c>
      <c r="H510" t="str">
        <v>USA</v>
      </c>
      <c r="I510">
        <v>4.4000000000000004</v>
      </c>
      <c r="L510" s="6" t="s">
        <v>1067</v>
      </c>
      <c r="M510" t="str" cm="1">
        <f t="array" ref="M510:O510">INDEX('Main Data'!A507:O1506,MATCH(L510,'Main Data'!A507:A1506,0),{3,7,14})</f>
        <v>Other</v>
      </c>
      <c r="N510">
        <v>167094.56</v>
      </c>
      <c r="O510">
        <v>4.4000000000000004</v>
      </c>
    </row>
    <row r="511" spans="1:15" x14ac:dyDescent="0.3">
      <c r="A511" s="6" t="s">
        <v>1069</v>
      </c>
      <c r="B511" cm="1">
        <f t="array" ref="B511:C511">_xlfn.XLOOKUP(A511,'Main Data'!A508:A1507,'Main Data'!B508:C1507,"Data Not Found",0)</f>
        <v>44</v>
      </c>
      <c r="C511" t="str">
        <v>Other</v>
      </c>
      <c r="E511" s="6" t="s">
        <v>1069</v>
      </c>
      <c r="F511" cm="1">
        <f t="array" ref="F511:I511">VLOOKUP(E511,CHOOSE({1,2,3,4,5},'Main Data'!A508:A1507,'Main Data'!B508:B1507,'Main Data'!C508:C1507,'Main Data'!M508:M1507,'Main Data'!N508:N1507),{2,3,4,5},0)</f>
        <v>44</v>
      </c>
      <c r="G511" t="str">
        <v>Other</v>
      </c>
      <c r="H511" t="str">
        <v>France</v>
      </c>
      <c r="I511">
        <v>2.4900000000000002</v>
      </c>
      <c r="L511" s="6" t="s">
        <v>1069</v>
      </c>
      <c r="M511" t="str" cm="1">
        <f t="array" ref="M511:O511">INDEX('Main Data'!A508:O1507,MATCH(L511,'Main Data'!A508:A1507,0),{3,7,14})</f>
        <v>Other</v>
      </c>
      <c r="N511">
        <v>189006.14</v>
      </c>
      <c r="O511">
        <v>2.4900000000000002</v>
      </c>
    </row>
    <row r="512" spans="1:15" x14ac:dyDescent="0.3">
      <c r="A512" s="6" t="s">
        <v>1071</v>
      </c>
      <c r="B512" cm="1">
        <f t="array" ref="B512:C512">_xlfn.XLOOKUP(A512,'Main Data'!A509:A1508,'Main Data'!B509:C1508,"Data Not Found",0)</f>
        <v>34</v>
      </c>
      <c r="C512" t="str">
        <v>Female</v>
      </c>
      <c r="E512" s="6" t="s">
        <v>1071</v>
      </c>
      <c r="F512" cm="1">
        <f t="array" ref="F512:I512">VLOOKUP(E512,CHOOSE({1,2,3,4,5},'Main Data'!A509:A1508,'Main Data'!B509:B1508,'Main Data'!C509:C1508,'Main Data'!M509:M1508,'Main Data'!N509:N1508),{2,3,4,5},0)</f>
        <v>34</v>
      </c>
      <c r="G512" t="str">
        <v>Female</v>
      </c>
      <c r="H512" t="str">
        <v>UK</v>
      </c>
      <c r="I512">
        <v>3.43</v>
      </c>
      <c r="L512" s="6" t="s">
        <v>1071</v>
      </c>
      <c r="M512" t="str" cm="1">
        <f t="array" ref="M512:O512">INDEX('Main Data'!A509:O1508,MATCH(L512,'Main Data'!A509:A1508,0),{3,7,14})</f>
        <v>Female</v>
      </c>
      <c r="N512">
        <v>151604.91</v>
      </c>
      <c r="O512">
        <v>3.43</v>
      </c>
    </row>
    <row r="513" spans="1:15" x14ac:dyDescent="0.3">
      <c r="A513" s="6" t="s">
        <v>1073</v>
      </c>
      <c r="B513" cm="1">
        <f t="array" ref="B513:C513">_xlfn.XLOOKUP(A513,'Main Data'!A510:A1509,'Main Data'!B510:C1509,"Data Not Found",0)</f>
        <v>37</v>
      </c>
      <c r="C513" t="str">
        <v>Other</v>
      </c>
      <c r="E513" s="6" t="s">
        <v>1073</v>
      </c>
      <c r="F513" cm="1">
        <f t="array" ref="F513:I513">VLOOKUP(E513,CHOOSE({1,2,3,4,5},'Main Data'!A510:A1509,'Main Data'!B510:B1509,'Main Data'!C510:C1509,'Main Data'!M510:M1509,'Main Data'!N510:N1509),{2,3,4,5},0)</f>
        <v>37</v>
      </c>
      <c r="G513" t="str">
        <v>Other</v>
      </c>
      <c r="H513" t="str">
        <v>UAE</v>
      </c>
      <c r="I513">
        <v>2.39</v>
      </c>
      <c r="L513" s="6" t="s">
        <v>1073</v>
      </c>
      <c r="M513" t="str" cm="1">
        <f t="array" ref="M513:O513">INDEX('Main Data'!A510:O1509,MATCH(L513,'Main Data'!A510:A1509,0),{3,7,14})</f>
        <v>Other</v>
      </c>
      <c r="N513">
        <v>168991.2</v>
      </c>
      <c r="O513">
        <v>2.39</v>
      </c>
    </row>
    <row r="514" spans="1:15" x14ac:dyDescent="0.3">
      <c r="A514" s="6" t="s">
        <v>1075</v>
      </c>
      <c r="B514" cm="1">
        <f t="array" ref="B514:C514">_xlfn.XLOOKUP(A514,'Main Data'!A511:A1510,'Main Data'!B511:C1510,"Data Not Found",0)</f>
        <v>56</v>
      </c>
      <c r="C514" t="str">
        <v>Other</v>
      </c>
      <c r="E514" s="6" t="s">
        <v>1075</v>
      </c>
      <c r="F514" cm="1">
        <f t="array" ref="F514:I514">VLOOKUP(E514,CHOOSE({1,2,3,4,5},'Main Data'!A511:A1510,'Main Data'!B511:B1510,'Main Data'!C511:C1510,'Main Data'!M511:M1510,'Main Data'!N511:N1510),{2,3,4,5},0)</f>
        <v>56</v>
      </c>
      <c r="G514" t="str">
        <v>Other</v>
      </c>
      <c r="H514" t="str">
        <v>Japan</v>
      </c>
      <c r="I514">
        <v>4.1900000000000004</v>
      </c>
      <c r="L514" s="6" t="s">
        <v>1075</v>
      </c>
      <c r="M514" t="str" cm="1">
        <f t="array" ref="M514:O514">INDEX('Main Data'!A511:O1510,MATCH(L514,'Main Data'!A511:A1510,0),{3,7,14})</f>
        <v>Other</v>
      </c>
      <c r="N514">
        <v>74633.440000000002</v>
      </c>
      <c r="O514">
        <v>4.1900000000000004</v>
      </c>
    </row>
    <row r="515" spans="1:15" x14ac:dyDescent="0.3">
      <c r="A515" s="6" t="s">
        <v>1077</v>
      </c>
      <c r="B515" cm="1">
        <f t="array" ref="B515:C515">_xlfn.XLOOKUP(A515,'Main Data'!A512:A1511,'Main Data'!B512:C1511,"Data Not Found",0)</f>
        <v>48</v>
      </c>
      <c r="C515" t="str">
        <v>Female</v>
      </c>
      <c r="E515" s="6" t="s">
        <v>1077</v>
      </c>
      <c r="F515" cm="1">
        <f t="array" ref="F515:I515">VLOOKUP(E515,CHOOSE({1,2,3,4,5},'Main Data'!A512:A1511,'Main Data'!B512:B1511,'Main Data'!C512:C1511,'Main Data'!M512:M1511,'Main Data'!N512:N1511),{2,3,4,5},0)</f>
        <v>48</v>
      </c>
      <c r="G515" t="str">
        <v>Female</v>
      </c>
      <c r="H515" t="str">
        <v>USA</v>
      </c>
      <c r="I515">
        <v>1.1100000000000001</v>
      </c>
      <c r="L515" s="6" t="s">
        <v>1077</v>
      </c>
      <c r="M515" t="str" cm="1">
        <f t="array" ref="M515:O515">INDEX('Main Data'!A512:O1511,MATCH(L515,'Main Data'!A512:A1511,0),{3,7,14})</f>
        <v>Female</v>
      </c>
      <c r="N515">
        <v>115998.24</v>
      </c>
      <c r="O515">
        <v>1.1100000000000001</v>
      </c>
    </row>
    <row r="516" spans="1:15" x14ac:dyDescent="0.3">
      <c r="A516" s="6" t="s">
        <v>1079</v>
      </c>
      <c r="B516" cm="1">
        <f t="array" ref="B516:C516">_xlfn.XLOOKUP(A516,'Main Data'!A513:A1512,'Main Data'!B513:C1512,"Data Not Found",0)</f>
        <v>60</v>
      </c>
      <c r="C516" t="str">
        <v>Female</v>
      </c>
      <c r="E516" s="6" t="s">
        <v>1079</v>
      </c>
      <c r="F516" cm="1">
        <f t="array" ref="F516:I516">VLOOKUP(E516,CHOOSE({1,2,3,4,5},'Main Data'!A513:A1512,'Main Data'!B513:B1512,'Main Data'!C513:C1512,'Main Data'!M513:M1512,'Main Data'!N513:N1512),{2,3,4,5},0)</f>
        <v>60</v>
      </c>
      <c r="G516" t="str">
        <v>Female</v>
      </c>
      <c r="H516" t="str">
        <v>France</v>
      </c>
      <c r="I516">
        <v>2.62</v>
      </c>
      <c r="L516" s="6" t="s">
        <v>1079</v>
      </c>
      <c r="M516" t="str" cm="1">
        <f t="array" ref="M516:O516">INDEX('Main Data'!A513:O1512,MATCH(L516,'Main Data'!A513:A1512,0),{3,7,14})</f>
        <v>Female</v>
      </c>
      <c r="N516">
        <v>65451.54</v>
      </c>
      <c r="O516">
        <v>2.62</v>
      </c>
    </row>
    <row r="517" spans="1:15" x14ac:dyDescent="0.3">
      <c r="A517" s="6" t="s">
        <v>1081</v>
      </c>
      <c r="B517" cm="1">
        <f t="array" ref="B517:C517">_xlfn.XLOOKUP(A517,'Main Data'!A514:A1513,'Main Data'!B514:C1513,"Data Not Found",0)</f>
        <v>38</v>
      </c>
      <c r="C517" t="str">
        <v>Female</v>
      </c>
      <c r="E517" s="6" t="s">
        <v>1081</v>
      </c>
      <c r="F517" cm="1">
        <f t="array" ref="F517:I517">VLOOKUP(E517,CHOOSE({1,2,3,4,5},'Main Data'!A514:A1513,'Main Data'!B514:B1513,'Main Data'!C514:C1513,'Main Data'!M514:M1513,'Main Data'!N514:N1513),{2,3,4,5},0)</f>
        <v>38</v>
      </c>
      <c r="G517" t="str">
        <v>Female</v>
      </c>
      <c r="H517" t="str">
        <v>UK</v>
      </c>
      <c r="I517">
        <v>2.4500000000000002</v>
      </c>
      <c r="L517" s="6" t="s">
        <v>1081</v>
      </c>
      <c r="M517" t="str" cm="1">
        <f t="array" ref="M517:O517">INDEX('Main Data'!A514:O1513,MATCH(L517,'Main Data'!A514:A1513,0),{3,7,14})</f>
        <v>Female</v>
      </c>
      <c r="N517">
        <v>188640.81</v>
      </c>
      <c r="O517">
        <v>2.4500000000000002</v>
      </c>
    </row>
    <row r="518" spans="1:15" x14ac:dyDescent="0.3">
      <c r="A518" s="6" t="s">
        <v>1083</v>
      </c>
      <c r="B518" cm="1">
        <f t="array" ref="B518:C518">_xlfn.XLOOKUP(A518,'Main Data'!A515:A1514,'Main Data'!B515:C1514,"Data Not Found",0)</f>
        <v>62</v>
      </c>
      <c r="C518" t="str">
        <v>Other</v>
      </c>
      <c r="E518" s="6" t="s">
        <v>1083</v>
      </c>
      <c r="F518" cm="1">
        <f t="array" ref="F518:I518">VLOOKUP(E518,CHOOSE({1,2,3,4,5},'Main Data'!A515:A1514,'Main Data'!B515:B1514,'Main Data'!C515:C1514,'Main Data'!M515:M1514,'Main Data'!N515:N1514),{2,3,4,5},0)</f>
        <v>62</v>
      </c>
      <c r="G518" t="str">
        <v>Other</v>
      </c>
      <c r="H518" t="str">
        <v>UAE</v>
      </c>
      <c r="I518">
        <v>3.57</v>
      </c>
      <c r="L518" s="6" t="s">
        <v>1083</v>
      </c>
      <c r="M518" t="str" cm="1">
        <f t="array" ref="M518:O518">INDEX('Main Data'!A515:O1514,MATCH(L518,'Main Data'!A515:A1514,0),{3,7,14})</f>
        <v>Other</v>
      </c>
      <c r="N518">
        <v>152927.76</v>
      </c>
      <c r="O518">
        <v>3.57</v>
      </c>
    </row>
    <row r="519" spans="1:15" x14ac:dyDescent="0.3">
      <c r="A519" s="6" t="s">
        <v>1085</v>
      </c>
      <c r="B519" cm="1">
        <f t="array" ref="B519:C519">_xlfn.XLOOKUP(A519,'Main Data'!A516:A1515,'Main Data'!B516:C1515,"Data Not Found",0)</f>
        <v>22</v>
      </c>
      <c r="C519" t="str">
        <v>Other</v>
      </c>
      <c r="E519" s="6" t="s">
        <v>1085</v>
      </c>
      <c r="F519" cm="1">
        <f t="array" ref="F519:I519">VLOOKUP(E519,CHOOSE({1,2,3,4,5},'Main Data'!A516:A1515,'Main Data'!B516:B1515,'Main Data'!C516:C1515,'Main Data'!M516:M1515,'Main Data'!N516:N1515),{2,3,4,5},0)</f>
        <v>22</v>
      </c>
      <c r="G519" t="str">
        <v>Other</v>
      </c>
      <c r="H519" t="str">
        <v>Japan</v>
      </c>
      <c r="I519">
        <v>1.75</v>
      </c>
      <c r="L519" s="6" t="s">
        <v>1085</v>
      </c>
      <c r="M519" t="str" cm="1">
        <f t="array" ref="M519:O519">INDEX('Main Data'!A516:O1515,MATCH(L519,'Main Data'!A516:A1515,0),{3,7,14})</f>
        <v>Other</v>
      </c>
      <c r="N519">
        <v>65150.71</v>
      </c>
      <c r="O519">
        <v>1.75</v>
      </c>
    </row>
    <row r="520" spans="1:15" x14ac:dyDescent="0.3">
      <c r="A520" s="6" t="s">
        <v>1087</v>
      </c>
      <c r="B520" cm="1">
        <f t="array" ref="B520:C520">_xlfn.XLOOKUP(A520,'Main Data'!A517:A1516,'Main Data'!B517:C1516,"Data Not Found",0)</f>
        <v>32</v>
      </c>
      <c r="C520" t="str">
        <v>Other</v>
      </c>
      <c r="E520" s="6" t="s">
        <v>1087</v>
      </c>
      <c r="F520" cm="1">
        <f t="array" ref="F520:I520">VLOOKUP(E520,CHOOSE({1,2,3,4,5},'Main Data'!A517:A1516,'Main Data'!B517:B1516,'Main Data'!C517:C1516,'Main Data'!M517:M1516,'Main Data'!N517:N1516),{2,3,4,5},0)</f>
        <v>32</v>
      </c>
      <c r="G520" t="str">
        <v>Other</v>
      </c>
      <c r="H520" t="str">
        <v>USA</v>
      </c>
      <c r="I520">
        <v>3.65</v>
      </c>
      <c r="L520" s="6" t="s">
        <v>1087</v>
      </c>
      <c r="M520" t="str" cm="1">
        <f t="array" ref="M520:O520">INDEX('Main Data'!A517:O1516,MATCH(L520,'Main Data'!A517:A1516,0),{3,7,14})</f>
        <v>Other</v>
      </c>
      <c r="N520">
        <v>160695.57</v>
      </c>
      <c r="O520">
        <v>3.65</v>
      </c>
    </row>
    <row r="521" spans="1:15" x14ac:dyDescent="0.3">
      <c r="A521" s="6" t="s">
        <v>1089</v>
      </c>
      <c r="B521" cm="1">
        <f t="array" ref="B521:C521">_xlfn.XLOOKUP(A521,'Main Data'!A518:A1517,'Main Data'!B518:C1517,"Data Not Found",0)</f>
        <v>33</v>
      </c>
      <c r="C521" t="str">
        <v>Other</v>
      </c>
      <c r="E521" s="6" t="s">
        <v>1089</v>
      </c>
      <c r="F521" cm="1">
        <f t="array" ref="F521:I521">VLOOKUP(E521,CHOOSE({1,2,3,4,5},'Main Data'!A518:A1517,'Main Data'!B518:B1517,'Main Data'!C518:C1517,'Main Data'!M518:M1517,'Main Data'!N518:N1517),{2,3,4,5},0)</f>
        <v>33</v>
      </c>
      <c r="G521" t="str">
        <v>Other</v>
      </c>
      <c r="H521" t="str">
        <v>France</v>
      </c>
      <c r="I521">
        <v>2.2200000000000002</v>
      </c>
      <c r="L521" s="6" t="s">
        <v>1089</v>
      </c>
      <c r="M521" t="str" cm="1">
        <f t="array" ref="M521:O521">INDEX('Main Data'!A518:O1517,MATCH(L521,'Main Data'!A518:A1517,0),{3,7,14})</f>
        <v>Other</v>
      </c>
      <c r="N521">
        <v>95513.48</v>
      </c>
      <c r="O521">
        <v>2.2200000000000002</v>
      </c>
    </row>
    <row r="522" spans="1:15" x14ac:dyDescent="0.3">
      <c r="A522" s="6" t="s">
        <v>1091</v>
      </c>
      <c r="B522" cm="1">
        <f t="array" ref="B522:C522">_xlfn.XLOOKUP(A522,'Main Data'!A519:A1518,'Main Data'!B519:C1518,"Data Not Found",0)</f>
        <v>35</v>
      </c>
      <c r="C522" t="str">
        <v>Other</v>
      </c>
      <c r="E522" s="6" t="s">
        <v>1091</v>
      </c>
      <c r="F522" cm="1">
        <f t="array" ref="F522:I522">VLOOKUP(E522,CHOOSE({1,2,3,4,5},'Main Data'!A519:A1518,'Main Data'!B519:B1518,'Main Data'!C519:C1518,'Main Data'!M519:M1518,'Main Data'!N519:N1518),{2,3,4,5},0)</f>
        <v>35</v>
      </c>
      <c r="G522" t="str">
        <v>Other</v>
      </c>
      <c r="H522" t="str">
        <v>UK</v>
      </c>
      <c r="I522">
        <v>1.04</v>
      </c>
      <c r="L522" s="6" t="s">
        <v>1091</v>
      </c>
      <c r="M522" t="str" cm="1">
        <f t="array" ref="M522:O522">INDEX('Main Data'!A519:O1518,MATCH(L522,'Main Data'!A519:A1518,0),{3,7,14})</f>
        <v>Other</v>
      </c>
      <c r="N522">
        <v>188053.94</v>
      </c>
      <c r="O522">
        <v>1.04</v>
      </c>
    </row>
    <row r="523" spans="1:15" x14ac:dyDescent="0.3">
      <c r="A523" s="6" t="s">
        <v>1093</v>
      </c>
      <c r="B523" cm="1">
        <f t="array" ref="B523:C523">_xlfn.XLOOKUP(A523,'Main Data'!A520:A1519,'Main Data'!B520:C1519,"Data Not Found",0)</f>
        <v>29</v>
      </c>
      <c r="C523" t="str">
        <v>Other</v>
      </c>
      <c r="E523" s="6" t="s">
        <v>1093</v>
      </c>
      <c r="F523" cm="1">
        <f t="array" ref="F523:I523">VLOOKUP(E523,CHOOSE({1,2,3,4,5},'Main Data'!A520:A1519,'Main Data'!B520:B1519,'Main Data'!C520:C1519,'Main Data'!M520:M1519,'Main Data'!N520:N1519),{2,3,4,5},0)</f>
        <v>29</v>
      </c>
      <c r="G523" t="str">
        <v>Other</v>
      </c>
      <c r="H523" t="str">
        <v>UAE</v>
      </c>
      <c r="I523">
        <v>4.95</v>
      </c>
      <c r="L523" s="6" t="s">
        <v>1093</v>
      </c>
      <c r="M523" t="str" cm="1">
        <f t="array" ref="M523:O523">INDEX('Main Data'!A520:O1519,MATCH(L523,'Main Data'!A520:A1519,0),{3,7,14})</f>
        <v>Other</v>
      </c>
      <c r="N523">
        <v>59547.38</v>
      </c>
      <c r="O523">
        <v>4.95</v>
      </c>
    </row>
    <row r="524" spans="1:15" x14ac:dyDescent="0.3">
      <c r="A524" s="6" t="s">
        <v>1095</v>
      </c>
      <c r="B524" cm="1">
        <f t="array" ref="B524:C524">_xlfn.XLOOKUP(A524,'Main Data'!A521:A1520,'Main Data'!B521:C1520,"Data Not Found",0)</f>
        <v>52</v>
      </c>
      <c r="C524" t="str">
        <v>Female</v>
      </c>
      <c r="E524" s="6" t="s">
        <v>1095</v>
      </c>
      <c r="F524" cm="1">
        <f t="array" ref="F524:I524">VLOOKUP(E524,CHOOSE({1,2,3,4,5},'Main Data'!A521:A1520,'Main Data'!B521:B1520,'Main Data'!C521:C1520,'Main Data'!M521:M1520,'Main Data'!N521:N1520),{2,3,4,5},0)</f>
        <v>52</v>
      </c>
      <c r="G524" t="str">
        <v>Female</v>
      </c>
      <c r="H524" t="str">
        <v>Japan</v>
      </c>
      <c r="I524">
        <v>4.1399999999999997</v>
      </c>
      <c r="L524" s="6" t="s">
        <v>1095</v>
      </c>
      <c r="M524" t="str" cm="1">
        <f t="array" ref="M524:O524">INDEX('Main Data'!A521:O1520,MATCH(L524,'Main Data'!A521:A1520,0),{3,7,14})</f>
        <v>Female</v>
      </c>
      <c r="N524">
        <v>96702.42</v>
      </c>
      <c r="O524">
        <v>4.1399999999999997</v>
      </c>
    </row>
    <row r="525" spans="1:15" x14ac:dyDescent="0.3">
      <c r="A525" s="6" t="s">
        <v>1097</v>
      </c>
      <c r="B525" cm="1">
        <f t="array" ref="B525:C525">_xlfn.XLOOKUP(A525,'Main Data'!A522:A1521,'Main Data'!B522:C1521,"Data Not Found",0)</f>
        <v>28</v>
      </c>
      <c r="C525" t="str">
        <v>Female</v>
      </c>
      <c r="E525" s="6" t="s">
        <v>1097</v>
      </c>
      <c r="F525" cm="1">
        <f t="array" ref="F525:I525">VLOOKUP(E525,CHOOSE({1,2,3,4,5},'Main Data'!A522:A1521,'Main Data'!B522:B1521,'Main Data'!C522:C1521,'Main Data'!M522:M1521,'Main Data'!N522:N1521),{2,3,4,5},0)</f>
        <v>28</v>
      </c>
      <c r="G525" t="str">
        <v>Female</v>
      </c>
      <c r="H525" t="str">
        <v>USA</v>
      </c>
      <c r="I525">
        <v>4.9400000000000004</v>
      </c>
      <c r="L525" s="6" t="s">
        <v>1097</v>
      </c>
      <c r="M525" t="str" cm="1">
        <f t="array" ref="M525:O525">INDEX('Main Data'!A522:O1521,MATCH(L525,'Main Data'!A522:A1521,0),{3,7,14})</f>
        <v>Female</v>
      </c>
      <c r="N525">
        <v>177881.94</v>
      </c>
      <c r="O525">
        <v>4.9400000000000004</v>
      </c>
    </row>
    <row r="526" spans="1:15" x14ac:dyDescent="0.3">
      <c r="A526" s="6" t="s">
        <v>1099</v>
      </c>
      <c r="B526" cm="1">
        <f t="array" ref="B526:C526">_xlfn.XLOOKUP(A526,'Main Data'!A523:A1522,'Main Data'!B523:C1522,"Data Not Found",0)</f>
        <v>52</v>
      </c>
      <c r="C526" t="str">
        <v>Other</v>
      </c>
      <c r="E526" s="6" t="s">
        <v>1099</v>
      </c>
      <c r="F526" cm="1">
        <f t="array" ref="F526:I526">VLOOKUP(E526,CHOOSE({1,2,3,4,5},'Main Data'!A523:A1522,'Main Data'!B523:B1522,'Main Data'!C523:C1522,'Main Data'!M523:M1522,'Main Data'!N523:N1522),{2,3,4,5},0)</f>
        <v>52</v>
      </c>
      <c r="G526" t="str">
        <v>Other</v>
      </c>
      <c r="H526" t="str">
        <v>France</v>
      </c>
      <c r="I526">
        <v>4.8</v>
      </c>
      <c r="L526" s="6" t="s">
        <v>1099</v>
      </c>
      <c r="M526" t="str" cm="1">
        <f t="array" ref="M526:O526">INDEX('Main Data'!A523:O1522,MATCH(L526,'Main Data'!A523:A1522,0),{3,7,14})</f>
        <v>Other</v>
      </c>
      <c r="N526">
        <v>65496.39</v>
      </c>
      <c r="O526">
        <v>4.8</v>
      </c>
    </row>
    <row r="527" spans="1:15" x14ac:dyDescent="0.3">
      <c r="A527" s="6" t="s">
        <v>1101</v>
      </c>
      <c r="B527" cm="1">
        <f t="array" ref="B527:C527">_xlfn.XLOOKUP(A527,'Main Data'!A524:A1523,'Main Data'!B524:C1523,"Data Not Found",0)</f>
        <v>37</v>
      </c>
      <c r="C527" t="str">
        <v>Male</v>
      </c>
      <c r="E527" s="6" t="s">
        <v>1101</v>
      </c>
      <c r="F527" cm="1">
        <f t="array" ref="F527:I527">VLOOKUP(E527,CHOOSE({1,2,3,4,5},'Main Data'!A524:A1523,'Main Data'!B524:B1523,'Main Data'!C524:C1523,'Main Data'!M524:M1523,'Main Data'!N524:N1523),{2,3,4,5},0)</f>
        <v>37</v>
      </c>
      <c r="G527" t="str">
        <v>Male</v>
      </c>
      <c r="H527" t="str">
        <v>UK</v>
      </c>
      <c r="I527">
        <v>2.91</v>
      </c>
      <c r="L527" s="6" t="s">
        <v>1101</v>
      </c>
      <c r="M527" t="str" cm="1">
        <f t="array" ref="M527:O527">INDEX('Main Data'!A524:O1523,MATCH(L527,'Main Data'!A524:A1523,0),{3,7,14})</f>
        <v>Male</v>
      </c>
      <c r="N527">
        <v>91073.46</v>
      </c>
      <c r="O527">
        <v>2.91</v>
      </c>
    </row>
    <row r="528" spans="1:15" x14ac:dyDescent="0.3">
      <c r="A528" s="6" t="s">
        <v>1103</v>
      </c>
      <c r="B528" cm="1">
        <f t="array" ref="B528:C528">_xlfn.XLOOKUP(A528,'Main Data'!A525:A1524,'Main Data'!B525:C1524,"Data Not Found",0)</f>
        <v>63</v>
      </c>
      <c r="C528" t="str">
        <v>Female</v>
      </c>
      <c r="E528" s="6" t="s">
        <v>1103</v>
      </c>
      <c r="F528" cm="1">
        <f t="array" ref="F528:I528">VLOOKUP(E528,CHOOSE({1,2,3,4,5},'Main Data'!A525:A1524,'Main Data'!B525:B1524,'Main Data'!C525:C1524,'Main Data'!M525:M1524,'Main Data'!N525:N1524),{2,3,4,5},0)</f>
        <v>63</v>
      </c>
      <c r="G528" t="str">
        <v>Female</v>
      </c>
      <c r="H528" t="str">
        <v>UAE</v>
      </c>
      <c r="I528">
        <v>2.19</v>
      </c>
      <c r="L528" s="6" t="s">
        <v>1103</v>
      </c>
      <c r="M528" t="str" cm="1">
        <f t="array" ref="M528:O528">INDEX('Main Data'!A525:O1524,MATCH(L528,'Main Data'!A525:A1524,0),{3,7,14})</f>
        <v>Female</v>
      </c>
      <c r="N528">
        <v>76208.539999999994</v>
      </c>
      <c r="O528">
        <v>2.19</v>
      </c>
    </row>
    <row r="529" spans="1:15" x14ac:dyDescent="0.3">
      <c r="A529" s="6" t="s">
        <v>1105</v>
      </c>
      <c r="B529" cm="1">
        <f t="array" ref="B529:C529">_xlfn.XLOOKUP(A529,'Main Data'!A526:A1525,'Main Data'!B526:C1525,"Data Not Found",0)</f>
        <v>60</v>
      </c>
      <c r="C529" t="str">
        <v>Other</v>
      </c>
      <c r="E529" s="6" t="s">
        <v>1105</v>
      </c>
      <c r="F529" cm="1">
        <f t="array" ref="F529:I529">VLOOKUP(E529,CHOOSE({1,2,3,4,5},'Main Data'!A526:A1525,'Main Data'!B526:B1525,'Main Data'!C526:C1525,'Main Data'!M526:M1525,'Main Data'!N526:N1525),{2,3,4,5},0)</f>
        <v>60</v>
      </c>
      <c r="G529" t="str">
        <v>Other</v>
      </c>
      <c r="H529" t="str">
        <v>Japan</v>
      </c>
      <c r="I529">
        <v>4.58</v>
      </c>
      <c r="L529" s="6" t="s">
        <v>1105</v>
      </c>
      <c r="M529" t="str" cm="1">
        <f t="array" ref="M529:O529">INDEX('Main Data'!A526:O1525,MATCH(L529,'Main Data'!A526:A1525,0),{3,7,14})</f>
        <v>Other</v>
      </c>
      <c r="N529">
        <v>183878.99</v>
      </c>
      <c r="O529">
        <v>4.58</v>
      </c>
    </row>
    <row r="530" spans="1:15" x14ac:dyDescent="0.3">
      <c r="A530" s="6" t="s">
        <v>1107</v>
      </c>
      <c r="B530" cm="1">
        <f t="array" ref="B530:C530">_xlfn.XLOOKUP(A530,'Main Data'!A527:A1526,'Main Data'!B527:C1526,"Data Not Found",0)</f>
        <v>40</v>
      </c>
      <c r="C530" t="str">
        <v>Female</v>
      </c>
      <c r="E530" s="6" t="s">
        <v>1107</v>
      </c>
      <c r="F530" cm="1">
        <f t="array" ref="F530:I530">VLOOKUP(E530,CHOOSE({1,2,3,4,5},'Main Data'!A527:A1526,'Main Data'!B527:B1526,'Main Data'!C527:C1526,'Main Data'!M527:M1526,'Main Data'!N527:N1526),{2,3,4,5},0)</f>
        <v>40</v>
      </c>
      <c r="G530" t="str">
        <v>Female</v>
      </c>
      <c r="H530" t="str">
        <v>USA</v>
      </c>
      <c r="I530">
        <v>1.08</v>
      </c>
      <c r="L530" s="6" t="s">
        <v>1107</v>
      </c>
      <c r="M530" t="str" cm="1">
        <f t="array" ref="M530:O530">INDEX('Main Data'!A527:O1526,MATCH(L530,'Main Data'!A527:A1526,0),{3,7,14})</f>
        <v>Female</v>
      </c>
      <c r="N530">
        <v>121979.56</v>
      </c>
      <c r="O530">
        <v>1.08</v>
      </c>
    </row>
    <row r="531" spans="1:15" x14ac:dyDescent="0.3">
      <c r="A531" s="6" t="s">
        <v>1109</v>
      </c>
      <c r="B531" cm="1">
        <f t="array" ref="B531:C531">_xlfn.XLOOKUP(A531,'Main Data'!A528:A1527,'Main Data'!B528:C1527,"Data Not Found",0)</f>
        <v>29</v>
      </c>
      <c r="C531" t="str">
        <v>Male</v>
      </c>
      <c r="E531" s="6" t="s">
        <v>1109</v>
      </c>
      <c r="F531" cm="1">
        <f t="array" ref="F531:I531">VLOOKUP(E531,CHOOSE({1,2,3,4,5},'Main Data'!A528:A1527,'Main Data'!B528:B1527,'Main Data'!C528:C1527,'Main Data'!M528:M1527,'Main Data'!N528:N1527),{2,3,4,5},0)</f>
        <v>29</v>
      </c>
      <c r="G531" t="str">
        <v>Male</v>
      </c>
      <c r="H531" t="str">
        <v>France</v>
      </c>
      <c r="I531">
        <v>1.83</v>
      </c>
      <c r="L531" s="6" t="s">
        <v>1109</v>
      </c>
      <c r="M531" t="str" cm="1">
        <f t="array" ref="M531:O531">INDEX('Main Data'!A528:O1527,MATCH(L531,'Main Data'!A528:A1527,0),{3,7,14})</f>
        <v>Male</v>
      </c>
      <c r="N531">
        <v>178407.2</v>
      </c>
      <c r="O531">
        <v>1.83</v>
      </c>
    </row>
    <row r="532" spans="1:15" x14ac:dyDescent="0.3">
      <c r="A532" s="6" t="s">
        <v>1111</v>
      </c>
      <c r="B532" cm="1">
        <f t="array" ref="B532:C532">_xlfn.XLOOKUP(A532,'Main Data'!A529:A1528,'Main Data'!B529:C1528,"Data Not Found",0)</f>
        <v>50</v>
      </c>
      <c r="C532" t="str">
        <v>Female</v>
      </c>
      <c r="E532" s="6" t="s">
        <v>1111</v>
      </c>
      <c r="F532" cm="1">
        <f t="array" ref="F532:I532">VLOOKUP(E532,CHOOSE({1,2,3,4,5},'Main Data'!A529:A1528,'Main Data'!B529:B1528,'Main Data'!C529:C1528,'Main Data'!M529:M1528,'Main Data'!N529:N1528),{2,3,4,5},0)</f>
        <v>50</v>
      </c>
      <c r="G532" t="str">
        <v>Female</v>
      </c>
      <c r="H532" t="str">
        <v>UK</v>
      </c>
      <c r="I532">
        <v>3.19</v>
      </c>
      <c r="L532" s="6" t="s">
        <v>1111</v>
      </c>
      <c r="M532" t="str" cm="1">
        <f t="array" ref="M532:O532">INDEX('Main Data'!A529:O1528,MATCH(L532,'Main Data'!A529:A1528,0),{3,7,14})</f>
        <v>Female</v>
      </c>
      <c r="N532">
        <v>98966.52</v>
      </c>
      <c r="O532">
        <v>3.19</v>
      </c>
    </row>
    <row r="533" spans="1:15" x14ac:dyDescent="0.3">
      <c r="A533" s="6" t="s">
        <v>1113</v>
      </c>
      <c r="B533" cm="1">
        <f t="array" ref="B533:C533">_xlfn.XLOOKUP(A533,'Main Data'!A530:A1529,'Main Data'!B530:C1529,"Data Not Found",0)</f>
        <v>23</v>
      </c>
      <c r="C533" t="str">
        <v>Female</v>
      </c>
      <c r="E533" s="6" t="s">
        <v>1113</v>
      </c>
      <c r="F533" cm="1">
        <f t="array" ref="F533:I533">VLOOKUP(E533,CHOOSE({1,2,3,4,5},'Main Data'!A530:A1529,'Main Data'!B530:B1529,'Main Data'!C530:C1529,'Main Data'!M530:M1529,'Main Data'!N530:N1529),{2,3,4,5},0)</f>
        <v>23</v>
      </c>
      <c r="G533" t="str">
        <v>Female</v>
      </c>
      <c r="H533" t="str">
        <v>UAE</v>
      </c>
      <c r="I533">
        <v>1.78</v>
      </c>
      <c r="L533" s="6" t="s">
        <v>1113</v>
      </c>
      <c r="M533" t="str" cm="1">
        <f t="array" ref="M533:O533">INDEX('Main Data'!A530:O1529,MATCH(L533,'Main Data'!A530:A1529,0),{3,7,14})</f>
        <v>Female</v>
      </c>
      <c r="N533">
        <v>150357.47</v>
      </c>
      <c r="O533">
        <v>1.78</v>
      </c>
    </row>
    <row r="534" spans="1:15" x14ac:dyDescent="0.3">
      <c r="A534" s="6" t="s">
        <v>1115</v>
      </c>
      <c r="B534" cm="1">
        <f t="array" ref="B534:C534">_xlfn.XLOOKUP(A534,'Main Data'!A531:A1530,'Main Data'!B531:C1530,"Data Not Found",0)</f>
        <v>63</v>
      </c>
      <c r="C534" t="str">
        <v>Female</v>
      </c>
      <c r="E534" s="6" t="s">
        <v>1115</v>
      </c>
      <c r="F534" cm="1">
        <f t="array" ref="F534:I534">VLOOKUP(E534,CHOOSE({1,2,3,4,5},'Main Data'!A531:A1530,'Main Data'!B531:B1530,'Main Data'!C531:C1530,'Main Data'!M531:M1530,'Main Data'!N531:N1530),{2,3,4,5},0)</f>
        <v>63</v>
      </c>
      <c r="G534" t="str">
        <v>Female</v>
      </c>
      <c r="H534" t="str">
        <v>Japan</v>
      </c>
      <c r="I534">
        <v>2.5099999999999998</v>
      </c>
      <c r="L534" s="6" t="s">
        <v>1115</v>
      </c>
      <c r="M534" t="str" cm="1">
        <f t="array" ref="M534:O534">INDEX('Main Data'!A531:O1530,MATCH(L534,'Main Data'!A531:A1530,0),{3,7,14})</f>
        <v>Female</v>
      </c>
      <c r="N534">
        <v>65094.53</v>
      </c>
      <c r="O534">
        <v>2.5099999999999998</v>
      </c>
    </row>
    <row r="535" spans="1:15" x14ac:dyDescent="0.3">
      <c r="A535" s="6" t="s">
        <v>1117</v>
      </c>
      <c r="B535" cm="1">
        <f t="array" ref="B535:C535">_xlfn.XLOOKUP(A535,'Main Data'!A532:A1531,'Main Data'!B532:C1531,"Data Not Found",0)</f>
        <v>24</v>
      </c>
      <c r="C535" t="str">
        <v>Female</v>
      </c>
      <c r="E535" s="6" t="s">
        <v>1117</v>
      </c>
      <c r="F535" cm="1">
        <f t="array" ref="F535:I535">VLOOKUP(E535,CHOOSE({1,2,3,4,5},'Main Data'!A532:A1531,'Main Data'!B532:B1531,'Main Data'!C532:C1531,'Main Data'!M532:M1531,'Main Data'!N532:N1531),{2,3,4,5},0)</f>
        <v>24</v>
      </c>
      <c r="G535" t="str">
        <v>Female</v>
      </c>
      <c r="H535" t="str">
        <v>USA</v>
      </c>
      <c r="I535">
        <v>3.38</v>
      </c>
      <c r="L535" s="6" t="s">
        <v>1117</v>
      </c>
      <c r="M535" t="str" cm="1">
        <f t="array" ref="M535:O535">INDEX('Main Data'!A532:O1531,MATCH(L535,'Main Data'!A532:A1531,0),{3,7,14})</f>
        <v>Female</v>
      </c>
      <c r="N535">
        <v>114556.85</v>
      </c>
      <c r="O535">
        <v>3.38</v>
      </c>
    </row>
    <row r="536" spans="1:15" x14ac:dyDescent="0.3">
      <c r="A536" s="6" t="s">
        <v>1119</v>
      </c>
      <c r="B536" cm="1">
        <f t="array" ref="B536:C536">_xlfn.XLOOKUP(A536,'Main Data'!A533:A1532,'Main Data'!B533:C1532,"Data Not Found",0)</f>
        <v>50</v>
      </c>
      <c r="C536" t="str">
        <v>Other</v>
      </c>
      <c r="E536" s="6" t="s">
        <v>1119</v>
      </c>
      <c r="F536" cm="1">
        <f t="array" ref="F536:I536">VLOOKUP(E536,CHOOSE({1,2,3,4,5},'Main Data'!A533:A1532,'Main Data'!B533:B1532,'Main Data'!C533:C1532,'Main Data'!M533:M1532,'Main Data'!N533:N1532),{2,3,4,5},0)</f>
        <v>50</v>
      </c>
      <c r="G536" t="str">
        <v>Other</v>
      </c>
      <c r="H536" t="str">
        <v>France</v>
      </c>
      <c r="I536">
        <v>4.55</v>
      </c>
      <c r="L536" s="6" t="s">
        <v>1119</v>
      </c>
      <c r="M536" t="str" cm="1">
        <f t="array" ref="M536:O536">INDEX('Main Data'!A533:O1532,MATCH(L536,'Main Data'!A533:A1532,0),{3,7,14})</f>
        <v>Other</v>
      </c>
      <c r="N536">
        <v>88674.65</v>
      </c>
      <c r="O536">
        <v>4.55</v>
      </c>
    </row>
    <row r="537" spans="1:15" x14ac:dyDescent="0.3">
      <c r="A537" s="6" t="s">
        <v>1121</v>
      </c>
      <c r="B537" cm="1">
        <f t="array" ref="B537:C537">_xlfn.XLOOKUP(A537,'Main Data'!A534:A1533,'Main Data'!B534:C1533,"Data Not Found",0)</f>
        <v>36</v>
      </c>
      <c r="C537" t="str">
        <v>Male</v>
      </c>
      <c r="E537" s="6" t="s">
        <v>1121</v>
      </c>
      <c r="F537" cm="1">
        <f t="array" ref="F537:I537">VLOOKUP(E537,CHOOSE({1,2,3,4,5},'Main Data'!A534:A1533,'Main Data'!B534:B1533,'Main Data'!C534:C1533,'Main Data'!M534:M1533,'Main Data'!N534:N1533),{2,3,4,5},0)</f>
        <v>36</v>
      </c>
      <c r="G537" t="str">
        <v>Male</v>
      </c>
      <c r="H537" t="str">
        <v>UK</v>
      </c>
      <c r="I537">
        <v>4.33</v>
      </c>
      <c r="L537" s="6" t="s">
        <v>1121</v>
      </c>
      <c r="M537" t="str" cm="1">
        <f t="array" ref="M537:O537">INDEX('Main Data'!A534:O1533,MATCH(L537,'Main Data'!A534:A1533,0),{3,7,14})</f>
        <v>Male</v>
      </c>
      <c r="N537">
        <v>90758.03</v>
      </c>
      <c r="O537">
        <v>4.33</v>
      </c>
    </row>
    <row r="538" spans="1:15" x14ac:dyDescent="0.3">
      <c r="A538" s="6" t="s">
        <v>1123</v>
      </c>
      <c r="B538" cm="1">
        <f t="array" ref="B538:C538">_xlfn.XLOOKUP(A538,'Main Data'!A535:A1534,'Main Data'!B535:C1534,"Data Not Found",0)</f>
        <v>59</v>
      </c>
      <c r="C538" t="str">
        <v>Other</v>
      </c>
      <c r="E538" s="6" t="s">
        <v>1123</v>
      </c>
      <c r="F538" cm="1">
        <f t="array" ref="F538:I538">VLOOKUP(E538,CHOOSE({1,2,3,4,5},'Main Data'!A535:A1534,'Main Data'!B535:B1534,'Main Data'!C535:C1534,'Main Data'!M535:M1534,'Main Data'!N535:N1534),{2,3,4,5},0)</f>
        <v>59</v>
      </c>
      <c r="G538" t="str">
        <v>Other</v>
      </c>
      <c r="H538" t="str">
        <v>UAE</v>
      </c>
      <c r="I538">
        <v>4.1500000000000004</v>
      </c>
      <c r="L538" s="6" t="s">
        <v>1123</v>
      </c>
      <c r="M538" t="str" cm="1">
        <f t="array" ref="M538:O538">INDEX('Main Data'!A535:O1534,MATCH(L538,'Main Data'!A535:A1534,0),{3,7,14})</f>
        <v>Other</v>
      </c>
      <c r="N538">
        <v>67876.03</v>
      </c>
      <c r="O538">
        <v>4.1500000000000004</v>
      </c>
    </row>
    <row r="539" spans="1:15" x14ac:dyDescent="0.3">
      <c r="A539" s="6" t="s">
        <v>1125</v>
      </c>
      <c r="B539" cm="1">
        <f t="array" ref="B539:C539">_xlfn.XLOOKUP(A539,'Main Data'!A536:A1535,'Main Data'!B536:C1535,"Data Not Found",0)</f>
        <v>49</v>
      </c>
      <c r="C539" t="str">
        <v>Female</v>
      </c>
      <c r="E539" s="6" t="s">
        <v>1125</v>
      </c>
      <c r="F539" cm="1">
        <f t="array" ref="F539:I539">VLOOKUP(E539,CHOOSE({1,2,3,4,5},'Main Data'!A536:A1535,'Main Data'!B536:B1535,'Main Data'!C536:C1535,'Main Data'!M536:M1535,'Main Data'!N536:N1535),{2,3,4,5},0)</f>
        <v>49</v>
      </c>
      <c r="G539" t="str">
        <v>Female</v>
      </c>
      <c r="H539" t="str">
        <v>Japan</v>
      </c>
      <c r="I539">
        <v>3.43</v>
      </c>
      <c r="L539" s="6" t="s">
        <v>1125</v>
      </c>
      <c r="M539" t="str" cm="1">
        <f t="array" ref="M539:O539">INDEX('Main Data'!A536:O1535,MATCH(L539,'Main Data'!A536:A1535,0),{3,7,14})</f>
        <v>Female</v>
      </c>
      <c r="N539">
        <v>108246.99</v>
      </c>
      <c r="O539">
        <v>3.43</v>
      </c>
    </row>
    <row r="540" spans="1:15" x14ac:dyDescent="0.3">
      <c r="A540" s="6" t="s">
        <v>1127</v>
      </c>
      <c r="B540" cm="1">
        <f t="array" ref="B540:C540">_xlfn.XLOOKUP(A540,'Main Data'!A537:A1536,'Main Data'!B537:C1536,"Data Not Found",0)</f>
        <v>58</v>
      </c>
      <c r="C540" t="str">
        <v>Female</v>
      </c>
      <c r="E540" s="6" t="s">
        <v>1127</v>
      </c>
      <c r="F540" cm="1">
        <f t="array" ref="F540:I540">VLOOKUP(E540,CHOOSE({1,2,3,4,5},'Main Data'!A537:A1536,'Main Data'!B537:B1536,'Main Data'!C537:C1536,'Main Data'!M537:M1536,'Main Data'!N537:N1536),{2,3,4,5},0)</f>
        <v>58</v>
      </c>
      <c r="G540" t="str">
        <v>Female</v>
      </c>
      <c r="H540" t="str">
        <v>USA</v>
      </c>
      <c r="I540">
        <v>4.0999999999999996</v>
      </c>
      <c r="L540" s="6" t="s">
        <v>1127</v>
      </c>
      <c r="M540" t="str" cm="1">
        <f t="array" ref="M540:O540">INDEX('Main Data'!A537:O1536,MATCH(L540,'Main Data'!A537:A1536,0),{3,7,14})</f>
        <v>Female</v>
      </c>
      <c r="N540">
        <v>75886.649999999994</v>
      </c>
      <c r="O540">
        <v>4.0999999999999996</v>
      </c>
    </row>
    <row r="541" spans="1:15" x14ac:dyDescent="0.3">
      <c r="A541" s="6" t="s">
        <v>1129</v>
      </c>
      <c r="B541" cm="1">
        <f t="array" ref="B541:C541">_xlfn.XLOOKUP(A541,'Main Data'!A538:A1537,'Main Data'!B538:C1537,"Data Not Found",0)</f>
        <v>53</v>
      </c>
      <c r="C541" t="str">
        <v>Female</v>
      </c>
      <c r="E541" s="6" t="s">
        <v>1129</v>
      </c>
      <c r="F541" cm="1">
        <f t="array" ref="F541:I541">VLOOKUP(E541,CHOOSE({1,2,3,4,5},'Main Data'!A538:A1537,'Main Data'!B538:B1537,'Main Data'!C538:C1537,'Main Data'!M538:M1537,'Main Data'!N538:N1537),{2,3,4,5},0)</f>
        <v>53</v>
      </c>
      <c r="G541" t="str">
        <v>Female</v>
      </c>
      <c r="H541" t="str">
        <v>France</v>
      </c>
      <c r="I541">
        <v>1.65</v>
      </c>
      <c r="L541" s="6" t="s">
        <v>1129</v>
      </c>
      <c r="M541" t="str" cm="1">
        <f t="array" ref="M541:O541">INDEX('Main Data'!A538:O1537,MATCH(L541,'Main Data'!A538:A1537,0),{3,7,14})</f>
        <v>Female</v>
      </c>
      <c r="N541">
        <v>152481.53</v>
      </c>
      <c r="O541">
        <v>1.65</v>
      </c>
    </row>
    <row r="542" spans="1:15" x14ac:dyDescent="0.3">
      <c r="A542" s="6" t="s">
        <v>1131</v>
      </c>
      <c r="B542" cm="1">
        <f t="array" ref="B542:C542">_xlfn.XLOOKUP(A542,'Main Data'!A539:A1538,'Main Data'!B539:C1538,"Data Not Found",0)</f>
        <v>51</v>
      </c>
      <c r="C542" t="str">
        <v>Male</v>
      </c>
      <c r="E542" s="6" t="s">
        <v>1131</v>
      </c>
      <c r="F542" cm="1">
        <f t="array" ref="F542:I542">VLOOKUP(E542,CHOOSE({1,2,3,4,5},'Main Data'!A539:A1538,'Main Data'!B539:B1538,'Main Data'!C539:C1538,'Main Data'!M539:M1538,'Main Data'!N539:N1538),{2,3,4,5},0)</f>
        <v>51</v>
      </c>
      <c r="G542" t="str">
        <v>Male</v>
      </c>
      <c r="H542" t="str">
        <v>UK</v>
      </c>
      <c r="I542">
        <v>4.34</v>
      </c>
      <c r="L542" s="6" t="s">
        <v>1131</v>
      </c>
      <c r="M542" t="str" cm="1">
        <f t="array" ref="M542:O542">INDEX('Main Data'!A539:O1538,MATCH(L542,'Main Data'!A539:A1538,0),{3,7,14})</f>
        <v>Male</v>
      </c>
      <c r="N542">
        <v>127607.52</v>
      </c>
      <c r="O542">
        <v>4.34</v>
      </c>
    </row>
    <row r="543" spans="1:15" x14ac:dyDescent="0.3">
      <c r="A543" s="6" t="s">
        <v>1133</v>
      </c>
      <c r="B543" cm="1">
        <f t="array" ref="B543:C543">_xlfn.XLOOKUP(A543,'Main Data'!A540:A1539,'Main Data'!B540:C1539,"Data Not Found",0)</f>
        <v>51</v>
      </c>
      <c r="C543" t="str">
        <v>Male</v>
      </c>
      <c r="E543" s="6" t="s">
        <v>1133</v>
      </c>
      <c r="F543" cm="1">
        <f t="array" ref="F543:I543">VLOOKUP(E543,CHOOSE({1,2,3,4,5},'Main Data'!A540:A1539,'Main Data'!B540:B1539,'Main Data'!C540:C1539,'Main Data'!M540:M1539,'Main Data'!N540:N1539),{2,3,4,5},0)</f>
        <v>51</v>
      </c>
      <c r="G543" t="str">
        <v>Male</v>
      </c>
      <c r="H543" t="str">
        <v>UAE</v>
      </c>
      <c r="I543">
        <v>2.23</v>
      </c>
      <c r="L543" s="6" t="s">
        <v>1133</v>
      </c>
      <c r="M543" t="str" cm="1">
        <f t="array" ref="M543:O543">INDEX('Main Data'!A540:O1539,MATCH(L543,'Main Data'!A540:A1539,0),{3,7,14})</f>
        <v>Male</v>
      </c>
      <c r="N543">
        <v>118750.39999999999</v>
      </c>
      <c r="O543">
        <v>2.23</v>
      </c>
    </row>
    <row r="544" spans="1:15" x14ac:dyDescent="0.3">
      <c r="A544" s="6" t="s">
        <v>1135</v>
      </c>
      <c r="B544" cm="1">
        <f t="array" ref="B544:C544">_xlfn.XLOOKUP(A544,'Main Data'!A541:A1540,'Main Data'!B541:C1540,"Data Not Found",0)</f>
        <v>55</v>
      </c>
      <c r="C544" t="str">
        <v>Other</v>
      </c>
      <c r="E544" s="6" t="s">
        <v>1135</v>
      </c>
      <c r="F544" cm="1">
        <f t="array" ref="F544:I544">VLOOKUP(E544,CHOOSE({1,2,3,4,5},'Main Data'!A541:A1540,'Main Data'!B541:B1540,'Main Data'!C541:C1540,'Main Data'!M541:M1540,'Main Data'!N541:N1540),{2,3,4,5},0)</f>
        <v>55</v>
      </c>
      <c r="G544" t="str">
        <v>Other</v>
      </c>
      <c r="H544" t="str">
        <v>Japan</v>
      </c>
      <c r="I544">
        <v>1.67</v>
      </c>
      <c r="L544" s="6" t="s">
        <v>1135</v>
      </c>
      <c r="M544" t="str" cm="1">
        <f t="array" ref="M544:O544">INDEX('Main Data'!A541:O1540,MATCH(L544,'Main Data'!A541:A1540,0),{3,7,14})</f>
        <v>Other</v>
      </c>
      <c r="N544">
        <v>181100.9</v>
      </c>
      <c r="O544">
        <v>1.67</v>
      </c>
    </row>
    <row r="545" spans="1:15" x14ac:dyDescent="0.3">
      <c r="A545" s="6" t="s">
        <v>1137</v>
      </c>
      <c r="B545" cm="1">
        <f t="array" ref="B545:C545">_xlfn.XLOOKUP(A545,'Main Data'!A542:A1541,'Main Data'!B542:C1541,"Data Not Found",0)</f>
        <v>34</v>
      </c>
      <c r="C545" t="str">
        <v>Female</v>
      </c>
      <c r="E545" s="6" t="s">
        <v>1137</v>
      </c>
      <c r="F545" cm="1">
        <f t="array" ref="F545:I545">VLOOKUP(E545,CHOOSE({1,2,3,4,5},'Main Data'!A542:A1541,'Main Data'!B542:B1541,'Main Data'!C542:C1541,'Main Data'!M542:M1541,'Main Data'!N542:N1541),{2,3,4,5},0)</f>
        <v>34</v>
      </c>
      <c r="G545" t="str">
        <v>Female</v>
      </c>
      <c r="H545" t="str">
        <v>USA</v>
      </c>
      <c r="I545">
        <v>2.56</v>
      </c>
      <c r="L545" s="6" t="s">
        <v>1137</v>
      </c>
      <c r="M545" t="str" cm="1">
        <f t="array" ref="M545:O545">INDEX('Main Data'!A542:O1541,MATCH(L545,'Main Data'!A542:A1541,0),{3,7,14})</f>
        <v>Female</v>
      </c>
      <c r="N545">
        <v>77795.33</v>
      </c>
      <c r="O545">
        <v>2.56</v>
      </c>
    </row>
    <row r="546" spans="1:15" x14ac:dyDescent="0.3">
      <c r="A546" s="6" t="s">
        <v>1139</v>
      </c>
      <c r="B546" cm="1">
        <f t="array" ref="B546:C546">_xlfn.XLOOKUP(A546,'Main Data'!A543:A1542,'Main Data'!B543:C1542,"Data Not Found",0)</f>
        <v>54</v>
      </c>
      <c r="C546" t="str">
        <v>Male</v>
      </c>
      <c r="E546" s="6" t="s">
        <v>1139</v>
      </c>
      <c r="F546" cm="1">
        <f t="array" ref="F546:I546">VLOOKUP(E546,CHOOSE({1,2,3,4,5},'Main Data'!A543:A1542,'Main Data'!B543:B1542,'Main Data'!C543:C1542,'Main Data'!M543:M1542,'Main Data'!N543:N1542),{2,3,4,5},0)</f>
        <v>54</v>
      </c>
      <c r="G546" t="str">
        <v>Male</v>
      </c>
      <c r="H546" t="str">
        <v>France</v>
      </c>
      <c r="I546">
        <v>1.38</v>
      </c>
      <c r="L546" s="6" t="s">
        <v>1139</v>
      </c>
      <c r="M546" t="str" cm="1">
        <f t="array" ref="M546:O546">INDEX('Main Data'!A543:O1542,MATCH(L546,'Main Data'!A543:A1542,0),{3,7,14})</f>
        <v>Male</v>
      </c>
      <c r="N546">
        <v>154880.85</v>
      </c>
      <c r="O546">
        <v>1.38</v>
      </c>
    </row>
    <row r="547" spans="1:15" x14ac:dyDescent="0.3">
      <c r="A547" s="6" t="s">
        <v>1141</v>
      </c>
      <c r="B547" cm="1">
        <f t="array" ref="B547:C547">_xlfn.XLOOKUP(A547,'Main Data'!A544:A1543,'Main Data'!B544:C1543,"Data Not Found",0)</f>
        <v>63</v>
      </c>
      <c r="C547" t="str">
        <v>Female</v>
      </c>
      <c r="E547" s="6" t="s">
        <v>1141</v>
      </c>
      <c r="F547" cm="1">
        <f t="array" ref="F547:I547">VLOOKUP(E547,CHOOSE({1,2,3,4,5},'Main Data'!A544:A1543,'Main Data'!B544:B1543,'Main Data'!C544:C1543,'Main Data'!M544:M1543,'Main Data'!N544:N1543),{2,3,4,5},0)</f>
        <v>63</v>
      </c>
      <c r="G547" t="str">
        <v>Female</v>
      </c>
      <c r="H547" t="str">
        <v>UK</v>
      </c>
      <c r="I547">
        <v>4.4800000000000004</v>
      </c>
      <c r="L547" s="6" t="s">
        <v>1141</v>
      </c>
      <c r="M547" t="str" cm="1">
        <f t="array" ref="M547:O547">INDEX('Main Data'!A544:O1543,MATCH(L547,'Main Data'!A544:A1543,0),{3,7,14})</f>
        <v>Female</v>
      </c>
      <c r="N547">
        <v>77774.16</v>
      </c>
      <c r="O547">
        <v>4.4800000000000004</v>
      </c>
    </row>
    <row r="548" spans="1:15" x14ac:dyDescent="0.3">
      <c r="A548" s="6" t="s">
        <v>1143</v>
      </c>
      <c r="B548" cm="1">
        <f t="array" ref="B548:C548">_xlfn.XLOOKUP(A548,'Main Data'!A545:A1544,'Main Data'!B545:C1544,"Data Not Found",0)</f>
        <v>38</v>
      </c>
      <c r="C548" t="str">
        <v>Other</v>
      </c>
      <c r="E548" s="6" t="s">
        <v>1143</v>
      </c>
      <c r="F548" cm="1">
        <f t="array" ref="F548:I548">VLOOKUP(E548,CHOOSE({1,2,3,4,5},'Main Data'!A545:A1544,'Main Data'!B545:B1544,'Main Data'!C545:C1544,'Main Data'!M545:M1544,'Main Data'!N545:N1544),{2,3,4,5},0)</f>
        <v>38</v>
      </c>
      <c r="G548" t="str">
        <v>Other</v>
      </c>
      <c r="H548" t="str">
        <v>UAE</v>
      </c>
      <c r="I548">
        <v>2.36</v>
      </c>
      <c r="L548" s="6" t="s">
        <v>1143</v>
      </c>
      <c r="M548" t="str" cm="1">
        <f t="array" ref="M548:O548">INDEX('Main Data'!A545:O1544,MATCH(L548,'Main Data'!A545:A1544,0),{3,7,14})</f>
        <v>Other</v>
      </c>
      <c r="N548">
        <v>144280.99</v>
      </c>
      <c r="O548">
        <v>2.36</v>
      </c>
    </row>
    <row r="549" spans="1:15" x14ac:dyDescent="0.3">
      <c r="A549" s="6" t="s">
        <v>1145</v>
      </c>
      <c r="B549" cm="1">
        <f t="array" ref="B549:C549">_xlfn.XLOOKUP(A549,'Main Data'!A546:A1545,'Main Data'!B546:C1545,"Data Not Found",0)</f>
        <v>24</v>
      </c>
      <c r="C549" t="str">
        <v>Other</v>
      </c>
      <c r="E549" s="6" t="s">
        <v>1145</v>
      </c>
      <c r="F549" cm="1">
        <f t="array" ref="F549:I549">VLOOKUP(E549,CHOOSE({1,2,3,4,5},'Main Data'!A546:A1545,'Main Data'!B546:B1545,'Main Data'!C546:C1545,'Main Data'!M546:M1545,'Main Data'!N546:N1545),{2,3,4,5},0)</f>
        <v>24</v>
      </c>
      <c r="G549" t="str">
        <v>Other</v>
      </c>
      <c r="H549" t="str">
        <v>Japan</v>
      </c>
      <c r="I549">
        <v>1.63</v>
      </c>
      <c r="L549" s="6" t="s">
        <v>1145</v>
      </c>
      <c r="M549" t="str" cm="1">
        <f t="array" ref="M549:O549">INDEX('Main Data'!A546:O1545,MATCH(L549,'Main Data'!A546:A1545,0),{3,7,14})</f>
        <v>Other</v>
      </c>
      <c r="N549">
        <v>55860.97</v>
      </c>
      <c r="O549">
        <v>1.63</v>
      </c>
    </row>
    <row r="550" spans="1:15" x14ac:dyDescent="0.3">
      <c r="A550" s="6" t="s">
        <v>1147</v>
      </c>
      <c r="B550" cm="1">
        <f t="array" ref="B550:C550">_xlfn.XLOOKUP(A550,'Main Data'!A547:A1546,'Main Data'!B547:C1546,"Data Not Found",0)</f>
        <v>30</v>
      </c>
      <c r="C550" t="str">
        <v>Male</v>
      </c>
      <c r="E550" s="6" t="s">
        <v>1147</v>
      </c>
      <c r="F550" cm="1">
        <f t="array" ref="F550:I550">VLOOKUP(E550,CHOOSE({1,2,3,4,5},'Main Data'!A547:A1546,'Main Data'!B547:B1546,'Main Data'!C547:C1546,'Main Data'!M547:M1546,'Main Data'!N547:N1546),{2,3,4,5},0)</f>
        <v>30</v>
      </c>
      <c r="G550" t="str">
        <v>Male</v>
      </c>
      <c r="H550" t="str">
        <v>USA</v>
      </c>
      <c r="I550">
        <v>4.6500000000000004</v>
      </c>
      <c r="L550" s="6" t="s">
        <v>1147</v>
      </c>
      <c r="M550" t="str" cm="1">
        <f t="array" ref="M550:O550">INDEX('Main Data'!A547:O1546,MATCH(L550,'Main Data'!A547:A1546,0),{3,7,14})</f>
        <v>Male</v>
      </c>
      <c r="N550">
        <v>55158.9</v>
      </c>
      <c r="O550">
        <v>4.6500000000000004</v>
      </c>
    </row>
    <row r="551" spans="1:15" x14ac:dyDescent="0.3">
      <c r="A551" s="6" t="s">
        <v>1149</v>
      </c>
      <c r="B551" cm="1">
        <f t="array" ref="B551:C551">_xlfn.XLOOKUP(A551,'Main Data'!A548:A1547,'Main Data'!B548:C1547,"Data Not Found",0)</f>
        <v>32</v>
      </c>
      <c r="C551" t="str">
        <v>Other</v>
      </c>
      <c r="E551" s="6" t="s">
        <v>1149</v>
      </c>
      <c r="F551" cm="1">
        <f t="array" ref="F551:I551">VLOOKUP(E551,CHOOSE({1,2,3,4,5},'Main Data'!A548:A1547,'Main Data'!B548:B1547,'Main Data'!C548:C1547,'Main Data'!M548:M1547,'Main Data'!N548:N1547),{2,3,4,5},0)</f>
        <v>32</v>
      </c>
      <c r="G551" t="str">
        <v>Other</v>
      </c>
      <c r="H551" t="str">
        <v>France</v>
      </c>
      <c r="I551">
        <v>1.4</v>
      </c>
      <c r="L551" s="6" t="s">
        <v>1149</v>
      </c>
      <c r="M551" t="str" cm="1">
        <f t="array" ref="M551:O551">INDEX('Main Data'!A548:O1547,MATCH(L551,'Main Data'!A548:A1547,0),{3,7,14})</f>
        <v>Other</v>
      </c>
      <c r="N551">
        <v>112106.12</v>
      </c>
      <c r="O551">
        <v>1.4</v>
      </c>
    </row>
    <row r="552" spans="1:15" x14ac:dyDescent="0.3">
      <c r="A552" s="6" t="s">
        <v>1151</v>
      </c>
      <c r="B552" cm="1">
        <f t="array" ref="B552:C552">_xlfn.XLOOKUP(A552,'Main Data'!A549:A1548,'Main Data'!B549:C1548,"Data Not Found",0)</f>
        <v>48</v>
      </c>
      <c r="C552" t="str">
        <v>Male</v>
      </c>
      <c r="E552" s="6" t="s">
        <v>1151</v>
      </c>
      <c r="F552" cm="1">
        <f t="array" ref="F552:I552">VLOOKUP(E552,CHOOSE({1,2,3,4,5},'Main Data'!A549:A1548,'Main Data'!B549:B1548,'Main Data'!C549:C1548,'Main Data'!M549:M1548,'Main Data'!N549:N1548),{2,3,4,5},0)</f>
        <v>48</v>
      </c>
      <c r="G552" t="str">
        <v>Male</v>
      </c>
      <c r="H552" t="str">
        <v>UK</v>
      </c>
      <c r="I552">
        <v>4.21</v>
      </c>
      <c r="L552" s="6" t="s">
        <v>1151</v>
      </c>
      <c r="M552" t="str" cm="1">
        <f t="array" ref="M552:O552">INDEX('Main Data'!A549:O1548,MATCH(L552,'Main Data'!A549:A1548,0),{3,7,14})</f>
        <v>Male</v>
      </c>
      <c r="N552">
        <v>198979.47</v>
      </c>
      <c r="O552">
        <v>4.21</v>
      </c>
    </row>
    <row r="553" spans="1:15" x14ac:dyDescent="0.3">
      <c r="A553" s="6" t="s">
        <v>1153</v>
      </c>
      <c r="B553" cm="1">
        <f t="array" ref="B553:C553">_xlfn.XLOOKUP(A553,'Main Data'!A550:A1549,'Main Data'!B550:C1549,"Data Not Found",0)</f>
        <v>49</v>
      </c>
      <c r="C553" t="str">
        <v>Female</v>
      </c>
      <c r="E553" s="6" t="s">
        <v>1153</v>
      </c>
      <c r="F553" cm="1">
        <f t="array" ref="F553:I553">VLOOKUP(E553,CHOOSE({1,2,3,4,5},'Main Data'!A550:A1549,'Main Data'!B550:B1549,'Main Data'!C550:C1549,'Main Data'!M550:M1549,'Main Data'!N550:N1549),{2,3,4,5},0)</f>
        <v>49</v>
      </c>
      <c r="G553" t="str">
        <v>Female</v>
      </c>
      <c r="H553" t="str">
        <v>UAE</v>
      </c>
      <c r="I553">
        <v>4.17</v>
      </c>
      <c r="L553" s="6" t="s">
        <v>1153</v>
      </c>
      <c r="M553" t="str" cm="1">
        <f t="array" ref="M553:O553">INDEX('Main Data'!A550:O1549,MATCH(L553,'Main Data'!A550:A1549,0),{3,7,14})</f>
        <v>Female</v>
      </c>
      <c r="N553">
        <v>72123.34</v>
      </c>
      <c r="O553">
        <v>4.17</v>
      </c>
    </row>
    <row r="554" spans="1:15" x14ac:dyDescent="0.3">
      <c r="A554" s="6" t="s">
        <v>1155</v>
      </c>
      <c r="B554" cm="1">
        <f t="array" ref="B554:C554">_xlfn.XLOOKUP(A554,'Main Data'!A551:A1550,'Main Data'!B551:C1550,"Data Not Found",0)</f>
        <v>23</v>
      </c>
      <c r="C554" t="str">
        <v>Male</v>
      </c>
      <c r="E554" s="6" t="s">
        <v>1155</v>
      </c>
      <c r="F554" cm="1">
        <f t="array" ref="F554:I554">VLOOKUP(E554,CHOOSE({1,2,3,4,5},'Main Data'!A551:A1550,'Main Data'!B551:B1550,'Main Data'!C551:C1550,'Main Data'!M551:M1550,'Main Data'!N551:N1550),{2,3,4,5},0)</f>
        <v>23</v>
      </c>
      <c r="G554" t="str">
        <v>Male</v>
      </c>
      <c r="H554" t="str">
        <v>Japan</v>
      </c>
      <c r="I554">
        <v>4.4800000000000004</v>
      </c>
      <c r="L554" s="6" t="s">
        <v>1155</v>
      </c>
      <c r="M554" t="str" cm="1">
        <f t="array" ref="M554:O554">INDEX('Main Data'!A551:O1550,MATCH(L554,'Main Data'!A551:A1550,0),{3,7,14})</f>
        <v>Male</v>
      </c>
      <c r="N554">
        <v>162984.54</v>
      </c>
      <c r="O554">
        <v>4.4800000000000004</v>
      </c>
    </row>
    <row r="555" spans="1:15" x14ac:dyDescent="0.3">
      <c r="A555" s="6" t="s">
        <v>1157</v>
      </c>
      <c r="B555" cm="1">
        <f t="array" ref="B555:C555">_xlfn.XLOOKUP(A555,'Main Data'!A552:A1551,'Main Data'!B552:C1551,"Data Not Found",0)</f>
        <v>22</v>
      </c>
      <c r="C555" t="str">
        <v>Other</v>
      </c>
      <c r="E555" s="6" t="s">
        <v>1157</v>
      </c>
      <c r="F555" cm="1">
        <f t="array" ref="F555:I555">VLOOKUP(E555,CHOOSE({1,2,3,4,5},'Main Data'!A552:A1551,'Main Data'!B552:B1551,'Main Data'!C552:C1551,'Main Data'!M552:M1551,'Main Data'!N552:N1551),{2,3,4,5},0)</f>
        <v>22</v>
      </c>
      <c r="G555" t="str">
        <v>Other</v>
      </c>
      <c r="H555" t="str">
        <v>USA</v>
      </c>
      <c r="I555">
        <v>2.04</v>
      </c>
      <c r="L555" s="6" t="s">
        <v>1157</v>
      </c>
      <c r="M555" t="str" cm="1">
        <f t="array" ref="M555:O555">INDEX('Main Data'!A552:O1551,MATCH(L555,'Main Data'!A552:A1551,0),{3,7,14})</f>
        <v>Other</v>
      </c>
      <c r="N555">
        <v>136079.5</v>
      </c>
      <c r="O555">
        <v>2.04</v>
      </c>
    </row>
    <row r="556" spans="1:15" x14ac:dyDescent="0.3">
      <c r="A556" s="6" t="s">
        <v>1159</v>
      </c>
      <c r="B556" cm="1">
        <f t="array" ref="B556:C556">_xlfn.XLOOKUP(A556,'Main Data'!A553:A1552,'Main Data'!B553:C1552,"Data Not Found",0)</f>
        <v>27</v>
      </c>
      <c r="C556" t="str">
        <v>Female</v>
      </c>
      <c r="E556" s="6" t="s">
        <v>1159</v>
      </c>
      <c r="F556" cm="1">
        <f t="array" ref="F556:I556">VLOOKUP(E556,CHOOSE({1,2,3,4,5},'Main Data'!A553:A1552,'Main Data'!B553:B1552,'Main Data'!C553:C1552,'Main Data'!M553:M1552,'Main Data'!N553:N1552),{2,3,4,5},0)</f>
        <v>27</v>
      </c>
      <c r="G556" t="str">
        <v>Female</v>
      </c>
      <c r="H556" t="str">
        <v>France</v>
      </c>
      <c r="I556">
        <v>4.91</v>
      </c>
      <c r="L556" s="6" t="s">
        <v>1159</v>
      </c>
      <c r="M556" t="str" cm="1">
        <f t="array" ref="M556:O556">INDEX('Main Data'!A553:O1552,MATCH(L556,'Main Data'!A553:A1552,0),{3,7,14})</f>
        <v>Female</v>
      </c>
      <c r="N556">
        <v>92116.47</v>
      </c>
      <c r="O556">
        <v>4.91</v>
      </c>
    </row>
    <row r="557" spans="1:15" x14ac:dyDescent="0.3">
      <c r="A557" s="6" t="s">
        <v>1161</v>
      </c>
      <c r="B557" cm="1">
        <f t="array" ref="B557:C557">_xlfn.XLOOKUP(A557,'Main Data'!A554:A1553,'Main Data'!B554:C1553,"Data Not Found",0)</f>
        <v>46</v>
      </c>
      <c r="C557" t="str">
        <v>Other</v>
      </c>
      <c r="E557" s="6" t="s">
        <v>1161</v>
      </c>
      <c r="F557" cm="1">
        <f t="array" ref="F557:I557">VLOOKUP(E557,CHOOSE({1,2,3,4,5},'Main Data'!A554:A1553,'Main Data'!B554:B1553,'Main Data'!C554:C1553,'Main Data'!M554:M1553,'Main Data'!N554:N1553),{2,3,4,5},0)</f>
        <v>46</v>
      </c>
      <c r="G557" t="str">
        <v>Other</v>
      </c>
      <c r="H557" t="str">
        <v>UK</v>
      </c>
      <c r="I557">
        <v>2.78</v>
      </c>
      <c r="L557" s="6" t="s">
        <v>1161</v>
      </c>
      <c r="M557" t="str" cm="1">
        <f t="array" ref="M557:O557">INDEX('Main Data'!A554:O1553,MATCH(L557,'Main Data'!A554:A1553,0),{3,7,14})</f>
        <v>Other</v>
      </c>
      <c r="N557">
        <v>165222.51</v>
      </c>
      <c r="O557">
        <v>2.78</v>
      </c>
    </row>
    <row r="558" spans="1:15" x14ac:dyDescent="0.3">
      <c r="A558" s="6" t="s">
        <v>1163</v>
      </c>
      <c r="B558" cm="1">
        <f t="array" ref="B558:C558">_xlfn.XLOOKUP(A558,'Main Data'!A555:A1554,'Main Data'!B555:C1554,"Data Not Found",0)</f>
        <v>56</v>
      </c>
      <c r="C558" t="str">
        <v>Female</v>
      </c>
      <c r="E558" s="6" t="s">
        <v>1163</v>
      </c>
      <c r="F558" cm="1">
        <f t="array" ref="F558:I558">VLOOKUP(E558,CHOOSE({1,2,3,4,5},'Main Data'!A555:A1554,'Main Data'!B555:B1554,'Main Data'!C555:C1554,'Main Data'!M555:M1554,'Main Data'!N555:N1554),{2,3,4,5},0)</f>
        <v>56</v>
      </c>
      <c r="G558" t="str">
        <v>Female</v>
      </c>
      <c r="H558" t="str">
        <v>UAE</v>
      </c>
      <c r="I558">
        <v>3.16</v>
      </c>
      <c r="L558" s="6" t="s">
        <v>1163</v>
      </c>
      <c r="M558" t="str" cm="1">
        <f t="array" ref="M558:O558">INDEX('Main Data'!A555:O1554,MATCH(L558,'Main Data'!A555:A1554,0),{3,7,14})</f>
        <v>Female</v>
      </c>
      <c r="N558">
        <v>94306.51</v>
      </c>
      <c r="O558">
        <v>3.16</v>
      </c>
    </row>
    <row r="559" spans="1:15" x14ac:dyDescent="0.3">
      <c r="A559" s="6" t="s">
        <v>1165</v>
      </c>
      <c r="B559" cm="1">
        <f t="array" ref="B559:C559">_xlfn.XLOOKUP(A559,'Main Data'!A556:A1555,'Main Data'!B556:C1555,"Data Not Found",0)</f>
        <v>37</v>
      </c>
      <c r="C559" t="str">
        <v>Female</v>
      </c>
      <c r="E559" s="6" t="s">
        <v>1165</v>
      </c>
      <c r="F559" cm="1">
        <f t="array" ref="F559:I559">VLOOKUP(E559,CHOOSE({1,2,3,4,5},'Main Data'!A556:A1555,'Main Data'!B556:B1555,'Main Data'!C556:C1555,'Main Data'!M556:M1555,'Main Data'!N556:N1555),{2,3,4,5},0)</f>
        <v>37</v>
      </c>
      <c r="G559" t="str">
        <v>Female</v>
      </c>
      <c r="H559" t="str">
        <v>Japan</v>
      </c>
      <c r="I559">
        <v>1.96</v>
      </c>
      <c r="L559" s="6" t="s">
        <v>1165</v>
      </c>
      <c r="M559" t="str" cm="1">
        <f t="array" ref="M559:O559">INDEX('Main Data'!A556:O1555,MATCH(L559,'Main Data'!A556:A1555,0),{3,7,14})</f>
        <v>Female</v>
      </c>
      <c r="N559">
        <v>75310.399999999994</v>
      </c>
      <c r="O559">
        <v>1.96</v>
      </c>
    </row>
    <row r="560" spans="1:15" x14ac:dyDescent="0.3">
      <c r="A560" s="6" t="s">
        <v>1167</v>
      </c>
      <c r="B560" cm="1">
        <f t="array" ref="B560:C560">_xlfn.XLOOKUP(A560,'Main Data'!A557:A1556,'Main Data'!B557:C1556,"Data Not Found",0)</f>
        <v>25</v>
      </c>
      <c r="C560" t="str">
        <v>Female</v>
      </c>
      <c r="E560" s="6" t="s">
        <v>1167</v>
      </c>
      <c r="F560" cm="1">
        <f t="array" ref="F560:I560">VLOOKUP(E560,CHOOSE({1,2,3,4,5},'Main Data'!A557:A1556,'Main Data'!B557:B1556,'Main Data'!C557:C1556,'Main Data'!M557:M1556,'Main Data'!N557:N1556),{2,3,4,5},0)</f>
        <v>25</v>
      </c>
      <c r="G560" t="str">
        <v>Female</v>
      </c>
      <c r="H560" t="str">
        <v>USA</v>
      </c>
      <c r="I560">
        <v>4.4800000000000004</v>
      </c>
      <c r="L560" s="6" t="s">
        <v>1167</v>
      </c>
      <c r="M560" t="str" cm="1">
        <f t="array" ref="M560:O560">INDEX('Main Data'!A557:O1556,MATCH(L560,'Main Data'!A557:A1556,0),{3,7,14})</f>
        <v>Female</v>
      </c>
      <c r="N560">
        <v>79117.16</v>
      </c>
      <c r="O560">
        <v>4.4800000000000004</v>
      </c>
    </row>
    <row r="561" spans="1:15" x14ac:dyDescent="0.3">
      <c r="A561" s="6" t="s">
        <v>1169</v>
      </c>
      <c r="B561" cm="1">
        <f t="array" ref="B561:C561">_xlfn.XLOOKUP(A561,'Main Data'!A558:A1557,'Main Data'!B558:C1557,"Data Not Found",0)</f>
        <v>59</v>
      </c>
      <c r="C561" t="str">
        <v>Female</v>
      </c>
      <c r="E561" s="6" t="s">
        <v>1169</v>
      </c>
      <c r="F561" cm="1">
        <f t="array" ref="F561:I561">VLOOKUP(E561,CHOOSE({1,2,3,4,5},'Main Data'!A558:A1557,'Main Data'!B558:B1557,'Main Data'!C558:C1557,'Main Data'!M558:M1557,'Main Data'!N558:N1557),{2,3,4,5},0)</f>
        <v>59</v>
      </c>
      <c r="G561" t="str">
        <v>Female</v>
      </c>
      <c r="H561" t="str">
        <v>France</v>
      </c>
      <c r="I561">
        <v>2.4900000000000002</v>
      </c>
      <c r="L561" s="6" t="s">
        <v>1169</v>
      </c>
      <c r="M561" t="str" cm="1">
        <f t="array" ref="M561:O561">INDEX('Main Data'!A558:O1557,MATCH(L561,'Main Data'!A558:A1557,0),{3,7,14})</f>
        <v>Female</v>
      </c>
      <c r="N561">
        <v>78253.77</v>
      </c>
      <c r="O561">
        <v>2.4900000000000002</v>
      </c>
    </row>
    <row r="562" spans="1:15" x14ac:dyDescent="0.3">
      <c r="A562" s="6" t="s">
        <v>1171</v>
      </c>
      <c r="B562" cm="1">
        <f t="array" ref="B562:C562">_xlfn.XLOOKUP(A562,'Main Data'!A559:A1558,'Main Data'!B559:C1558,"Data Not Found",0)</f>
        <v>41</v>
      </c>
      <c r="C562" t="str">
        <v>Other</v>
      </c>
      <c r="E562" s="6" t="s">
        <v>1171</v>
      </c>
      <c r="F562" cm="1">
        <f t="array" ref="F562:I562">VLOOKUP(E562,CHOOSE({1,2,3,4,5},'Main Data'!A559:A1558,'Main Data'!B559:B1558,'Main Data'!C559:C1558,'Main Data'!M559:M1558,'Main Data'!N559:N1558),{2,3,4,5},0)</f>
        <v>41</v>
      </c>
      <c r="G562" t="str">
        <v>Other</v>
      </c>
      <c r="H562" t="str">
        <v>UK</v>
      </c>
      <c r="I562">
        <v>4.7699999999999996</v>
      </c>
      <c r="L562" s="6" t="s">
        <v>1171</v>
      </c>
      <c r="M562" t="str" cm="1">
        <f t="array" ref="M562:O562">INDEX('Main Data'!A559:O1558,MATCH(L562,'Main Data'!A559:A1558,0),{3,7,14})</f>
        <v>Other</v>
      </c>
      <c r="N562">
        <v>163784.25</v>
      </c>
      <c r="O562">
        <v>4.7699999999999996</v>
      </c>
    </row>
    <row r="563" spans="1:15" x14ac:dyDescent="0.3">
      <c r="A563" s="6" t="s">
        <v>1173</v>
      </c>
      <c r="B563" cm="1">
        <f t="array" ref="B563:C563">_xlfn.XLOOKUP(A563,'Main Data'!A560:A1559,'Main Data'!B560:C1559,"Data Not Found",0)</f>
        <v>46</v>
      </c>
      <c r="C563" t="str">
        <v>Male</v>
      </c>
      <c r="E563" s="6" t="s">
        <v>1173</v>
      </c>
      <c r="F563" cm="1">
        <f t="array" ref="F563:I563">VLOOKUP(E563,CHOOSE({1,2,3,4,5},'Main Data'!A560:A1559,'Main Data'!B560:B1559,'Main Data'!C560:C1559,'Main Data'!M560:M1559,'Main Data'!N560:N1559),{2,3,4,5},0)</f>
        <v>46</v>
      </c>
      <c r="G563" t="str">
        <v>Male</v>
      </c>
      <c r="H563" t="str">
        <v>UAE</v>
      </c>
      <c r="I563">
        <v>1.36</v>
      </c>
      <c r="L563" s="6" t="s">
        <v>1173</v>
      </c>
      <c r="M563" t="str" cm="1">
        <f t="array" ref="M563:O563">INDEX('Main Data'!A560:O1559,MATCH(L563,'Main Data'!A560:A1559,0),{3,7,14})</f>
        <v>Male</v>
      </c>
      <c r="N563">
        <v>129267.95</v>
      </c>
      <c r="O563">
        <v>1.36</v>
      </c>
    </row>
    <row r="564" spans="1:15" x14ac:dyDescent="0.3">
      <c r="A564" s="6" t="s">
        <v>1175</v>
      </c>
      <c r="B564" cm="1">
        <f t="array" ref="B564:C564">_xlfn.XLOOKUP(A564,'Main Data'!A561:A1560,'Main Data'!B561:C1560,"Data Not Found",0)</f>
        <v>28</v>
      </c>
      <c r="C564" t="str">
        <v>Female</v>
      </c>
      <c r="E564" s="6" t="s">
        <v>1175</v>
      </c>
      <c r="F564" cm="1">
        <f t="array" ref="F564:I564">VLOOKUP(E564,CHOOSE({1,2,3,4,5},'Main Data'!A561:A1560,'Main Data'!B561:B1560,'Main Data'!C561:C1560,'Main Data'!M561:M1560,'Main Data'!N561:N1560),{2,3,4,5},0)</f>
        <v>28</v>
      </c>
      <c r="G564" t="str">
        <v>Female</v>
      </c>
      <c r="H564" t="str">
        <v>Japan</v>
      </c>
      <c r="I564">
        <v>3.48</v>
      </c>
      <c r="L564" s="6" t="s">
        <v>1175</v>
      </c>
      <c r="M564" t="str" cm="1">
        <f t="array" ref="M564:O564">INDEX('Main Data'!A561:O1560,MATCH(L564,'Main Data'!A561:A1560,0),{3,7,14})</f>
        <v>Female</v>
      </c>
      <c r="N564">
        <v>148034.73000000001</v>
      </c>
      <c r="O564">
        <v>3.48</v>
      </c>
    </row>
    <row r="565" spans="1:15" x14ac:dyDescent="0.3">
      <c r="A565" s="6" t="s">
        <v>1177</v>
      </c>
      <c r="B565" cm="1">
        <f t="array" ref="B565:C565">_xlfn.XLOOKUP(A565,'Main Data'!A562:A1561,'Main Data'!B562:C1561,"Data Not Found",0)</f>
        <v>42</v>
      </c>
      <c r="C565" t="str">
        <v>Other</v>
      </c>
      <c r="E565" s="6" t="s">
        <v>1177</v>
      </c>
      <c r="F565" cm="1">
        <f t="array" ref="F565:I565">VLOOKUP(E565,CHOOSE({1,2,3,4,5},'Main Data'!A562:A1561,'Main Data'!B562:B1561,'Main Data'!C562:C1561,'Main Data'!M562:M1561,'Main Data'!N562:N1561),{2,3,4,5},0)</f>
        <v>42</v>
      </c>
      <c r="G565" t="str">
        <v>Other</v>
      </c>
      <c r="H565" t="str">
        <v>USA</v>
      </c>
      <c r="I565">
        <v>2.27</v>
      </c>
      <c r="L565" s="6" t="s">
        <v>1177</v>
      </c>
      <c r="M565" t="str" cm="1">
        <f t="array" ref="M565:O565">INDEX('Main Data'!A562:O1561,MATCH(L565,'Main Data'!A562:A1561,0),{3,7,14})</f>
        <v>Other</v>
      </c>
      <c r="N565">
        <v>184148.21</v>
      </c>
      <c r="O565">
        <v>2.27</v>
      </c>
    </row>
    <row r="566" spans="1:15" x14ac:dyDescent="0.3">
      <c r="A566" s="6" t="s">
        <v>1179</v>
      </c>
      <c r="B566" cm="1">
        <f t="array" ref="B566:C566">_xlfn.XLOOKUP(A566,'Main Data'!A563:A1562,'Main Data'!B563:C1562,"Data Not Found",0)</f>
        <v>28</v>
      </c>
      <c r="C566" t="str">
        <v>Other</v>
      </c>
      <c r="E566" s="6" t="s">
        <v>1179</v>
      </c>
      <c r="F566" cm="1">
        <f t="array" ref="F566:I566">VLOOKUP(E566,CHOOSE({1,2,3,4,5},'Main Data'!A563:A1562,'Main Data'!B563:B1562,'Main Data'!C563:C1562,'Main Data'!M563:M1562,'Main Data'!N563:N1562),{2,3,4,5},0)</f>
        <v>28</v>
      </c>
      <c r="G566" t="str">
        <v>Other</v>
      </c>
      <c r="H566" t="str">
        <v>France</v>
      </c>
      <c r="I566">
        <v>3.61</v>
      </c>
      <c r="L566" s="6" t="s">
        <v>1179</v>
      </c>
      <c r="M566" t="str" cm="1">
        <f t="array" ref="M566:O566">INDEX('Main Data'!A563:O1562,MATCH(L566,'Main Data'!A563:A1562,0),{3,7,14})</f>
        <v>Other</v>
      </c>
      <c r="N566">
        <v>75235.11</v>
      </c>
      <c r="O566">
        <v>3.61</v>
      </c>
    </row>
    <row r="567" spans="1:15" x14ac:dyDescent="0.3">
      <c r="A567" s="6" t="s">
        <v>1181</v>
      </c>
      <c r="B567" cm="1">
        <f t="array" ref="B567:C567">_xlfn.XLOOKUP(A567,'Main Data'!A564:A1563,'Main Data'!B564:C1563,"Data Not Found",0)</f>
        <v>50</v>
      </c>
      <c r="C567" t="str">
        <v>Other</v>
      </c>
      <c r="E567" s="6" t="s">
        <v>1181</v>
      </c>
      <c r="F567" cm="1">
        <f t="array" ref="F567:I567">VLOOKUP(E567,CHOOSE({1,2,3,4,5},'Main Data'!A564:A1563,'Main Data'!B564:B1563,'Main Data'!C564:C1563,'Main Data'!M564:M1563,'Main Data'!N564:N1563),{2,3,4,5},0)</f>
        <v>50</v>
      </c>
      <c r="G567" t="str">
        <v>Other</v>
      </c>
      <c r="H567" t="str">
        <v>UK</v>
      </c>
      <c r="I567">
        <v>4.91</v>
      </c>
      <c r="L567" s="6" t="s">
        <v>1181</v>
      </c>
      <c r="M567" t="str" cm="1">
        <f t="array" ref="M567:O567">INDEX('Main Data'!A564:O1563,MATCH(L567,'Main Data'!A564:A1563,0),{3,7,14})</f>
        <v>Other</v>
      </c>
      <c r="N567">
        <v>113352.93</v>
      </c>
      <c r="O567">
        <v>4.91</v>
      </c>
    </row>
    <row r="568" spans="1:15" x14ac:dyDescent="0.3">
      <c r="A568" s="6" t="s">
        <v>1183</v>
      </c>
      <c r="B568" cm="1">
        <f t="array" ref="B568:C568">_xlfn.XLOOKUP(A568,'Main Data'!A565:A1564,'Main Data'!B565:C1564,"Data Not Found",0)</f>
        <v>28</v>
      </c>
      <c r="C568" t="str">
        <v>Male</v>
      </c>
      <c r="E568" s="6" t="s">
        <v>1183</v>
      </c>
      <c r="F568" cm="1">
        <f t="array" ref="F568:I568">VLOOKUP(E568,CHOOSE({1,2,3,4,5},'Main Data'!A565:A1564,'Main Data'!B565:B1564,'Main Data'!C565:C1564,'Main Data'!M565:M1564,'Main Data'!N565:N1564),{2,3,4,5},0)</f>
        <v>28</v>
      </c>
      <c r="G568" t="str">
        <v>Male</v>
      </c>
      <c r="H568" t="str">
        <v>UAE</v>
      </c>
      <c r="I568">
        <v>1.9</v>
      </c>
      <c r="L568" s="6" t="s">
        <v>1183</v>
      </c>
      <c r="M568" t="str" cm="1">
        <f t="array" ref="M568:O568">INDEX('Main Data'!A565:O1564,MATCH(L568,'Main Data'!A565:A1564,0),{3,7,14})</f>
        <v>Male</v>
      </c>
      <c r="N568">
        <v>152013.65</v>
      </c>
      <c r="O568">
        <v>1.9</v>
      </c>
    </row>
    <row r="569" spans="1:15" x14ac:dyDescent="0.3">
      <c r="A569" s="6" t="s">
        <v>1185</v>
      </c>
      <c r="B569" cm="1">
        <f t="array" ref="B569:C569">_xlfn.XLOOKUP(A569,'Main Data'!A566:A1565,'Main Data'!B566:C1565,"Data Not Found",0)</f>
        <v>24</v>
      </c>
      <c r="C569" t="str">
        <v>Other</v>
      </c>
      <c r="E569" s="6" t="s">
        <v>1185</v>
      </c>
      <c r="F569" cm="1">
        <f t="array" ref="F569:I569">VLOOKUP(E569,CHOOSE({1,2,3,4,5},'Main Data'!A566:A1565,'Main Data'!B566:B1565,'Main Data'!C566:C1565,'Main Data'!M566:M1565,'Main Data'!N566:N1565),{2,3,4,5},0)</f>
        <v>24</v>
      </c>
      <c r="G569" t="str">
        <v>Other</v>
      </c>
      <c r="H569" t="str">
        <v>Japan</v>
      </c>
      <c r="I569">
        <v>4.87</v>
      </c>
      <c r="L569" s="6" t="s">
        <v>1185</v>
      </c>
      <c r="M569" t="str" cm="1">
        <f t="array" ref="M569:O569">INDEX('Main Data'!A566:O1565,MATCH(L569,'Main Data'!A566:A1565,0),{3,7,14})</f>
        <v>Other</v>
      </c>
      <c r="N569">
        <v>102467.66</v>
      </c>
      <c r="O569">
        <v>4.87</v>
      </c>
    </row>
    <row r="570" spans="1:15" x14ac:dyDescent="0.3">
      <c r="A570" s="6" t="s">
        <v>1187</v>
      </c>
      <c r="B570" cm="1">
        <f t="array" ref="B570:C570">_xlfn.XLOOKUP(A570,'Main Data'!A567:A1566,'Main Data'!B567:C1566,"Data Not Found",0)</f>
        <v>50</v>
      </c>
      <c r="C570" t="str">
        <v>Other</v>
      </c>
      <c r="E570" s="6" t="s">
        <v>1187</v>
      </c>
      <c r="F570" cm="1">
        <f t="array" ref="F570:I570">VLOOKUP(E570,CHOOSE({1,2,3,4,5},'Main Data'!A567:A1566,'Main Data'!B567:B1566,'Main Data'!C567:C1566,'Main Data'!M567:M1566,'Main Data'!N567:N1566),{2,3,4,5},0)</f>
        <v>50</v>
      </c>
      <c r="G570" t="str">
        <v>Other</v>
      </c>
      <c r="H570" t="str">
        <v>USA</v>
      </c>
      <c r="I570">
        <v>1.27</v>
      </c>
      <c r="L570" s="6" t="s">
        <v>1187</v>
      </c>
      <c r="M570" t="str" cm="1">
        <f t="array" ref="M570:O570">INDEX('Main Data'!A567:O1566,MATCH(L570,'Main Data'!A567:A1566,0),{3,7,14})</f>
        <v>Other</v>
      </c>
      <c r="N570">
        <v>149240.94</v>
      </c>
      <c r="O570">
        <v>1.27</v>
      </c>
    </row>
    <row r="571" spans="1:15" x14ac:dyDescent="0.3">
      <c r="A571" s="6" t="s">
        <v>1189</v>
      </c>
      <c r="B571" cm="1">
        <f t="array" ref="B571:C571">_xlfn.XLOOKUP(A571,'Main Data'!A568:A1567,'Main Data'!B568:C1567,"Data Not Found",0)</f>
        <v>50</v>
      </c>
      <c r="C571" t="str">
        <v>Male</v>
      </c>
      <c r="E571" s="6" t="s">
        <v>1189</v>
      </c>
      <c r="F571" cm="1">
        <f t="array" ref="F571:I571">VLOOKUP(E571,CHOOSE({1,2,3,4,5},'Main Data'!A568:A1567,'Main Data'!B568:B1567,'Main Data'!C568:C1567,'Main Data'!M568:M1567,'Main Data'!N568:N1567),{2,3,4,5},0)</f>
        <v>50</v>
      </c>
      <c r="G571" t="str">
        <v>Male</v>
      </c>
      <c r="H571" t="str">
        <v>France</v>
      </c>
      <c r="I571">
        <v>4.8099999999999996</v>
      </c>
      <c r="L571" s="6" t="s">
        <v>1189</v>
      </c>
      <c r="M571" t="str" cm="1">
        <f t="array" ref="M571:O571">INDEX('Main Data'!A568:O1567,MATCH(L571,'Main Data'!A568:A1567,0),{3,7,14})</f>
        <v>Male</v>
      </c>
      <c r="N571">
        <v>103959.8</v>
      </c>
      <c r="O571">
        <v>4.8099999999999996</v>
      </c>
    </row>
    <row r="572" spans="1:15" x14ac:dyDescent="0.3">
      <c r="A572" s="6" t="s">
        <v>1191</v>
      </c>
      <c r="B572" cm="1">
        <f t="array" ref="B572:C572">_xlfn.XLOOKUP(A572,'Main Data'!A569:A1568,'Main Data'!B569:C1568,"Data Not Found",0)</f>
        <v>60</v>
      </c>
      <c r="C572" t="str">
        <v>Other</v>
      </c>
      <c r="E572" s="6" t="s">
        <v>1191</v>
      </c>
      <c r="F572" cm="1">
        <f t="array" ref="F572:I572">VLOOKUP(E572,CHOOSE({1,2,3,4,5},'Main Data'!A569:A1568,'Main Data'!B569:B1568,'Main Data'!C569:C1568,'Main Data'!M569:M1568,'Main Data'!N569:N1568),{2,3,4,5},0)</f>
        <v>60</v>
      </c>
      <c r="G572" t="str">
        <v>Other</v>
      </c>
      <c r="H572" t="str">
        <v>UK</v>
      </c>
      <c r="I572">
        <v>3.77</v>
      </c>
      <c r="L572" s="6" t="s">
        <v>1191</v>
      </c>
      <c r="M572" t="str" cm="1">
        <f t="array" ref="M572:O572">INDEX('Main Data'!A569:O1568,MATCH(L572,'Main Data'!A569:A1568,0),{3,7,14})</f>
        <v>Other</v>
      </c>
      <c r="N572">
        <v>76806.81</v>
      </c>
      <c r="O572">
        <v>3.77</v>
      </c>
    </row>
    <row r="573" spans="1:15" x14ac:dyDescent="0.3">
      <c r="A573" s="6" t="s">
        <v>1193</v>
      </c>
      <c r="B573" cm="1">
        <f t="array" ref="B573:C573">_xlfn.XLOOKUP(A573,'Main Data'!A570:A1569,'Main Data'!B570:C1569,"Data Not Found",0)</f>
        <v>59</v>
      </c>
      <c r="C573" t="str">
        <v>Other</v>
      </c>
      <c r="E573" s="6" t="s">
        <v>1193</v>
      </c>
      <c r="F573" cm="1">
        <f t="array" ref="F573:I573">VLOOKUP(E573,CHOOSE({1,2,3,4,5},'Main Data'!A570:A1569,'Main Data'!B570:B1569,'Main Data'!C570:C1569,'Main Data'!M570:M1569,'Main Data'!N570:N1569),{2,3,4,5},0)</f>
        <v>59</v>
      </c>
      <c r="G573" t="str">
        <v>Other</v>
      </c>
      <c r="H573" t="str">
        <v>UAE</v>
      </c>
      <c r="I573">
        <v>1.04</v>
      </c>
      <c r="L573" s="6" t="s">
        <v>1193</v>
      </c>
      <c r="M573" t="str" cm="1">
        <f t="array" ref="M573:O573">INDEX('Main Data'!A570:O1569,MATCH(L573,'Main Data'!A570:A1569,0),{3,7,14})</f>
        <v>Other</v>
      </c>
      <c r="N573">
        <v>130105.82</v>
      </c>
      <c r="O573">
        <v>1.04</v>
      </c>
    </row>
    <row r="574" spans="1:15" x14ac:dyDescent="0.3">
      <c r="A574" s="6" t="s">
        <v>1195</v>
      </c>
      <c r="B574" cm="1">
        <f t="array" ref="B574:C574">_xlfn.XLOOKUP(A574,'Main Data'!A571:A1570,'Main Data'!B571:C1570,"Data Not Found",0)</f>
        <v>27</v>
      </c>
      <c r="C574" t="str">
        <v>Male</v>
      </c>
      <c r="E574" s="6" t="s">
        <v>1195</v>
      </c>
      <c r="F574" cm="1">
        <f t="array" ref="F574:I574">VLOOKUP(E574,CHOOSE({1,2,3,4,5},'Main Data'!A571:A1570,'Main Data'!B571:B1570,'Main Data'!C571:C1570,'Main Data'!M571:M1570,'Main Data'!N571:N1570),{2,3,4,5},0)</f>
        <v>27</v>
      </c>
      <c r="G574" t="str">
        <v>Male</v>
      </c>
      <c r="H574" t="str">
        <v>Japan</v>
      </c>
      <c r="I574">
        <v>3.96</v>
      </c>
      <c r="L574" s="6" t="s">
        <v>1195</v>
      </c>
      <c r="M574" t="str" cm="1">
        <f t="array" ref="M574:O574">INDEX('Main Data'!A571:O1570,MATCH(L574,'Main Data'!A571:A1570,0),{3,7,14})</f>
        <v>Male</v>
      </c>
      <c r="N574">
        <v>52307.44</v>
      </c>
      <c r="O574">
        <v>3.96</v>
      </c>
    </row>
    <row r="575" spans="1:15" x14ac:dyDescent="0.3">
      <c r="A575" s="6" t="s">
        <v>1197</v>
      </c>
      <c r="B575" cm="1">
        <f t="array" ref="B575:C575">_xlfn.XLOOKUP(A575,'Main Data'!A572:A1571,'Main Data'!B572:C1571,"Data Not Found",0)</f>
        <v>31</v>
      </c>
      <c r="C575" t="str">
        <v>Male</v>
      </c>
      <c r="E575" s="6" t="s">
        <v>1197</v>
      </c>
      <c r="F575" cm="1">
        <f t="array" ref="F575:I575">VLOOKUP(E575,CHOOSE({1,2,3,4,5},'Main Data'!A572:A1571,'Main Data'!B572:B1571,'Main Data'!C572:C1571,'Main Data'!M572:M1571,'Main Data'!N572:N1571),{2,3,4,5},0)</f>
        <v>31</v>
      </c>
      <c r="G575" t="str">
        <v>Male</v>
      </c>
      <c r="H575" t="str">
        <v>USA</v>
      </c>
      <c r="I575">
        <v>1.88</v>
      </c>
      <c r="L575" s="6" t="s">
        <v>1197</v>
      </c>
      <c r="M575" t="str" cm="1">
        <f t="array" ref="M575:O575">INDEX('Main Data'!A572:O1571,MATCH(L575,'Main Data'!A572:A1571,0),{3,7,14})</f>
        <v>Male</v>
      </c>
      <c r="N575">
        <v>107761.93</v>
      </c>
      <c r="O575">
        <v>1.88</v>
      </c>
    </row>
    <row r="576" spans="1:15" x14ac:dyDescent="0.3">
      <c r="A576" s="6" t="s">
        <v>1199</v>
      </c>
      <c r="B576" cm="1">
        <f t="array" ref="B576:C576">_xlfn.XLOOKUP(A576,'Main Data'!A573:A1572,'Main Data'!B573:C1572,"Data Not Found",0)</f>
        <v>58</v>
      </c>
      <c r="C576" t="str">
        <v>Male</v>
      </c>
      <c r="E576" s="6" t="s">
        <v>1199</v>
      </c>
      <c r="F576" cm="1">
        <f t="array" ref="F576:I576">VLOOKUP(E576,CHOOSE({1,2,3,4,5},'Main Data'!A573:A1572,'Main Data'!B573:B1572,'Main Data'!C573:C1572,'Main Data'!M573:M1572,'Main Data'!N573:N1572),{2,3,4,5},0)</f>
        <v>58</v>
      </c>
      <c r="G576" t="str">
        <v>Male</v>
      </c>
      <c r="H576" t="str">
        <v>France</v>
      </c>
      <c r="I576">
        <v>3.95</v>
      </c>
      <c r="L576" s="6" t="s">
        <v>1199</v>
      </c>
      <c r="M576" t="str" cm="1">
        <f t="array" ref="M576:O576">INDEX('Main Data'!A573:O1572,MATCH(L576,'Main Data'!A573:A1572,0),{3,7,14})</f>
        <v>Male</v>
      </c>
      <c r="N576">
        <v>152804.75</v>
      </c>
      <c r="O576">
        <v>3.95</v>
      </c>
    </row>
    <row r="577" spans="1:15" x14ac:dyDescent="0.3">
      <c r="A577" s="6" t="s">
        <v>1201</v>
      </c>
      <c r="B577" cm="1">
        <f t="array" ref="B577:C577">_xlfn.XLOOKUP(A577,'Main Data'!A574:A1573,'Main Data'!B574:C1573,"Data Not Found",0)</f>
        <v>35</v>
      </c>
      <c r="C577" t="str">
        <v>Female</v>
      </c>
      <c r="E577" s="6" t="s">
        <v>1201</v>
      </c>
      <c r="F577" cm="1">
        <f t="array" ref="F577:I577">VLOOKUP(E577,CHOOSE({1,2,3,4,5},'Main Data'!A574:A1573,'Main Data'!B574:B1573,'Main Data'!C574:C1573,'Main Data'!M574:M1573,'Main Data'!N574:N1573),{2,3,4,5},0)</f>
        <v>35</v>
      </c>
      <c r="G577" t="str">
        <v>Female</v>
      </c>
      <c r="H577" t="str">
        <v>UK</v>
      </c>
      <c r="I577">
        <v>2.36</v>
      </c>
      <c r="L577" s="6" t="s">
        <v>1201</v>
      </c>
      <c r="M577" t="str" cm="1">
        <f t="array" ref="M577:O577">INDEX('Main Data'!A574:O1573,MATCH(L577,'Main Data'!A574:A1573,0),{3,7,14})</f>
        <v>Female</v>
      </c>
      <c r="N577">
        <v>89658.78</v>
      </c>
      <c r="O577">
        <v>2.36</v>
      </c>
    </row>
    <row r="578" spans="1:15" x14ac:dyDescent="0.3">
      <c r="A578" s="6" t="s">
        <v>1203</v>
      </c>
      <c r="B578" cm="1">
        <f t="array" ref="B578:C578">_xlfn.XLOOKUP(A578,'Main Data'!A575:A1574,'Main Data'!B575:C1574,"Data Not Found",0)</f>
        <v>43</v>
      </c>
      <c r="C578" t="str">
        <v>Male</v>
      </c>
      <c r="E578" s="6" t="s">
        <v>1203</v>
      </c>
      <c r="F578" cm="1">
        <f t="array" ref="F578:I578">VLOOKUP(E578,CHOOSE({1,2,3,4,5},'Main Data'!A575:A1574,'Main Data'!B575:B1574,'Main Data'!C575:C1574,'Main Data'!M575:M1574,'Main Data'!N575:N1574),{2,3,4,5},0)</f>
        <v>43</v>
      </c>
      <c r="G578" t="str">
        <v>Male</v>
      </c>
      <c r="H578" t="str">
        <v>UAE</v>
      </c>
      <c r="I578">
        <v>4.83</v>
      </c>
      <c r="L578" s="6" t="s">
        <v>1203</v>
      </c>
      <c r="M578" t="str" cm="1">
        <f t="array" ref="M578:O578">INDEX('Main Data'!A575:O1574,MATCH(L578,'Main Data'!A575:A1574,0),{3,7,14})</f>
        <v>Male</v>
      </c>
      <c r="N578">
        <v>158924.78</v>
      </c>
      <c r="O578">
        <v>4.83</v>
      </c>
    </row>
    <row r="579" spans="1:15" x14ac:dyDescent="0.3">
      <c r="A579" s="6" t="s">
        <v>1205</v>
      </c>
      <c r="B579" cm="1">
        <f t="array" ref="B579:C579">_xlfn.XLOOKUP(A579,'Main Data'!A576:A1575,'Main Data'!B576:C1575,"Data Not Found",0)</f>
        <v>53</v>
      </c>
      <c r="C579" t="str">
        <v>Female</v>
      </c>
      <c r="E579" s="6" t="s">
        <v>1205</v>
      </c>
      <c r="F579" cm="1">
        <f t="array" ref="F579:I579">VLOOKUP(E579,CHOOSE({1,2,3,4,5},'Main Data'!A576:A1575,'Main Data'!B576:B1575,'Main Data'!C576:C1575,'Main Data'!M576:M1575,'Main Data'!N576:N1575),{2,3,4,5},0)</f>
        <v>53</v>
      </c>
      <c r="G579" t="str">
        <v>Female</v>
      </c>
      <c r="H579" t="str">
        <v>Japan</v>
      </c>
      <c r="I579">
        <v>3.4</v>
      </c>
      <c r="L579" s="6" t="s">
        <v>1205</v>
      </c>
      <c r="M579" t="str" cm="1">
        <f t="array" ref="M579:O579">INDEX('Main Data'!A576:O1575,MATCH(L579,'Main Data'!A576:A1575,0),{3,7,14})</f>
        <v>Female</v>
      </c>
      <c r="N579">
        <v>123959.3</v>
      </c>
      <c r="O579">
        <v>3.4</v>
      </c>
    </row>
    <row r="580" spans="1:15" x14ac:dyDescent="0.3">
      <c r="A580" s="6" t="s">
        <v>1207</v>
      </c>
      <c r="B580" cm="1">
        <f t="array" ref="B580:C580">_xlfn.XLOOKUP(A580,'Main Data'!A577:A1576,'Main Data'!B577:C1576,"Data Not Found",0)</f>
        <v>39</v>
      </c>
      <c r="C580" t="str">
        <v>Female</v>
      </c>
      <c r="E580" s="6" t="s">
        <v>1207</v>
      </c>
      <c r="F580" cm="1">
        <f t="array" ref="F580:I580">VLOOKUP(E580,CHOOSE({1,2,3,4,5},'Main Data'!A577:A1576,'Main Data'!B577:B1576,'Main Data'!C577:C1576,'Main Data'!M577:M1576,'Main Data'!N577:N1576),{2,3,4,5},0)</f>
        <v>39</v>
      </c>
      <c r="G580" t="str">
        <v>Female</v>
      </c>
      <c r="H580" t="str">
        <v>USA</v>
      </c>
      <c r="I580">
        <v>3.91</v>
      </c>
      <c r="L580" s="6" t="s">
        <v>1207</v>
      </c>
      <c r="M580" t="str" cm="1">
        <f t="array" ref="M580:O580">INDEX('Main Data'!A577:O1576,MATCH(L580,'Main Data'!A577:A1576,0),{3,7,14})</f>
        <v>Female</v>
      </c>
      <c r="N580">
        <v>93166.6</v>
      </c>
      <c r="O580">
        <v>3.91</v>
      </c>
    </row>
    <row r="581" spans="1:15" x14ac:dyDescent="0.3">
      <c r="A581" s="6" t="s">
        <v>1209</v>
      </c>
      <c r="B581" cm="1">
        <f t="array" ref="B581:C581">_xlfn.XLOOKUP(A581,'Main Data'!A578:A1577,'Main Data'!B578:C1577,"Data Not Found",0)</f>
        <v>57</v>
      </c>
      <c r="C581" t="str">
        <v>Male</v>
      </c>
      <c r="E581" s="6" t="s">
        <v>1209</v>
      </c>
      <c r="F581" cm="1">
        <f t="array" ref="F581:I581">VLOOKUP(E581,CHOOSE({1,2,3,4,5},'Main Data'!A578:A1577,'Main Data'!B578:B1577,'Main Data'!C578:C1577,'Main Data'!M578:M1577,'Main Data'!N578:N1577),{2,3,4,5},0)</f>
        <v>57</v>
      </c>
      <c r="G581" t="str">
        <v>Male</v>
      </c>
      <c r="H581" t="str">
        <v>France</v>
      </c>
      <c r="I581">
        <v>1.79</v>
      </c>
      <c r="L581" s="6" t="s">
        <v>1209</v>
      </c>
      <c r="M581" t="str" cm="1">
        <f t="array" ref="M581:O581">INDEX('Main Data'!A578:O1577,MATCH(L581,'Main Data'!A578:A1577,0),{3,7,14})</f>
        <v>Male</v>
      </c>
      <c r="N581">
        <v>114703.67</v>
      </c>
      <c r="O581">
        <v>1.79</v>
      </c>
    </row>
    <row r="582" spans="1:15" x14ac:dyDescent="0.3">
      <c r="A582" s="6" t="s">
        <v>1211</v>
      </c>
      <c r="B582" cm="1">
        <f t="array" ref="B582:C582">_xlfn.XLOOKUP(A582,'Main Data'!A579:A1578,'Main Data'!B579:C1578,"Data Not Found",0)</f>
        <v>30</v>
      </c>
      <c r="C582" t="str">
        <v>Female</v>
      </c>
      <c r="E582" s="6" t="s">
        <v>1211</v>
      </c>
      <c r="F582" cm="1">
        <f t="array" ref="F582:I582">VLOOKUP(E582,CHOOSE({1,2,3,4,5},'Main Data'!A579:A1578,'Main Data'!B579:B1578,'Main Data'!C579:C1578,'Main Data'!M579:M1578,'Main Data'!N579:N1578),{2,3,4,5},0)</f>
        <v>30</v>
      </c>
      <c r="G582" t="str">
        <v>Female</v>
      </c>
      <c r="H582" t="str">
        <v>UK</v>
      </c>
      <c r="I582">
        <v>3.66</v>
      </c>
      <c r="L582" s="6" t="s">
        <v>1211</v>
      </c>
      <c r="M582" t="str" cm="1">
        <f t="array" ref="M582:O582">INDEX('Main Data'!A579:O1578,MATCH(L582,'Main Data'!A579:A1578,0),{3,7,14})</f>
        <v>Female</v>
      </c>
      <c r="N582">
        <v>59843.18</v>
      </c>
      <c r="O582">
        <v>3.66</v>
      </c>
    </row>
    <row r="583" spans="1:15" x14ac:dyDescent="0.3">
      <c r="A583" s="6" t="s">
        <v>1213</v>
      </c>
      <c r="B583" cm="1">
        <f t="array" ref="B583:C583">_xlfn.XLOOKUP(A583,'Main Data'!A580:A1579,'Main Data'!B580:C1579,"Data Not Found",0)</f>
        <v>47</v>
      </c>
      <c r="C583" t="str">
        <v>Other</v>
      </c>
      <c r="E583" s="6" t="s">
        <v>1213</v>
      </c>
      <c r="F583" cm="1">
        <f t="array" ref="F583:I583">VLOOKUP(E583,CHOOSE({1,2,3,4,5},'Main Data'!A580:A1579,'Main Data'!B580:B1579,'Main Data'!C580:C1579,'Main Data'!M580:M1579,'Main Data'!N580:N1579),{2,3,4,5},0)</f>
        <v>47</v>
      </c>
      <c r="G583" t="str">
        <v>Other</v>
      </c>
      <c r="H583" t="str">
        <v>UAE</v>
      </c>
      <c r="I583">
        <v>3.56</v>
      </c>
      <c r="L583" s="6" t="s">
        <v>1213</v>
      </c>
      <c r="M583" t="str" cm="1">
        <f t="array" ref="M583:O583">INDEX('Main Data'!A580:O1579,MATCH(L583,'Main Data'!A580:A1579,0),{3,7,14})</f>
        <v>Other</v>
      </c>
      <c r="N583">
        <v>122224.49</v>
      </c>
      <c r="O583">
        <v>3.56</v>
      </c>
    </row>
    <row r="584" spans="1:15" x14ac:dyDescent="0.3">
      <c r="A584" s="6" t="s">
        <v>1215</v>
      </c>
      <c r="B584" cm="1">
        <f t="array" ref="B584:C584">_xlfn.XLOOKUP(A584,'Main Data'!A581:A1580,'Main Data'!B581:C1580,"Data Not Found",0)</f>
        <v>43</v>
      </c>
      <c r="C584" t="str">
        <v>Other</v>
      </c>
      <c r="E584" s="6" t="s">
        <v>1215</v>
      </c>
      <c r="F584" cm="1">
        <f t="array" ref="F584:I584">VLOOKUP(E584,CHOOSE({1,2,3,4,5},'Main Data'!A581:A1580,'Main Data'!B581:B1580,'Main Data'!C581:C1580,'Main Data'!M581:M1580,'Main Data'!N581:N1580),{2,3,4,5},0)</f>
        <v>43</v>
      </c>
      <c r="G584" t="str">
        <v>Other</v>
      </c>
      <c r="H584" t="str">
        <v>Japan</v>
      </c>
      <c r="I584">
        <v>4.66</v>
      </c>
      <c r="L584" s="6" t="s">
        <v>1215</v>
      </c>
      <c r="M584" t="str" cm="1">
        <f t="array" ref="M584:O584">INDEX('Main Data'!A581:O1580,MATCH(L584,'Main Data'!A581:A1580,0),{3,7,14})</f>
        <v>Other</v>
      </c>
      <c r="N584">
        <v>111441.57</v>
      </c>
      <c r="O584">
        <v>4.66</v>
      </c>
    </row>
    <row r="585" spans="1:15" x14ac:dyDescent="0.3">
      <c r="A585" s="6" t="s">
        <v>1217</v>
      </c>
      <c r="B585" cm="1">
        <f t="array" ref="B585:C585">_xlfn.XLOOKUP(A585,'Main Data'!A582:A1581,'Main Data'!B582:C1581,"Data Not Found",0)</f>
        <v>59</v>
      </c>
      <c r="C585" t="str">
        <v>Male</v>
      </c>
      <c r="E585" s="6" t="s">
        <v>1217</v>
      </c>
      <c r="F585" cm="1">
        <f t="array" ref="F585:I585">VLOOKUP(E585,CHOOSE({1,2,3,4,5},'Main Data'!A582:A1581,'Main Data'!B582:B1581,'Main Data'!C582:C1581,'Main Data'!M582:M1581,'Main Data'!N582:N1581),{2,3,4,5},0)</f>
        <v>59</v>
      </c>
      <c r="G585" t="str">
        <v>Male</v>
      </c>
      <c r="H585" t="str">
        <v>USA</v>
      </c>
      <c r="I585">
        <v>1.43</v>
      </c>
      <c r="L585" s="6" t="s">
        <v>1217</v>
      </c>
      <c r="M585" t="str" cm="1">
        <f t="array" ref="M585:O585">INDEX('Main Data'!A582:O1581,MATCH(L585,'Main Data'!A582:A1581,0),{3,7,14})</f>
        <v>Male</v>
      </c>
      <c r="N585">
        <v>119168.51</v>
      </c>
      <c r="O585">
        <v>1.43</v>
      </c>
    </row>
    <row r="586" spans="1:15" x14ac:dyDescent="0.3">
      <c r="A586" s="6" t="s">
        <v>1219</v>
      </c>
      <c r="B586" cm="1">
        <f t="array" ref="B586:C586">_xlfn.XLOOKUP(A586,'Main Data'!A583:A1582,'Main Data'!B583:C1582,"Data Not Found",0)</f>
        <v>44</v>
      </c>
      <c r="C586" t="str">
        <v>Female</v>
      </c>
      <c r="E586" s="6" t="s">
        <v>1219</v>
      </c>
      <c r="F586" cm="1">
        <f t="array" ref="F586:I586">VLOOKUP(E586,CHOOSE({1,2,3,4,5},'Main Data'!A583:A1582,'Main Data'!B583:B1582,'Main Data'!C583:C1582,'Main Data'!M583:M1582,'Main Data'!N583:N1582),{2,3,4,5},0)</f>
        <v>44</v>
      </c>
      <c r="G586" t="str">
        <v>Female</v>
      </c>
      <c r="H586" t="str">
        <v>France</v>
      </c>
      <c r="I586">
        <v>2.82</v>
      </c>
      <c r="L586" s="6" t="s">
        <v>1219</v>
      </c>
      <c r="M586" t="str" cm="1">
        <f t="array" ref="M586:O586">INDEX('Main Data'!A583:O1582,MATCH(L586,'Main Data'!A583:A1582,0),{3,7,14})</f>
        <v>Female</v>
      </c>
      <c r="N586">
        <v>65315.76</v>
      </c>
      <c r="O586">
        <v>2.82</v>
      </c>
    </row>
    <row r="587" spans="1:15" x14ac:dyDescent="0.3">
      <c r="A587" s="6" t="s">
        <v>1221</v>
      </c>
      <c r="B587" cm="1">
        <f t="array" ref="B587:C587">_xlfn.XLOOKUP(A587,'Main Data'!A584:A1583,'Main Data'!B584:C1583,"Data Not Found",0)</f>
        <v>38</v>
      </c>
      <c r="C587" t="str">
        <v>Other</v>
      </c>
      <c r="E587" s="6" t="s">
        <v>1221</v>
      </c>
      <c r="F587" cm="1">
        <f t="array" ref="F587:I587">VLOOKUP(E587,CHOOSE({1,2,3,4,5},'Main Data'!A584:A1583,'Main Data'!B584:B1583,'Main Data'!C584:C1583,'Main Data'!M584:M1583,'Main Data'!N584:N1583),{2,3,4,5},0)</f>
        <v>38</v>
      </c>
      <c r="G587" t="str">
        <v>Other</v>
      </c>
      <c r="H587" t="str">
        <v>UK</v>
      </c>
      <c r="I587">
        <v>3.25</v>
      </c>
      <c r="L587" s="6" t="s">
        <v>1221</v>
      </c>
      <c r="M587" t="str" cm="1">
        <f t="array" ref="M587:O587">INDEX('Main Data'!A584:O1583,MATCH(L587,'Main Data'!A584:A1583,0),{3,7,14})</f>
        <v>Other</v>
      </c>
      <c r="N587">
        <v>54137.82</v>
      </c>
      <c r="O587">
        <v>3.25</v>
      </c>
    </row>
    <row r="588" spans="1:15" x14ac:dyDescent="0.3">
      <c r="A588" s="6" t="s">
        <v>1223</v>
      </c>
      <c r="B588" cm="1">
        <f t="array" ref="B588:C588">_xlfn.XLOOKUP(A588,'Main Data'!A585:A1584,'Main Data'!B585:C1584,"Data Not Found",0)</f>
        <v>47</v>
      </c>
      <c r="C588" t="str">
        <v>Female</v>
      </c>
      <c r="E588" s="6" t="s">
        <v>1223</v>
      </c>
      <c r="F588" cm="1">
        <f t="array" ref="F588:I588">VLOOKUP(E588,CHOOSE({1,2,3,4,5},'Main Data'!A585:A1584,'Main Data'!B585:B1584,'Main Data'!C585:C1584,'Main Data'!M585:M1584,'Main Data'!N585:N1584),{2,3,4,5},0)</f>
        <v>47</v>
      </c>
      <c r="G588" t="str">
        <v>Female</v>
      </c>
      <c r="H588" t="str">
        <v>UAE</v>
      </c>
      <c r="I588">
        <v>3.31</v>
      </c>
      <c r="L588" s="6" t="s">
        <v>1223</v>
      </c>
      <c r="M588" t="str" cm="1">
        <f t="array" ref="M588:O588">INDEX('Main Data'!A585:O1584,MATCH(L588,'Main Data'!A585:A1584,0),{3,7,14})</f>
        <v>Female</v>
      </c>
      <c r="N588">
        <v>69720.009999999995</v>
      </c>
      <c r="O588">
        <v>3.31</v>
      </c>
    </row>
    <row r="589" spans="1:15" x14ac:dyDescent="0.3">
      <c r="A589" s="6" t="s">
        <v>1225</v>
      </c>
      <c r="B589" cm="1">
        <f t="array" ref="B589:C589">_xlfn.XLOOKUP(A589,'Main Data'!A586:A1585,'Main Data'!B586:C1585,"Data Not Found",0)</f>
        <v>59</v>
      </c>
      <c r="C589" t="str">
        <v>Female</v>
      </c>
      <c r="E589" s="6" t="s">
        <v>1225</v>
      </c>
      <c r="F589" cm="1">
        <f t="array" ref="F589:I589">VLOOKUP(E589,CHOOSE({1,2,3,4,5},'Main Data'!A586:A1585,'Main Data'!B586:B1585,'Main Data'!C586:C1585,'Main Data'!M586:M1585,'Main Data'!N586:N1585),{2,3,4,5},0)</f>
        <v>59</v>
      </c>
      <c r="G589" t="str">
        <v>Female</v>
      </c>
      <c r="H589" t="str">
        <v>Japan</v>
      </c>
      <c r="I589">
        <v>4.42</v>
      </c>
      <c r="L589" s="6" t="s">
        <v>1225</v>
      </c>
      <c r="M589" t="str" cm="1">
        <f t="array" ref="M589:O589">INDEX('Main Data'!A586:O1585,MATCH(L589,'Main Data'!A586:A1585,0),{3,7,14})</f>
        <v>Female</v>
      </c>
      <c r="N589">
        <v>96543.07</v>
      </c>
      <c r="O589">
        <v>4.42</v>
      </c>
    </row>
    <row r="590" spans="1:15" x14ac:dyDescent="0.3">
      <c r="A590" s="6" t="s">
        <v>1227</v>
      </c>
      <c r="B590" cm="1">
        <f t="array" ref="B590:C590">_xlfn.XLOOKUP(A590,'Main Data'!A587:A1586,'Main Data'!B587:C1586,"Data Not Found",0)</f>
        <v>23</v>
      </c>
      <c r="C590" t="str">
        <v>Other</v>
      </c>
      <c r="E590" s="6" t="s">
        <v>1227</v>
      </c>
      <c r="F590" cm="1">
        <f t="array" ref="F590:I590">VLOOKUP(E590,CHOOSE({1,2,3,4,5},'Main Data'!A587:A1586,'Main Data'!B587:B1586,'Main Data'!C587:C1586,'Main Data'!M587:M1586,'Main Data'!N587:N1586),{2,3,4,5},0)</f>
        <v>23</v>
      </c>
      <c r="G590" t="str">
        <v>Other</v>
      </c>
      <c r="H590" t="str">
        <v>USA</v>
      </c>
      <c r="I590">
        <v>2.04</v>
      </c>
      <c r="L590" s="6" t="s">
        <v>1227</v>
      </c>
      <c r="M590" t="str" cm="1">
        <f t="array" ref="M590:O590">INDEX('Main Data'!A587:O1586,MATCH(L590,'Main Data'!A587:A1586,0),{3,7,14})</f>
        <v>Other</v>
      </c>
      <c r="N590">
        <v>66204.36</v>
      </c>
      <c r="O590">
        <v>2.04</v>
      </c>
    </row>
    <row r="591" spans="1:15" x14ac:dyDescent="0.3">
      <c r="A591" s="6" t="s">
        <v>1229</v>
      </c>
      <c r="B591" cm="1">
        <f t="array" ref="B591:C591">_xlfn.XLOOKUP(A591,'Main Data'!A588:A1587,'Main Data'!B588:C1587,"Data Not Found",0)</f>
        <v>27</v>
      </c>
      <c r="C591" t="str">
        <v>Male</v>
      </c>
      <c r="E591" s="6" t="s">
        <v>1229</v>
      </c>
      <c r="F591" cm="1">
        <f t="array" ref="F591:I591">VLOOKUP(E591,CHOOSE({1,2,3,4,5},'Main Data'!A588:A1587,'Main Data'!B588:B1587,'Main Data'!C588:C1587,'Main Data'!M588:M1587,'Main Data'!N588:N1587),{2,3,4,5},0)</f>
        <v>27</v>
      </c>
      <c r="G591" t="str">
        <v>Male</v>
      </c>
      <c r="H591" t="str">
        <v>France</v>
      </c>
      <c r="I591">
        <v>2.6</v>
      </c>
      <c r="L591" s="6" t="s">
        <v>1229</v>
      </c>
      <c r="M591" t="str" cm="1">
        <f t="array" ref="M591:O591">INDEX('Main Data'!A588:O1587,MATCH(L591,'Main Data'!A588:A1587,0),{3,7,14})</f>
        <v>Male</v>
      </c>
      <c r="N591">
        <v>165098.76</v>
      </c>
      <c r="O591">
        <v>2.6</v>
      </c>
    </row>
    <row r="592" spans="1:15" x14ac:dyDescent="0.3">
      <c r="A592" s="6" t="s">
        <v>1231</v>
      </c>
      <c r="B592" cm="1">
        <f t="array" ref="B592:C592">_xlfn.XLOOKUP(A592,'Main Data'!A589:A1588,'Main Data'!B589:C1588,"Data Not Found",0)</f>
        <v>28</v>
      </c>
      <c r="C592" t="str">
        <v>Female</v>
      </c>
      <c r="E592" s="6" t="s">
        <v>1231</v>
      </c>
      <c r="F592" cm="1">
        <f t="array" ref="F592:I592">VLOOKUP(E592,CHOOSE({1,2,3,4,5},'Main Data'!A589:A1588,'Main Data'!B589:B1588,'Main Data'!C589:C1588,'Main Data'!M589:M1588,'Main Data'!N589:N1588),{2,3,4,5},0)</f>
        <v>28</v>
      </c>
      <c r="G592" t="str">
        <v>Female</v>
      </c>
      <c r="H592" t="str">
        <v>UK</v>
      </c>
      <c r="I592">
        <v>1.69</v>
      </c>
      <c r="L592" s="6" t="s">
        <v>1231</v>
      </c>
      <c r="M592" t="str" cm="1">
        <f t="array" ref="M592:O592">INDEX('Main Data'!A589:O1588,MATCH(L592,'Main Data'!A589:A1588,0),{3,7,14})</f>
        <v>Female</v>
      </c>
      <c r="N592">
        <v>179512.19</v>
      </c>
      <c r="O592">
        <v>1.69</v>
      </c>
    </row>
    <row r="593" spans="1:15" x14ac:dyDescent="0.3">
      <c r="A593" s="6" t="s">
        <v>1233</v>
      </c>
      <c r="B593" cm="1">
        <f t="array" ref="B593:C593">_xlfn.XLOOKUP(A593,'Main Data'!A590:A1589,'Main Data'!B590:C1589,"Data Not Found",0)</f>
        <v>34</v>
      </c>
      <c r="C593" t="str">
        <v>Other</v>
      </c>
      <c r="E593" s="6" t="s">
        <v>1233</v>
      </c>
      <c r="F593" cm="1">
        <f t="array" ref="F593:I593">VLOOKUP(E593,CHOOSE({1,2,3,4,5},'Main Data'!A590:A1589,'Main Data'!B590:B1589,'Main Data'!C590:C1589,'Main Data'!M590:M1589,'Main Data'!N590:N1589),{2,3,4,5},0)</f>
        <v>34</v>
      </c>
      <c r="G593" t="str">
        <v>Other</v>
      </c>
      <c r="H593" t="str">
        <v>UAE</v>
      </c>
      <c r="I593">
        <v>3.39</v>
      </c>
      <c r="L593" s="6" t="s">
        <v>1233</v>
      </c>
      <c r="M593" t="str" cm="1">
        <f t="array" ref="M593:O593">INDEX('Main Data'!A590:O1589,MATCH(L593,'Main Data'!A590:A1589,0),{3,7,14})</f>
        <v>Other</v>
      </c>
      <c r="N593">
        <v>137398.88</v>
      </c>
      <c r="O593">
        <v>3.39</v>
      </c>
    </row>
    <row r="594" spans="1:15" x14ac:dyDescent="0.3">
      <c r="A594" s="6" t="s">
        <v>1235</v>
      </c>
      <c r="B594" cm="1">
        <f t="array" ref="B594:C594">_xlfn.XLOOKUP(A594,'Main Data'!A591:A1590,'Main Data'!B591:C1590,"Data Not Found",0)</f>
        <v>48</v>
      </c>
      <c r="C594" t="str">
        <v>Male</v>
      </c>
      <c r="E594" s="6" t="s">
        <v>1235</v>
      </c>
      <c r="F594" cm="1">
        <f t="array" ref="F594:I594">VLOOKUP(E594,CHOOSE({1,2,3,4,5},'Main Data'!A591:A1590,'Main Data'!B591:B1590,'Main Data'!C591:C1590,'Main Data'!M591:M1590,'Main Data'!N591:N1590),{2,3,4,5},0)</f>
        <v>48</v>
      </c>
      <c r="G594" t="str">
        <v>Male</v>
      </c>
      <c r="H594" t="str">
        <v>Japan</v>
      </c>
      <c r="I594">
        <v>4.49</v>
      </c>
      <c r="L594" s="6" t="s">
        <v>1235</v>
      </c>
      <c r="M594" t="str" cm="1">
        <f t="array" ref="M594:O594">INDEX('Main Data'!A591:O1590,MATCH(L594,'Main Data'!A591:A1590,0),{3,7,14})</f>
        <v>Male</v>
      </c>
      <c r="N594">
        <v>144189.63</v>
      </c>
      <c r="O594">
        <v>4.49</v>
      </c>
    </row>
    <row r="595" spans="1:15" x14ac:dyDescent="0.3">
      <c r="A595" s="6" t="s">
        <v>1237</v>
      </c>
      <c r="B595" cm="1">
        <f t="array" ref="B595:C595">_xlfn.XLOOKUP(A595,'Main Data'!A592:A1591,'Main Data'!B592:C1591,"Data Not Found",0)</f>
        <v>32</v>
      </c>
      <c r="C595" t="str">
        <v>Female</v>
      </c>
      <c r="E595" s="6" t="s">
        <v>1237</v>
      </c>
      <c r="F595" cm="1">
        <f t="array" ref="F595:I595">VLOOKUP(E595,CHOOSE({1,2,3,4,5},'Main Data'!A592:A1591,'Main Data'!B592:B1591,'Main Data'!C592:C1591,'Main Data'!M592:M1591,'Main Data'!N592:N1591),{2,3,4,5},0)</f>
        <v>32</v>
      </c>
      <c r="G595" t="str">
        <v>Female</v>
      </c>
      <c r="H595" t="str">
        <v>USA</v>
      </c>
      <c r="I595">
        <v>2.91</v>
      </c>
      <c r="L595" s="6" t="s">
        <v>1237</v>
      </c>
      <c r="M595" t="str" cm="1">
        <f t="array" ref="M595:O595">INDEX('Main Data'!A592:O1591,MATCH(L595,'Main Data'!A592:A1591,0),{3,7,14})</f>
        <v>Female</v>
      </c>
      <c r="N595">
        <v>194005.54</v>
      </c>
      <c r="O595">
        <v>2.91</v>
      </c>
    </row>
    <row r="596" spans="1:15" x14ac:dyDescent="0.3">
      <c r="A596" s="6" t="s">
        <v>1239</v>
      </c>
      <c r="B596" cm="1">
        <f t="array" ref="B596:C596">_xlfn.XLOOKUP(A596,'Main Data'!A593:A1592,'Main Data'!B593:C1592,"Data Not Found",0)</f>
        <v>36</v>
      </c>
      <c r="C596" t="str">
        <v>Female</v>
      </c>
      <c r="E596" s="6" t="s">
        <v>1239</v>
      </c>
      <c r="F596" cm="1">
        <f t="array" ref="F596:I596">VLOOKUP(E596,CHOOSE({1,2,3,4,5},'Main Data'!A593:A1592,'Main Data'!B593:B1592,'Main Data'!C593:C1592,'Main Data'!M593:M1592,'Main Data'!N593:N1592),{2,3,4,5},0)</f>
        <v>36</v>
      </c>
      <c r="G596" t="str">
        <v>Female</v>
      </c>
      <c r="H596" t="str">
        <v>France</v>
      </c>
      <c r="I596">
        <v>1.36</v>
      </c>
      <c r="L596" s="6" t="s">
        <v>1239</v>
      </c>
      <c r="M596" t="str" cm="1">
        <f t="array" ref="M596:O596">INDEX('Main Data'!A593:O1592,MATCH(L596,'Main Data'!A593:A1592,0),{3,7,14})</f>
        <v>Female</v>
      </c>
      <c r="N596">
        <v>132712.63</v>
      </c>
      <c r="O596">
        <v>1.36</v>
      </c>
    </row>
    <row r="597" spans="1:15" x14ac:dyDescent="0.3">
      <c r="A597" s="6" t="s">
        <v>1241</v>
      </c>
      <c r="B597" cm="1">
        <f t="array" ref="B597:C597">_xlfn.XLOOKUP(A597,'Main Data'!A594:A1593,'Main Data'!B594:C1593,"Data Not Found",0)</f>
        <v>30</v>
      </c>
      <c r="C597" t="str">
        <v>Female</v>
      </c>
      <c r="E597" s="6" t="s">
        <v>1241</v>
      </c>
      <c r="F597" cm="1">
        <f t="array" ref="F597:I597">VLOOKUP(E597,CHOOSE({1,2,3,4,5},'Main Data'!A594:A1593,'Main Data'!B594:B1593,'Main Data'!C594:C1593,'Main Data'!M594:M1593,'Main Data'!N594:N1593),{2,3,4,5},0)</f>
        <v>30</v>
      </c>
      <c r="G597" t="str">
        <v>Female</v>
      </c>
      <c r="H597" t="str">
        <v>UK</v>
      </c>
      <c r="I597">
        <v>1.74</v>
      </c>
      <c r="L597" s="6" t="s">
        <v>1241</v>
      </c>
      <c r="M597" t="str" cm="1">
        <f t="array" ref="M597:O597">INDEX('Main Data'!A594:O1593,MATCH(L597,'Main Data'!A594:A1593,0),{3,7,14})</f>
        <v>Female</v>
      </c>
      <c r="N597">
        <v>180303.16</v>
      </c>
      <c r="O597">
        <v>1.74</v>
      </c>
    </row>
    <row r="598" spans="1:15" x14ac:dyDescent="0.3">
      <c r="A598" s="6" t="s">
        <v>1243</v>
      </c>
      <c r="B598" cm="1">
        <f t="array" ref="B598:C598">_xlfn.XLOOKUP(A598,'Main Data'!A595:A1594,'Main Data'!B595:C1594,"Data Not Found",0)</f>
        <v>29</v>
      </c>
      <c r="C598" t="str">
        <v>Female</v>
      </c>
      <c r="E598" s="6" t="s">
        <v>1243</v>
      </c>
      <c r="F598" cm="1">
        <f t="array" ref="F598:I598">VLOOKUP(E598,CHOOSE({1,2,3,4,5},'Main Data'!A595:A1594,'Main Data'!B595:B1594,'Main Data'!C595:C1594,'Main Data'!M595:M1594,'Main Data'!N595:N1594),{2,3,4,5},0)</f>
        <v>29</v>
      </c>
      <c r="G598" t="str">
        <v>Female</v>
      </c>
      <c r="H598" t="str">
        <v>UAE</v>
      </c>
      <c r="I598">
        <v>1.97</v>
      </c>
      <c r="L598" s="6" t="s">
        <v>1243</v>
      </c>
      <c r="M598" t="str" cm="1">
        <f t="array" ref="M598:O598">INDEX('Main Data'!A595:O1594,MATCH(L598,'Main Data'!A595:A1594,0),{3,7,14})</f>
        <v>Female</v>
      </c>
      <c r="N598">
        <v>159094.14000000001</v>
      </c>
      <c r="O598">
        <v>1.97</v>
      </c>
    </row>
    <row r="599" spans="1:15" x14ac:dyDescent="0.3">
      <c r="A599" s="6" t="s">
        <v>1245</v>
      </c>
      <c r="B599" cm="1">
        <f t="array" ref="B599:C599">_xlfn.XLOOKUP(A599,'Main Data'!A596:A1595,'Main Data'!B596:C1595,"Data Not Found",0)</f>
        <v>27</v>
      </c>
      <c r="C599" t="str">
        <v>Male</v>
      </c>
      <c r="E599" s="6" t="s">
        <v>1245</v>
      </c>
      <c r="F599" cm="1">
        <f t="array" ref="F599:I599">VLOOKUP(E599,CHOOSE({1,2,3,4,5},'Main Data'!A596:A1595,'Main Data'!B596:B1595,'Main Data'!C596:C1595,'Main Data'!M596:M1595,'Main Data'!N596:N1595),{2,3,4,5},0)</f>
        <v>27</v>
      </c>
      <c r="G599" t="str">
        <v>Male</v>
      </c>
      <c r="H599" t="str">
        <v>Japan</v>
      </c>
      <c r="I599">
        <v>2.44</v>
      </c>
      <c r="L599" s="6" t="s">
        <v>1245</v>
      </c>
      <c r="M599" t="str" cm="1">
        <f t="array" ref="M599:O599">INDEX('Main Data'!A596:O1595,MATCH(L599,'Main Data'!A596:A1595,0),{3,7,14})</f>
        <v>Male</v>
      </c>
      <c r="N599">
        <v>133133.51999999999</v>
      </c>
      <c r="O599">
        <v>2.44</v>
      </c>
    </row>
    <row r="600" spans="1:15" x14ac:dyDescent="0.3">
      <c r="A600" s="6" t="s">
        <v>1247</v>
      </c>
      <c r="B600" cm="1">
        <f t="array" ref="B600:C600">_xlfn.XLOOKUP(A600,'Main Data'!A597:A1596,'Main Data'!B597:C1596,"Data Not Found",0)</f>
        <v>64</v>
      </c>
      <c r="C600" t="str">
        <v>Female</v>
      </c>
      <c r="E600" s="6" t="s">
        <v>1247</v>
      </c>
      <c r="F600" cm="1">
        <f t="array" ref="F600:I600">VLOOKUP(E600,CHOOSE({1,2,3,4,5},'Main Data'!A597:A1596,'Main Data'!B597:B1596,'Main Data'!C597:C1596,'Main Data'!M597:M1596,'Main Data'!N597:N1596),{2,3,4,5},0)</f>
        <v>64</v>
      </c>
      <c r="G600" t="str">
        <v>Female</v>
      </c>
      <c r="H600" t="str">
        <v>USA</v>
      </c>
      <c r="I600">
        <v>4.57</v>
      </c>
      <c r="L600" s="6" t="s">
        <v>1247</v>
      </c>
      <c r="M600" t="str" cm="1">
        <f t="array" ref="M600:O600">INDEX('Main Data'!A597:O1596,MATCH(L600,'Main Data'!A597:A1596,0),{3,7,14})</f>
        <v>Female</v>
      </c>
      <c r="N600">
        <v>126717.08</v>
      </c>
      <c r="O600">
        <v>4.57</v>
      </c>
    </row>
    <row r="601" spans="1:15" x14ac:dyDescent="0.3">
      <c r="A601" s="6" t="s">
        <v>1249</v>
      </c>
      <c r="B601" cm="1">
        <f t="array" ref="B601:C601">_xlfn.XLOOKUP(A601,'Main Data'!A598:A1597,'Main Data'!B598:C1597,"Data Not Found",0)</f>
        <v>25</v>
      </c>
      <c r="C601" t="str">
        <v>Other</v>
      </c>
      <c r="E601" s="6" t="s">
        <v>1249</v>
      </c>
      <c r="F601" cm="1">
        <f t="array" ref="F601:I601">VLOOKUP(E601,CHOOSE({1,2,3,4,5},'Main Data'!A598:A1597,'Main Data'!B598:B1597,'Main Data'!C598:C1597,'Main Data'!M598:M1597,'Main Data'!N598:N1597),{2,3,4,5},0)</f>
        <v>25</v>
      </c>
      <c r="G601" t="str">
        <v>Other</v>
      </c>
      <c r="H601" t="str">
        <v>France</v>
      </c>
      <c r="I601">
        <v>2.38</v>
      </c>
      <c r="L601" s="6" t="s">
        <v>1249</v>
      </c>
      <c r="M601" t="str" cm="1">
        <f t="array" ref="M601:O601">INDEX('Main Data'!A598:O1597,MATCH(L601,'Main Data'!A598:A1597,0),{3,7,14})</f>
        <v>Other</v>
      </c>
      <c r="N601">
        <v>54476.87</v>
      </c>
      <c r="O601">
        <v>2.38</v>
      </c>
    </row>
    <row r="602" spans="1:15" x14ac:dyDescent="0.3">
      <c r="A602" s="6" t="s">
        <v>1251</v>
      </c>
      <c r="B602" cm="1">
        <f t="array" ref="B602:C602">_xlfn.XLOOKUP(A602,'Main Data'!A599:A1598,'Main Data'!B599:C1598,"Data Not Found",0)</f>
        <v>32</v>
      </c>
      <c r="C602" t="str">
        <v>Other</v>
      </c>
      <c r="E602" s="6" t="s">
        <v>1251</v>
      </c>
      <c r="F602" cm="1">
        <f t="array" ref="F602:I602">VLOOKUP(E602,CHOOSE({1,2,3,4,5},'Main Data'!A599:A1598,'Main Data'!B599:B1598,'Main Data'!C599:C1598,'Main Data'!M599:M1598,'Main Data'!N599:N1598),{2,3,4,5},0)</f>
        <v>32</v>
      </c>
      <c r="G602" t="str">
        <v>Other</v>
      </c>
      <c r="H602" t="str">
        <v>UK</v>
      </c>
      <c r="I602">
        <v>1.17</v>
      </c>
      <c r="L602" s="6" t="s">
        <v>1251</v>
      </c>
      <c r="M602" t="str" cm="1">
        <f t="array" ref="M602:O602">INDEX('Main Data'!A599:O1598,MATCH(L602,'Main Data'!A599:A1598,0),{3,7,14})</f>
        <v>Other</v>
      </c>
      <c r="N602">
        <v>94627.61</v>
      </c>
      <c r="O602">
        <v>1.17</v>
      </c>
    </row>
    <row r="603" spans="1:15" x14ac:dyDescent="0.3">
      <c r="A603" s="6" t="s">
        <v>1253</v>
      </c>
      <c r="B603" cm="1">
        <f t="array" ref="B603:C603">_xlfn.XLOOKUP(A603,'Main Data'!A600:A1599,'Main Data'!B600:C1599,"Data Not Found",0)</f>
        <v>49</v>
      </c>
      <c r="C603" t="str">
        <v>Other</v>
      </c>
      <c r="E603" s="6" t="s">
        <v>1253</v>
      </c>
      <c r="F603" cm="1">
        <f t="array" ref="F603:I603">VLOOKUP(E603,CHOOSE({1,2,3,4,5},'Main Data'!A600:A1599,'Main Data'!B600:B1599,'Main Data'!C600:C1599,'Main Data'!M600:M1599,'Main Data'!N600:N1599),{2,3,4,5},0)</f>
        <v>49</v>
      </c>
      <c r="G603" t="str">
        <v>Other</v>
      </c>
      <c r="H603" t="str">
        <v>UAE</v>
      </c>
      <c r="I603">
        <v>2.2799999999999998</v>
      </c>
      <c r="L603" s="6" t="s">
        <v>1253</v>
      </c>
      <c r="M603" t="str" cm="1">
        <f t="array" ref="M603:O603">INDEX('Main Data'!A600:O1599,MATCH(L603,'Main Data'!A600:A1599,0),{3,7,14})</f>
        <v>Other</v>
      </c>
      <c r="N603">
        <v>85578.67</v>
      </c>
      <c r="O603">
        <v>2.2799999999999998</v>
      </c>
    </row>
    <row r="604" spans="1:15" x14ac:dyDescent="0.3">
      <c r="A604" s="6" t="s">
        <v>1255</v>
      </c>
      <c r="B604" cm="1">
        <f t="array" ref="B604:C604">_xlfn.XLOOKUP(A604,'Main Data'!A601:A1600,'Main Data'!B601:C1600,"Data Not Found",0)</f>
        <v>47</v>
      </c>
      <c r="C604" t="str">
        <v>Male</v>
      </c>
      <c r="E604" s="6" t="s">
        <v>1255</v>
      </c>
      <c r="F604" cm="1">
        <f t="array" ref="F604:I604">VLOOKUP(E604,CHOOSE({1,2,3,4,5},'Main Data'!A601:A1600,'Main Data'!B601:B1600,'Main Data'!C601:C1600,'Main Data'!M601:M1600,'Main Data'!N601:N1600),{2,3,4,5},0)</f>
        <v>47</v>
      </c>
      <c r="G604" t="str">
        <v>Male</v>
      </c>
      <c r="H604" t="str">
        <v>Japan</v>
      </c>
      <c r="I604">
        <v>4</v>
      </c>
      <c r="L604" s="6" t="s">
        <v>1255</v>
      </c>
      <c r="M604" t="str" cm="1">
        <f t="array" ref="M604:O604">INDEX('Main Data'!A601:O1600,MATCH(L604,'Main Data'!A601:A1600,0),{3,7,14})</f>
        <v>Male</v>
      </c>
      <c r="N604">
        <v>93873.05</v>
      </c>
      <c r="O604">
        <v>4</v>
      </c>
    </row>
    <row r="605" spans="1:15" x14ac:dyDescent="0.3">
      <c r="A605" s="6" t="s">
        <v>1257</v>
      </c>
      <c r="B605" cm="1">
        <f t="array" ref="B605:C605">_xlfn.XLOOKUP(A605,'Main Data'!A602:A1601,'Main Data'!B602:C1601,"Data Not Found",0)</f>
        <v>25</v>
      </c>
      <c r="C605" t="str">
        <v>Other</v>
      </c>
      <c r="E605" s="6" t="s">
        <v>1257</v>
      </c>
      <c r="F605" cm="1">
        <f t="array" ref="F605:I605">VLOOKUP(E605,CHOOSE({1,2,3,4,5},'Main Data'!A602:A1601,'Main Data'!B602:B1601,'Main Data'!C602:C1601,'Main Data'!M602:M1601,'Main Data'!N602:N1601),{2,3,4,5},0)</f>
        <v>25</v>
      </c>
      <c r="G605" t="str">
        <v>Other</v>
      </c>
      <c r="H605" t="str">
        <v>USA</v>
      </c>
      <c r="I605">
        <v>1.75</v>
      </c>
      <c r="L605" s="6" t="s">
        <v>1257</v>
      </c>
      <c r="M605" t="str" cm="1">
        <f t="array" ref="M605:O605">INDEX('Main Data'!A602:O1601,MATCH(L605,'Main Data'!A602:A1601,0),{3,7,14})</f>
        <v>Other</v>
      </c>
      <c r="N605">
        <v>149907.38</v>
      </c>
      <c r="O605">
        <v>1.75</v>
      </c>
    </row>
    <row r="606" spans="1:15" x14ac:dyDescent="0.3">
      <c r="A606" s="6" t="s">
        <v>1259</v>
      </c>
      <c r="B606" cm="1">
        <f t="array" ref="B606:C606">_xlfn.XLOOKUP(A606,'Main Data'!A603:A1602,'Main Data'!B603:C1602,"Data Not Found",0)</f>
        <v>36</v>
      </c>
      <c r="C606" t="str">
        <v>Female</v>
      </c>
      <c r="E606" s="6" t="s">
        <v>1259</v>
      </c>
      <c r="F606" cm="1">
        <f t="array" ref="F606:I606">VLOOKUP(E606,CHOOSE({1,2,3,4,5},'Main Data'!A603:A1602,'Main Data'!B603:B1602,'Main Data'!C603:C1602,'Main Data'!M603:M1602,'Main Data'!N603:N1602),{2,3,4,5},0)</f>
        <v>36</v>
      </c>
      <c r="G606" t="str">
        <v>Female</v>
      </c>
      <c r="H606" t="str">
        <v>France</v>
      </c>
      <c r="I606">
        <v>3.02</v>
      </c>
      <c r="L606" s="6" t="s">
        <v>1259</v>
      </c>
      <c r="M606" t="str" cm="1">
        <f t="array" ref="M606:O606">INDEX('Main Data'!A603:O1602,MATCH(L606,'Main Data'!A603:A1602,0),{3,7,14})</f>
        <v>Female</v>
      </c>
      <c r="N606">
        <v>127407.79</v>
      </c>
      <c r="O606">
        <v>3.02</v>
      </c>
    </row>
    <row r="607" spans="1:15" x14ac:dyDescent="0.3">
      <c r="A607" s="6" t="s">
        <v>1261</v>
      </c>
      <c r="B607" cm="1">
        <f t="array" ref="B607:C607">_xlfn.XLOOKUP(A607,'Main Data'!A604:A1603,'Main Data'!B604:C1603,"Data Not Found",0)</f>
        <v>40</v>
      </c>
      <c r="C607" t="str">
        <v>Female</v>
      </c>
      <c r="E607" s="6" t="s">
        <v>1261</v>
      </c>
      <c r="F607" cm="1">
        <f t="array" ref="F607:I607">VLOOKUP(E607,CHOOSE({1,2,3,4,5},'Main Data'!A604:A1603,'Main Data'!B604:B1603,'Main Data'!C604:C1603,'Main Data'!M604:M1603,'Main Data'!N604:N1603),{2,3,4,5},0)</f>
        <v>40</v>
      </c>
      <c r="G607" t="str">
        <v>Female</v>
      </c>
      <c r="H607" t="str">
        <v>UK</v>
      </c>
      <c r="I607">
        <v>3.39</v>
      </c>
      <c r="L607" s="6" t="s">
        <v>1261</v>
      </c>
      <c r="M607" t="str" cm="1">
        <f t="array" ref="M607:O607">INDEX('Main Data'!A604:O1603,MATCH(L607,'Main Data'!A604:A1603,0),{3,7,14})</f>
        <v>Female</v>
      </c>
      <c r="N607">
        <v>110672.6</v>
      </c>
      <c r="O607">
        <v>3.39</v>
      </c>
    </row>
    <row r="608" spans="1:15" x14ac:dyDescent="0.3">
      <c r="A608" s="6" t="s">
        <v>1263</v>
      </c>
      <c r="B608" cm="1">
        <f t="array" ref="B608:C608">_xlfn.XLOOKUP(A608,'Main Data'!A605:A1604,'Main Data'!B605:C1604,"Data Not Found",0)</f>
        <v>27</v>
      </c>
      <c r="C608" t="str">
        <v>Other</v>
      </c>
      <c r="E608" s="6" t="s">
        <v>1263</v>
      </c>
      <c r="F608" cm="1">
        <f t="array" ref="F608:I608">VLOOKUP(E608,CHOOSE({1,2,3,4,5},'Main Data'!A605:A1604,'Main Data'!B605:B1604,'Main Data'!C605:C1604,'Main Data'!M605:M1604,'Main Data'!N605:N1604),{2,3,4,5},0)</f>
        <v>27</v>
      </c>
      <c r="G608" t="str">
        <v>Other</v>
      </c>
      <c r="H608" t="str">
        <v>UAE</v>
      </c>
      <c r="I608">
        <v>4.4000000000000004</v>
      </c>
      <c r="L608" s="6" t="s">
        <v>1263</v>
      </c>
      <c r="M608" t="str" cm="1">
        <f t="array" ref="M608:O608">INDEX('Main Data'!A605:O1604,MATCH(L608,'Main Data'!A605:A1604,0),{3,7,14})</f>
        <v>Other</v>
      </c>
      <c r="N608">
        <v>147956.4</v>
      </c>
      <c r="O608">
        <v>4.4000000000000004</v>
      </c>
    </row>
    <row r="609" spans="1:15" x14ac:dyDescent="0.3">
      <c r="A609" s="6" t="s">
        <v>1265</v>
      </c>
      <c r="B609" cm="1">
        <f t="array" ref="B609:C609">_xlfn.XLOOKUP(A609,'Main Data'!A606:A1605,'Main Data'!B606:C1605,"Data Not Found",0)</f>
        <v>26</v>
      </c>
      <c r="C609" t="str">
        <v>Male</v>
      </c>
      <c r="E609" s="6" t="s">
        <v>1265</v>
      </c>
      <c r="F609" cm="1">
        <f t="array" ref="F609:I609">VLOOKUP(E609,CHOOSE({1,2,3,4,5},'Main Data'!A606:A1605,'Main Data'!B606:B1605,'Main Data'!C606:C1605,'Main Data'!M606:M1605,'Main Data'!N606:N1605),{2,3,4,5},0)</f>
        <v>26</v>
      </c>
      <c r="G609" t="str">
        <v>Male</v>
      </c>
      <c r="H609" t="str">
        <v>Japan</v>
      </c>
      <c r="I609">
        <v>4.5199999999999996</v>
      </c>
      <c r="L609" s="6" t="s">
        <v>1265</v>
      </c>
      <c r="M609" t="str" cm="1">
        <f t="array" ref="M609:O609">INDEX('Main Data'!A606:O1605,MATCH(L609,'Main Data'!A606:A1605,0),{3,7,14})</f>
        <v>Male</v>
      </c>
      <c r="N609">
        <v>76904.960000000006</v>
      </c>
      <c r="O609">
        <v>4.5199999999999996</v>
      </c>
    </row>
    <row r="610" spans="1:15" x14ac:dyDescent="0.3">
      <c r="A610" s="6" t="s">
        <v>1267</v>
      </c>
      <c r="B610" cm="1">
        <f t="array" ref="B610:C610">_xlfn.XLOOKUP(A610,'Main Data'!A607:A1606,'Main Data'!B607:C1606,"Data Not Found",0)</f>
        <v>39</v>
      </c>
      <c r="C610" t="str">
        <v>Male</v>
      </c>
      <c r="E610" s="6" t="s">
        <v>1267</v>
      </c>
      <c r="F610" cm="1">
        <f t="array" ref="F610:I610">VLOOKUP(E610,CHOOSE({1,2,3,4,5},'Main Data'!A607:A1606,'Main Data'!B607:B1606,'Main Data'!C607:C1606,'Main Data'!M607:M1606,'Main Data'!N607:N1606),{2,3,4,5},0)</f>
        <v>39</v>
      </c>
      <c r="G610" t="str">
        <v>Male</v>
      </c>
      <c r="H610" t="str">
        <v>USA</v>
      </c>
      <c r="I610">
        <v>2.19</v>
      </c>
      <c r="L610" s="6" t="s">
        <v>1267</v>
      </c>
      <c r="M610" t="str" cm="1">
        <f t="array" ref="M610:O610">INDEX('Main Data'!A607:O1606,MATCH(L610,'Main Data'!A607:A1606,0),{3,7,14})</f>
        <v>Male</v>
      </c>
      <c r="N610">
        <v>85472.35</v>
      </c>
      <c r="O610">
        <v>2.19</v>
      </c>
    </row>
    <row r="611" spans="1:15" x14ac:dyDescent="0.3">
      <c r="A611" s="6" t="s">
        <v>1269</v>
      </c>
      <c r="B611" cm="1">
        <f t="array" ref="B611:C611">_xlfn.XLOOKUP(A611,'Main Data'!A608:A1607,'Main Data'!B608:C1607,"Data Not Found",0)</f>
        <v>27</v>
      </c>
      <c r="C611" t="str">
        <v>Female</v>
      </c>
      <c r="E611" s="6" t="s">
        <v>1269</v>
      </c>
      <c r="F611" cm="1">
        <f t="array" ref="F611:I611">VLOOKUP(E611,CHOOSE({1,2,3,4,5},'Main Data'!A608:A1607,'Main Data'!B608:B1607,'Main Data'!C608:C1607,'Main Data'!M608:M1607,'Main Data'!N608:N1607),{2,3,4,5},0)</f>
        <v>27</v>
      </c>
      <c r="G611" t="str">
        <v>Female</v>
      </c>
      <c r="H611" t="str">
        <v>France</v>
      </c>
      <c r="I611">
        <v>4.6500000000000004</v>
      </c>
      <c r="L611" s="6" t="s">
        <v>1269</v>
      </c>
      <c r="M611" t="str" cm="1">
        <f t="array" ref="M611:O611">INDEX('Main Data'!A608:O1607,MATCH(L611,'Main Data'!A608:A1607,0),{3,7,14})</f>
        <v>Female</v>
      </c>
      <c r="N611">
        <v>122192.26</v>
      </c>
      <c r="O611">
        <v>4.6500000000000004</v>
      </c>
    </row>
    <row r="612" spans="1:15" x14ac:dyDescent="0.3">
      <c r="A612" s="6" t="s">
        <v>1271</v>
      </c>
      <c r="B612" cm="1">
        <f t="array" ref="B612:C612">_xlfn.XLOOKUP(A612,'Main Data'!A609:A1608,'Main Data'!B609:C1608,"Data Not Found",0)</f>
        <v>52</v>
      </c>
      <c r="C612" t="str">
        <v>Female</v>
      </c>
      <c r="E612" s="6" t="s">
        <v>1271</v>
      </c>
      <c r="F612" cm="1">
        <f t="array" ref="F612:I612">VLOOKUP(E612,CHOOSE({1,2,3,4,5},'Main Data'!A609:A1608,'Main Data'!B609:B1608,'Main Data'!C609:C1608,'Main Data'!M609:M1608,'Main Data'!N609:N1608),{2,3,4,5},0)</f>
        <v>52</v>
      </c>
      <c r="G612" t="str">
        <v>Female</v>
      </c>
      <c r="H612" t="str">
        <v>UK</v>
      </c>
      <c r="I612">
        <v>4.0599999999999996</v>
      </c>
      <c r="L612" s="6" t="s">
        <v>1271</v>
      </c>
      <c r="M612" t="str" cm="1">
        <f t="array" ref="M612:O612">INDEX('Main Data'!A609:O1608,MATCH(L612,'Main Data'!A609:A1608,0),{3,7,14})</f>
        <v>Female</v>
      </c>
      <c r="N612">
        <v>155865.62</v>
      </c>
      <c r="O612">
        <v>4.0599999999999996</v>
      </c>
    </row>
    <row r="613" spans="1:15" x14ac:dyDescent="0.3">
      <c r="A613" s="6" t="s">
        <v>1273</v>
      </c>
      <c r="B613" cm="1">
        <f t="array" ref="B613:C613">_xlfn.XLOOKUP(A613,'Main Data'!A610:A1609,'Main Data'!B610:C1609,"Data Not Found",0)</f>
        <v>46</v>
      </c>
      <c r="C613" t="str">
        <v>Other</v>
      </c>
      <c r="E613" s="6" t="s">
        <v>1273</v>
      </c>
      <c r="F613" cm="1">
        <f t="array" ref="F613:I613">VLOOKUP(E613,CHOOSE({1,2,3,4,5},'Main Data'!A610:A1609,'Main Data'!B610:B1609,'Main Data'!C610:C1609,'Main Data'!M610:M1609,'Main Data'!N610:N1609),{2,3,4,5},0)</f>
        <v>46</v>
      </c>
      <c r="G613" t="str">
        <v>Other</v>
      </c>
      <c r="H613" t="str">
        <v>UAE</v>
      </c>
      <c r="I613">
        <v>2.36</v>
      </c>
      <c r="L613" s="6" t="s">
        <v>1273</v>
      </c>
      <c r="M613" t="str" cm="1">
        <f t="array" ref="M613:O613">INDEX('Main Data'!A610:O1609,MATCH(L613,'Main Data'!A610:A1609,0),{3,7,14})</f>
        <v>Other</v>
      </c>
      <c r="N613">
        <v>66372.600000000006</v>
      </c>
      <c r="O613">
        <v>2.36</v>
      </c>
    </row>
    <row r="614" spans="1:15" x14ac:dyDescent="0.3">
      <c r="A614" s="6" t="s">
        <v>1275</v>
      </c>
      <c r="B614" cm="1">
        <f t="array" ref="B614:C614">_xlfn.XLOOKUP(A614,'Main Data'!A611:A1610,'Main Data'!B611:C1610,"Data Not Found",0)</f>
        <v>25</v>
      </c>
      <c r="C614" t="str">
        <v>Male</v>
      </c>
      <c r="E614" s="6" t="s">
        <v>1275</v>
      </c>
      <c r="F614" cm="1">
        <f t="array" ref="F614:I614">VLOOKUP(E614,CHOOSE({1,2,3,4,5},'Main Data'!A611:A1610,'Main Data'!B611:B1610,'Main Data'!C611:C1610,'Main Data'!M611:M1610,'Main Data'!N611:N1610),{2,3,4,5},0)</f>
        <v>25</v>
      </c>
      <c r="G614" t="str">
        <v>Male</v>
      </c>
      <c r="H614" t="str">
        <v>Japan</v>
      </c>
      <c r="I614">
        <v>4.49</v>
      </c>
      <c r="L614" s="6" t="s">
        <v>1275</v>
      </c>
      <c r="M614" t="str" cm="1">
        <f t="array" ref="M614:O614">INDEX('Main Data'!A611:O1610,MATCH(L614,'Main Data'!A611:A1610,0),{3,7,14})</f>
        <v>Male</v>
      </c>
      <c r="N614">
        <v>176904.31</v>
      </c>
      <c r="O614">
        <v>4.49</v>
      </c>
    </row>
    <row r="615" spans="1:15" x14ac:dyDescent="0.3">
      <c r="A615" s="6" t="s">
        <v>1277</v>
      </c>
      <c r="B615" cm="1">
        <f t="array" ref="B615:C615">_xlfn.XLOOKUP(A615,'Main Data'!A612:A1611,'Main Data'!B612:C1611,"Data Not Found",0)</f>
        <v>27</v>
      </c>
      <c r="C615" t="str">
        <v>Other</v>
      </c>
      <c r="E615" s="6" t="s">
        <v>1277</v>
      </c>
      <c r="F615" cm="1">
        <f t="array" ref="F615:I615">VLOOKUP(E615,CHOOSE({1,2,3,4,5},'Main Data'!A612:A1611,'Main Data'!B612:B1611,'Main Data'!C612:C1611,'Main Data'!M612:M1611,'Main Data'!N612:N1611),{2,3,4,5},0)</f>
        <v>27</v>
      </c>
      <c r="G615" t="str">
        <v>Other</v>
      </c>
      <c r="H615" t="str">
        <v>USA</v>
      </c>
      <c r="I615">
        <v>1</v>
      </c>
      <c r="L615" s="6" t="s">
        <v>1277</v>
      </c>
      <c r="M615" t="str" cm="1">
        <f t="array" ref="M615:O615">INDEX('Main Data'!A612:O1611,MATCH(L615,'Main Data'!A612:A1611,0),{3,7,14})</f>
        <v>Other</v>
      </c>
      <c r="N615">
        <v>163598.23000000001</v>
      </c>
      <c r="O615">
        <v>1</v>
      </c>
    </row>
    <row r="616" spans="1:15" x14ac:dyDescent="0.3">
      <c r="A616" s="6" t="s">
        <v>1279</v>
      </c>
      <c r="B616" cm="1">
        <f t="array" ref="B616:C616">_xlfn.XLOOKUP(A616,'Main Data'!A613:A1612,'Main Data'!B613:C1612,"Data Not Found",0)</f>
        <v>62</v>
      </c>
      <c r="C616" t="str">
        <v>Female</v>
      </c>
      <c r="E616" s="6" t="s">
        <v>1279</v>
      </c>
      <c r="F616" cm="1">
        <f t="array" ref="F616:I616">VLOOKUP(E616,CHOOSE({1,2,3,4,5},'Main Data'!A613:A1612,'Main Data'!B613:B1612,'Main Data'!C613:C1612,'Main Data'!M613:M1612,'Main Data'!N613:N1612),{2,3,4,5},0)</f>
        <v>62</v>
      </c>
      <c r="G616" t="str">
        <v>Female</v>
      </c>
      <c r="H616" t="str">
        <v>France</v>
      </c>
      <c r="I616">
        <v>1.6</v>
      </c>
      <c r="L616" s="6" t="s">
        <v>1279</v>
      </c>
      <c r="M616" t="str" cm="1">
        <f t="array" ref="M616:O616">INDEX('Main Data'!A613:O1612,MATCH(L616,'Main Data'!A613:A1612,0),{3,7,14})</f>
        <v>Female</v>
      </c>
      <c r="N616">
        <v>146340.24</v>
      </c>
      <c r="O616">
        <v>1.6</v>
      </c>
    </row>
    <row r="617" spans="1:15" x14ac:dyDescent="0.3">
      <c r="A617" s="6" t="s">
        <v>1281</v>
      </c>
      <c r="B617" cm="1">
        <f t="array" ref="B617:C617">_xlfn.XLOOKUP(A617,'Main Data'!A614:A1613,'Main Data'!B614:C1613,"Data Not Found",0)</f>
        <v>58</v>
      </c>
      <c r="C617" t="str">
        <v>Female</v>
      </c>
      <c r="E617" s="6" t="s">
        <v>1281</v>
      </c>
      <c r="F617" cm="1">
        <f t="array" ref="F617:I617">VLOOKUP(E617,CHOOSE({1,2,3,4,5},'Main Data'!A614:A1613,'Main Data'!B614:B1613,'Main Data'!C614:C1613,'Main Data'!M614:M1613,'Main Data'!N614:N1613),{2,3,4,5},0)</f>
        <v>58</v>
      </c>
      <c r="G617" t="str">
        <v>Female</v>
      </c>
      <c r="H617" t="str">
        <v>UK</v>
      </c>
      <c r="I617">
        <v>2.79</v>
      </c>
      <c r="L617" s="6" t="s">
        <v>1281</v>
      </c>
      <c r="M617" t="str" cm="1">
        <f t="array" ref="M617:O617">INDEX('Main Data'!A614:O1613,MATCH(L617,'Main Data'!A614:A1613,0),{3,7,14})</f>
        <v>Female</v>
      </c>
      <c r="N617">
        <v>116439.74</v>
      </c>
      <c r="O617">
        <v>2.79</v>
      </c>
    </row>
    <row r="618" spans="1:15" x14ac:dyDescent="0.3">
      <c r="A618" s="6" t="s">
        <v>1283</v>
      </c>
      <c r="B618" cm="1">
        <f t="array" ref="B618:C618">_xlfn.XLOOKUP(A618,'Main Data'!A615:A1614,'Main Data'!B615:C1614,"Data Not Found",0)</f>
        <v>46</v>
      </c>
      <c r="C618" t="str">
        <v>Other</v>
      </c>
      <c r="E618" s="6" t="s">
        <v>1283</v>
      </c>
      <c r="F618" cm="1">
        <f t="array" ref="F618:I618">VLOOKUP(E618,CHOOSE({1,2,3,4,5},'Main Data'!A615:A1614,'Main Data'!B615:B1614,'Main Data'!C615:C1614,'Main Data'!M615:M1614,'Main Data'!N615:N1614),{2,3,4,5},0)</f>
        <v>46</v>
      </c>
      <c r="G618" t="str">
        <v>Other</v>
      </c>
      <c r="H618" t="str">
        <v>UAE</v>
      </c>
      <c r="I618">
        <v>1.37</v>
      </c>
      <c r="L618" s="6" t="s">
        <v>1283</v>
      </c>
      <c r="M618" t="str" cm="1">
        <f t="array" ref="M618:O618">INDEX('Main Data'!A615:O1614,MATCH(L618,'Main Data'!A615:A1614,0),{3,7,14})</f>
        <v>Other</v>
      </c>
      <c r="N618">
        <v>172137.66</v>
      </c>
      <c r="O618">
        <v>1.37</v>
      </c>
    </row>
    <row r="619" spans="1:15" x14ac:dyDescent="0.3">
      <c r="A619" s="6" t="s">
        <v>1285</v>
      </c>
      <c r="B619" cm="1">
        <f t="array" ref="B619:C619">_xlfn.XLOOKUP(A619,'Main Data'!A616:A1615,'Main Data'!B616:C1615,"Data Not Found",0)</f>
        <v>55</v>
      </c>
      <c r="C619" t="str">
        <v>Male</v>
      </c>
      <c r="E619" s="6" t="s">
        <v>1285</v>
      </c>
      <c r="F619" cm="1">
        <f t="array" ref="F619:I619">VLOOKUP(E619,CHOOSE({1,2,3,4,5},'Main Data'!A616:A1615,'Main Data'!B616:B1615,'Main Data'!C616:C1615,'Main Data'!M616:M1615,'Main Data'!N616:N1615),{2,3,4,5},0)</f>
        <v>55</v>
      </c>
      <c r="G619" t="str">
        <v>Male</v>
      </c>
      <c r="H619" t="str">
        <v>Japan</v>
      </c>
      <c r="I619">
        <v>1.46</v>
      </c>
      <c r="L619" s="6" t="s">
        <v>1285</v>
      </c>
      <c r="M619" t="str" cm="1">
        <f t="array" ref="M619:O619">INDEX('Main Data'!A616:O1615,MATCH(L619,'Main Data'!A616:A1615,0),{3,7,14})</f>
        <v>Male</v>
      </c>
      <c r="N619">
        <v>107062.89</v>
      </c>
      <c r="O619">
        <v>1.46</v>
      </c>
    </row>
    <row r="620" spans="1:15" x14ac:dyDescent="0.3">
      <c r="A620" s="6" t="s">
        <v>1287</v>
      </c>
      <c r="B620" cm="1">
        <f t="array" ref="B620:C620">_xlfn.XLOOKUP(A620,'Main Data'!A617:A1616,'Main Data'!B617:C1616,"Data Not Found",0)</f>
        <v>40</v>
      </c>
      <c r="C620" t="str">
        <v>Female</v>
      </c>
      <c r="E620" s="6" t="s">
        <v>1287</v>
      </c>
      <c r="F620" cm="1">
        <f t="array" ref="F620:I620">VLOOKUP(E620,CHOOSE({1,2,3,4,5},'Main Data'!A617:A1616,'Main Data'!B617:B1616,'Main Data'!C617:C1616,'Main Data'!M617:M1616,'Main Data'!N617:N1616),{2,3,4,5},0)</f>
        <v>40</v>
      </c>
      <c r="G620" t="str">
        <v>Female</v>
      </c>
      <c r="H620" t="str">
        <v>USA</v>
      </c>
      <c r="I620">
        <v>2.75</v>
      </c>
      <c r="L620" s="6" t="s">
        <v>1287</v>
      </c>
      <c r="M620" t="str" cm="1">
        <f t="array" ref="M620:O620">INDEX('Main Data'!A617:O1616,MATCH(L620,'Main Data'!A617:A1616,0),{3,7,14})</f>
        <v>Female</v>
      </c>
      <c r="N620">
        <v>79768.45</v>
      </c>
      <c r="O620">
        <v>2.75</v>
      </c>
    </row>
    <row r="621" spans="1:15" x14ac:dyDescent="0.3">
      <c r="A621" s="6" t="s">
        <v>1289</v>
      </c>
      <c r="B621" cm="1">
        <f t="array" ref="B621:C621">_xlfn.XLOOKUP(A621,'Main Data'!A618:A1617,'Main Data'!B618:C1617,"Data Not Found",0)</f>
        <v>55</v>
      </c>
      <c r="C621" t="str">
        <v>Female</v>
      </c>
      <c r="E621" s="6" t="s">
        <v>1289</v>
      </c>
      <c r="F621" cm="1">
        <f t="array" ref="F621:I621">VLOOKUP(E621,CHOOSE({1,2,3,4,5},'Main Data'!A618:A1617,'Main Data'!B618:B1617,'Main Data'!C618:C1617,'Main Data'!M618:M1617,'Main Data'!N618:N1617),{2,3,4,5},0)</f>
        <v>55</v>
      </c>
      <c r="G621" t="str">
        <v>Female</v>
      </c>
      <c r="H621" t="str">
        <v>France</v>
      </c>
      <c r="I621">
        <v>3.97</v>
      </c>
      <c r="L621" s="6" t="s">
        <v>1289</v>
      </c>
      <c r="M621" t="str" cm="1">
        <f t="array" ref="M621:O621">INDEX('Main Data'!A618:O1617,MATCH(L621,'Main Data'!A618:A1617,0),{3,7,14})</f>
        <v>Female</v>
      </c>
      <c r="N621">
        <v>79643.06</v>
      </c>
      <c r="O621">
        <v>3.97</v>
      </c>
    </row>
    <row r="622" spans="1:15" x14ac:dyDescent="0.3">
      <c r="A622" s="6" t="s">
        <v>1291</v>
      </c>
      <c r="B622" cm="1">
        <f t="array" ref="B622:C622">_xlfn.XLOOKUP(A622,'Main Data'!A619:A1618,'Main Data'!B619:C1618,"Data Not Found",0)</f>
        <v>36</v>
      </c>
      <c r="C622" t="str">
        <v>Male</v>
      </c>
      <c r="E622" s="6" t="s">
        <v>1291</v>
      </c>
      <c r="F622" cm="1">
        <f t="array" ref="F622:I622">VLOOKUP(E622,CHOOSE({1,2,3,4,5},'Main Data'!A619:A1618,'Main Data'!B619:B1618,'Main Data'!C619:C1618,'Main Data'!M619:M1618,'Main Data'!N619:N1618),{2,3,4,5},0)</f>
        <v>36</v>
      </c>
      <c r="G622" t="str">
        <v>Male</v>
      </c>
      <c r="H622" t="str">
        <v>UK</v>
      </c>
      <c r="I622">
        <v>1.6</v>
      </c>
      <c r="L622" s="6" t="s">
        <v>1291</v>
      </c>
      <c r="M622" t="str" cm="1">
        <f t="array" ref="M622:O622">INDEX('Main Data'!A619:O1618,MATCH(L622,'Main Data'!A619:A1618,0),{3,7,14})</f>
        <v>Male</v>
      </c>
      <c r="N622">
        <v>186910.81</v>
      </c>
      <c r="O622">
        <v>1.6</v>
      </c>
    </row>
    <row r="623" spans="1:15" x14ac:dyDescent="0.3">
      <c r="A623" s="6" t="s">
        <v>1293</v>
      </c>
      <c r="B623" cm="1">
        <f t="array" ref="B623:C623">_xlfn.XLOOKUP(A623,'Main Data'!A620:A1619,'Main Data'!B620:C1619,"Data Not Found",0)</f>
        <v>29</v>
      </c>
      <c r="C623" t="str">
        <v>Female</v>
      </c>
      <c r="E623" s="6" t="s">
        <v>1293</v>
      </c>
      <c r="F623" cm="1">
        <f t="array" ref="F623:I623">VLOOKUP(E623,CHOOSE({1,2,3,4,5},'Main Data'!A620:A1619,'Main Data'!B620:B1619,'Main Data'!C620:C1619,'Main Data'!M620:M1619,'Main Data'!N620:N1619),{2,3,4,5},0)</f>
        <v>29</v>
      </c>
      <c r="G623" t="str">
        <v>Female</v>
      </c>
      <c r="H623" t="str">
        <v>UAE</v>
      </c>
      <c r="I623">
        <v>4.5</v>
      </c>
      <c r="L623" s="6" t="s">
        <v>1293</v>
      </c>
      <c r="M623" t="str" cm="1">
        <f t="array" ref="M623:O623">INDEX('Main Data'!A620:O1619,MATCH(L623,'Main Data'!A620:A1619,0),{3,7,14})</f>
        <v>Female</v>
      </c>
      <c r="N623">
        <v>139021.10999999999</v>
      </c>
      <c r="O623">
        <v>4.5</v>
      </c>
    </row>
    <row r="624" spans="1:15" x14ac:dyDescent="0.3">
      <c r="A624" s="6" t="s">
        <v>1295</v>
      </c>
      <c r="B624" cm="1">
        <f t="array" ref="B624:C624">_xlfn.XLOOKUP(A624,'Main Data'!A621:A1620,'Main Data'!B621:C1620,"Data Not Found",0)</f>
        <v>55</v>
      </c>
      <c r="C624" t="str">
        <v>Male</v>
      </c>
      <c r="E624" s="6" t="s">
        <v>1295</v>
      </c>
      <c r="F624" cm="1">
        <f t="array" ref="F624:I624">VLOOKUP(E624,CHOOSE({1,2,3,4,5},'Main Data'!A621:A1620,'Main Data'!B621:B1620,'Main Data'!C621:C1620,'Main Data'!M621:M1620,'Main Data'!N621:N1620),{2,3,4,5},0)</f>
        <v>55</v>
      </c>
      <c r="G624" t="str">
        <v>Male</v>
      </c>
      <c r="H624" t="str">
        <v>Japan</v>
      </c>
      <c r="I624">
        <v>3.6</v>
      </c>
      <c r="L624" s="6" t="s">
        <v>1295</v>
      </c>
      <c r="M624" t="str" cm="1">
        <f t="array" ref="M624:O624">INDEX('Main Data'!A621:O1620,MATCH(L624,'Main Data'!A621:A1620,0),{3,7,14})</f>
        <v>Male</v>
      </c>
      <c r="N624">
        <v>86153.05</v>
      </c>
      <c r="O624">
        <v>3.6</v>
      </c>
    </row>
    <row r="625" spans="1:15" x14ac:dyDescent="0.3">
      <c r="A625" s="6" t="s">
        <v>1297</v>
      </c>
      <c r="B625" cm="1">
        <f t="array" ref="B625:C625">_xlfn.XLOOKUP(A625,'Main Data'!A622:A1621,'Main Data'!B622:C1621,"Data Not Found",0)</f>
        <v>39</v>
      </c>
      <c r="C625" t="str">
        <v>Male</v>
      </c>
      <c r="E625" s="6" t="s">
        <v>1297</v>
      </c>
      <c r="F625" cm="1">
        <f t="array" ref="F625:I625">VLOOKUP(E625,CHOOSE({1,2,3,4,5},'Main Data'!A622:A1621,'Main Data'!B622:B1621,'Main Data'!C622:C1621,'Main Data'!M622:M1621,'Main Data'!N622:N1621),{2,3,4,5},0)</f>
        <v>39</v>
      </c>
      <c r="G625" t="str">
        <v>Male</v>
      </c>
      <c r="H625" t="str">
        <v>USA</v>
      </c>
      <c r="I625">
        <v>4.63</v>
      </c>
      <c r="L625" s="6" t="s">
        <v>1297</v>
      </c>
      <c r="M625" t="str" cm="1">
        <f t="array" ref="M625:O625">INDEX('Main Data'!A622:O1621,MATCH(L625,'Main Data'!A622:A1621,0),{3,7,14})</f>
        <v>Male</v>
      </c>
      <c r="N625">
        <v>84826.23</v>
      </c>
      <c r="O625">
        <v>4.63</v>
      </c>
    </row>
    <row r="626" spans="1:15" x14ac:dyDescent="0.3">
      <c r="A626" s="6" t="s">
        <v>1299</v>
      </c>
      <c r="B626" cm="1">
        <f t="array" ref="B626:C626">_xlfn.XLOOKUP(A626,'Main Data'!A623:A1622,'Main Data'!B623:C1622,"Data Not Found",0)</f>
        <v>51</v>
      </c>
      <c r="C626" t="str">
        <v>Female</v>
      </c>
      <c r="E626" s="6" t="s">
        <v>1299</v>
      </c>
      <c r="F626" cm="1">
        <f t="array" ref="F626:I626">VLOOKUP(E626,CHOOSE({1,2,3,4,5},'Main Data'!A623:A1622,'Main Data'!B623:B1622,'Main Data'!C623:C1622,'Main Data'!M623:M1622,'Main Data'!N623:N1622),{2,3,4,5},0)</f>
        <v>51</v>
      </c>
      <c r="G626" t="str">
        <v>Female</v>
      </c>
      <c r="H626" t="str">
        <v>France</v>
      </c>
      <c r="I626">
        <v>4.92</v>
      </c>
      <c r="L626" s="6" t="s">
        <v>1299</v>
      </c>
      <c r="M626" t="str" cm="1">
        <f t="array" ref="M626:O626">INDEX('Main Data'!A623:O1622,MATCH(L626,'Main Data'!A623:A1622,0),{3,7,14})</f>
        <v>Female</v>
      </c>
      <c r="N626">
        <v>121962.51</v>
      </c>
      <c r="O626">
        <v>4.92</v>
      </c>
    </row>
    <row r="627" spans="1:15" x14ac:dyDescent="0.3">
      <c r="A627" s="6" t="s">
        <v>1301</v>
      </c>
      <c r="B627" cm="1">
        <f t="array" ref="B627:C627">_xlfn.XLOOKUP(A627,'Main Data'!A624:A1623,'Main Data'!B624:C1623,"Data Not Found",0)</f>
        <v>34</v>
      </c>
      <c r="C627" t="str">
        <v>Other</v>
      </c>
      <c r="E627" s="6" t="s">
        <v>1301</v>
      </c>
      <c r="F627" cm="1">
        <f t="array" ref="F627:I627">VLOOKUP(E627,CHOOSE({1,2,3,4,5},'Main Data'!A624:A1623,'Main Data'!B624:B1623,'Main Data'!C624:C1623,'Main Data'!M624:M1623,'Main Data'!N624:N1623),{2,3,4,5},0)</f>
        <v>34</v>
      </c>
      <c r="G627" t="str">
        <v>Other</v>
      </c>
      <c r="H627" t="str">
        <v>UK</v>
      </c>
      <c r="I627">
        <v>2.12</v>
      </c>
      <c r="L627" s="6" t="s">
        <v>1301</v>
      </c>
      <c r="M627" t="str" cm="1">
        <f t="array" ref="M627:O627">INDEX('Main Data'!A624:O1623,MATCH(L627,'Main Data'!A624:A1623,0),{3,7,14})</f>
        <v>Other</v>
      </c>
      <c r="N627">
        <v>133995.53</v>
      </c>
      <c r="O627">
        <v>2.12</v>
      </c>
    </row>
    <row r="628" spans="1:15" x14ac:dyDescent="0.3">
      <c r="A628" s="6" t="s">
        <v>1303</v>
      </c>
      <c r="B628" cm="1">
        <f t="array" ref="B628:C628">_xlfn.XLOOKUP(A628,'Main Data'!A625:A1624,'Main Data'!B625:C1624,"Data Not Found",0)</f>
        <v>54</v>
      </c>
      <c r="C628" t="str">
        <v>Female</v>
      </c>
      <c r="E628" s="6" t="s">
        <v>1303</v>
      </c>
      <c r="F628" cm="1">
        <f t="array" ref="F628:I628">VLOOKUP(E628,CHOOSE({1,2,3,4,5},'Main Data'!A625:A1624,'Main Data'!B625:B1624,'Main Data'!C625:C1624,'Main Data'!M625:M1624,'Main Data'!N625:N1624),{2,3,4,5},0)</f>
        <v>54</v>
      </c>
      <c r="G628" t="str">
        <v>Female</v>
      </c>
      <c r="H628" t="str">
        <v>UAE</v>
      </c>
      <c r="I628">
        <v>3.43</v>
      </c>
      <c r="L628" s="6" t="s">
        <v>1303</v>
      </c>
      <c r="M628" t="str" cm="1">
        <f t="array" ref="M628:O628">INDEX('Main Data'!A625:O1624,MATCH(L628,'Main Data'!A625:A1624,0),{3,7,14})</f>
        <v>Female</v>
      </c>
      <c r="N628">
        <v>184492.29</v>
      </c>
      <c r="O628">
        <v>3.43</v>
      </c>
    </row>
    <row r="629" spans="1:15" x14ac:dyDescent="0.3">
      <c r="A629" s="6" t="s">
        <v>1305</v>
      </c>
      <c r="B629" cm="1">
        <f t="array" ref="B629:C629">_xlfn.XLOOKUP(A629,'Main Data'!A626:A1625,'Main Data'!B626:C1625,"Data Not Found",0)</f>
        <v>56</v>
      </c>
      <c r="C629" t="str">
        <v>Female</v>
      </c>
      <c r="E629" s="6" t="s">
        <v>1305</v>
      </c>
      <c r="F629" cm="1">
        <f t="array" ref="F629:I629">VLOOKUP(E629,CHOOSE({1,2,3,4,5},'Main Data'!A626:A1625,'Main Data'!B626:B1625,'Main Data'!C626:C1625,'Main Data'!M626:M1625,'Main Data'!N626:N1625),{2,3,4,5},0)</f>
        <v>56</v>
      </c>
      <c r="G629" t="str">
        <v>Female</v>
      </c>
      <c r="H629" t="str">
        <v>Japan</v>
      </c>
      <c r="I629">
        <v>4</v>
      </c>
      <c r="L629" s="6" t="s">
        <v>1305</v>
      </c>
      <c r="M629" t="str" cm="1">
        <f t="array" ref="M629:O629">INDEX('Main Data'!A626:O1625,MATCH(L629,'Main Data'!A626:A1625,0),{3,7,14})</f>
        <v>Female</v>
      </c>
      <c r="N629">
        <v>88349.22</v>
      </c>
      <c r="O629">
        <v>4</v>
      </c>
    </row>
    <row r="630" spans="1:15" x14ac:dyDescent="0.3">
      <c r="A630" s="6" t="s">
        <v>1307</v>
      </c>
      <c r="B630" cm="1">
        <f t="array" ref="B630:C630">_xlfn.XLOOKUP(A630,'Main Data'!A627:A1626,'Main Data'!B627:C1626,"Data Not Found",0)</f>
        <v>45</v>
      </c>
      <c r="C630" t="str">
        <v>Female</v>
      </c>
      <c r="E630" s="6" t="s">
        <v>1307</v>
      </c>
      <c r="F630" cm="1">
        <f t="array" ref="F630:I630">VLOOKUP(E630,CHOOSE({1,2,3,4,5},'Main Data'!A627:A1626,'Main Data'!B627:B1626,'Main Data'!C627:C1626,'Main Data'!M627:M1626,'Main Data'!N627:N1626),{2,3,4,5},0)</f>
        <v>45</v>
      </c>
      <c r="G630" t="str">
        <v>Female</v>
      </c>
      <c r="H630" t="str">
        <v>USA</v>
      </c>
      <c r="I630">
        <v>4.18</v>
      </c>
      <c r="L630" s="6" t="s">
        <v>1307</v>
      </c>
      <c r="M630" t="str" cm="1">
        <f t="array" ref="M630:O630">INDEX('Main Data'!A627:O1626,MATCH(L630,'Main Data'!A627:A1626,0),{3,7,14})</f>
        <v>Female</v>
      </c>
      <c r="N630">
        <v>149020.12</v>
      </c>
      <c r="O630">
        <v>4.18</v>
      </c>
    </row>
    <row r="631" spans="1:15" x14ac:dyDescent="0.3">
      <c r="A631" s="6" t="s">
        <v>1309</v>
      </c>
      <c r="B631" cm="1">
        <f t="array" ref="B631:C631">_xlfn.XLOOKUP(A631,'Main Data'!A628:A1627,'Main Data'!B628:C1627,"Data Not Found",0)</f>
        <v>47</v>
      </c>
      <c r="C631" t="str">
        <v>Female</v>
      </c>
      <c r="E631" s="6" t="s">
        <v>1309</v>
      </c>
      <c r="F631" cm="1">
        <f t="array" ref="F631:I631">VLOOKUP(E631,CHOOSE({1,2,3,4,5},'Main Data'!A628:A1627,'Main Data'!B628:B1627,'Main Data'!C628:C1627,'Main Data'!M628:M1627,'Main Data'!N628:N1627),{2,3,4,5},0)</f>
        <v>47</v>
      </c>
      <c r="G631" t="str">
        <v>Female</v>
      </c>
      <c r="H631" t="str">
        <v>France</v>
      </c>
      <c r="I631">
        <v>4.6100000000000003</v>
      </c>
      <c r="L631" s="6" t="s">
        <v>1309</v>
      </c>
      <c r="M631" t="str" cm="1">
        <f t="array" ref="M631:O631">INDEX('Main Data'!A628:O1627,MATCH(L631,'Main Data'!A628:A1627,0),{3,7,14})</f>
        <v>Female</v>
      </c>
      <c r="N631">
        <v>158918.78</v>
      </c>
      <c r="O631">
        <v>4.6100000000000003</v>
      </c>
    </row>
    <row r="632" spans="1:15" x14ac:dyDescent="0.3">
      <c r="A632" s="6" t="s">
        <v>1311</v>
      </c>
      <c r="B632" cm="1">
        <f t="array" ref="B632:C632">_xlfn.XLOOKUP(A632,'Main Data'!A629:A1628,'Main Data'!B629:C1628,"Data Not Found",0)</f>
        <v>63</v>
      </c>
      <c r="C632" t="str">
        <v>Other</v>
      </c>
      <c r="E632" s="6" t="s">
        <v>1311</v>
      </c>
      <c r="F632" cm="1">
        <f t="array" ref="F632:I632">VLOOKUP(E632,CHOOSE({1,2,3,4,5},'Main Data'!A629:A1628,'Main Data'!B629:B1628,'Main Data'!C629:C1628,'Main Data'!M629:M1628,'Main Data'!N629:N1628),{2,3,4,5},0)</f>
        <v>63</v>
      </c>
      <c r="G632" t="str">
        <v>Other</v>
      </c>
      <c r="H632" t="str">
        <v>UK</v>
      </c>
      <c r="I632">
        <v>1.06</v>
      </c>
      <c r="L632" s="6" t="s">
        <v>1311</v>
      </c>
      <c r="M632" t="str" cm="1">
        <f t="array" ref="M632:O632">INDEX('Main Data'!A629:O1628,MATCH(L632,'Main Data'!A629:A1628,0),{3,7,14})</f>
        <v>Other</v>
      </c>
      <c r="N632">
        <v>182301.05</v>
      </c>
      <c r="O632">
        <v>1.06</v>
      </c>
    </row>
    <row r="633" spans="1:15" x14ac:dyDescent="0.3">
      <c r="A633" s="6" t="s">
        <v>1313</v>
      </c>
      <c r="B633" cm="1">
        <f t="array" ref="B633:C633">_xlfn.XLOOKUP(A633,'Main Data'!A630:A1629,'Main Data'!B630:C1629,"Data Not Found",0)</f>
        <v>22</v>
      </c>
      <c r="C633" t="str">
        <v>Other</v>
      </c>
      <c r="E633" s="6" t="s">
        <v>1313</v>
      </c>
      <c r="F633" cm="1">
        <f t="array" ref="F633:I633">VLOOKUP(E633,CHOOSE({1,2,3,4,5},'Main Data'!A630:A1629,'Main Data'!B630:B1629,'Main Data'!C630:C1629,'Main Data'!M630:M1629,'Main Data'!N630:N1629),{2,3,4,5},0)</f>
        <v>22</v>
      </c>
      <c r="G633" t="str">
        <v>Other</v>
      </c>
      <c r="H633" t="str">
        <v>UAE</v>
      </c>
      <c r="I633">
        <v>2.42</v>
      </c>
      <c r="L633" s="6" t="s">
        <v>1313</v>
      </c>
      <c r="M633" t="str" cm="1">
        <f t="array" ref="M633:O633">INDEX('Main Data'!A630:O1629,MATCH(L633,'Main Data'!A630:A1629,0),{3,7,14})</f>
        <v>Other</v>
      </c>
      <c r="N633">
        <v>181295.7</v>
      </c>
      <c r="O633">
        <v>2.42</v>
      </c>
    </row>
    <row r="634" spans="1:15" x14ac:dyDescent="0.3">
      <c r="A634" s="6" t="s">
        <v>1315</v>
      </c>
      <c r="B634" cm="1">
        <f t="array" ref="B634:C634">_xlfn.XLOOKUP(A634,'Main Data'!A631:A1630,'Main Data'!B631:C1630,"Data Not Found",0)</f>
        <v>34</v>
      </c>
      <c r="C634" t="str">
        <v>Other</v>
      </c>
      <c r="E634" s="6" t="s">
        <v>1315</v>
      </c>
      <c r="F634" cm="1">
        <f t="array" ref="F634:I634">VLOOKUP(E634,CHOOSE({1,2,3,4,5},'Main Data'!A631:A1630,'Main Data'!B631:B1630,'Main Data'!C631:C1630,'Main Data'!M631:M1630,'Main Data'!N631:N1630),{2,3,4,5},0)</f>
        <v>34</v>
      </c>
      <c r="G634" t="str">
        <v>Other</v>
      </c>
      <c r="H634" t="str">
        <v>Japan</v>
      </c>
      <c r="I634">
        <v>2.9</v>
      </c>
      <c r="L634" s="6" t="s">
        <v>1315</v>
      </c>
      <c r="M634" t="str" cm="1">
        <f t="array" ref="M634:O634">INDEX('Main Data'!A631:O1630,MATCH(L634,'Main Data'!A631:A1630,0),{3,7,14})</f>
        <v>Other</v>
      </c>
      <c r="N634">
        <v>135718.99</v>
      </c>
      <c r="O634">
        <v>2.9</v>
      </c>
    </row>
    <row r="635" spans="1:15" x14ac:dyDescent="0.3">
      <c r="A635" s="6" t="s">
        <v>1317</v>
      </c>
      <c r="B635" cm="1">
        <f t="array" ref="B635:C635">_xlfn.XLOOKUP(A635,'Main Data'!A632:A1631,'Main Data'!B632:C1631,"Data Not Found",0)</f>
        <v>31</v>
      </c>
      <c r="C635" t="str">
        <v>Male</v>
      </c>
      <c r="E635" s="6" t="s">
        <v>1317</v>
      </c>
      <c r="F635" cm="1">
        <f t="array" ref="F635:I635">VLOOKUP(E635,CHOOSE({1,2,3,4,5},'Main Data'!A632:A1631,'Main Data'!B632:B1631,'Main Data'!C632:C1631,'Main Data'!M632:M1631,'Main Data'!N632:N1631),{2,3,4,5},0)</f>
        <v>31</v>
      </c>
      <c r="G635" t="str">
        <v>Male</v>
      </c>
      <c r="H635" t="str">
        <v>USA</v>
      </c>
      <c r="I635">
        <v>2.88</v>
      </c>
      <c r="L635" s="6" t="s">
        <v>1317</v>
      </c>
      <c r="M635" t="str" cm="1">
        <f t="array" ref="M635:O635">INDEX('Main Data'!A632:O1631,MATCH(L635,'Main Data'!A632:A1631,0),{3,7,14})</f>
        <v>Male</v>
      </c>
      <c r="N635">
        <v>98972.26</v>
      </c>
      <c r="O635">
        <v>2.88</v>
      </c>
    </row>
    <row r="636" spans="1:15" x14ac:dyDescent="0.3">
      <c r="A636" s="6" t="s">
        <v>1319</v>
      </c>
      <c r="B636" cm="1">
        <f t="array" ref="B636:C636">_xlfn.XLOOKUP(A636,'Main Data'!A633:A1632,'Main Data'!B633:C1632,"Data Not Found",0)</f>
        <v>40</v>
      </c>
      <c r="C636" t="str">
        <v>Other</v>
      </c>
      <c r="E636" s="6" t="s">
        <v>1319</v>
      </c>
      <c r="F636" cm="1">
        <f t="array" ref="F636:I636">VLOOKUP(E636,CHOOSE({1,2,3,4,5},'Main Data'!A633:A1632,'Main Data'!B633:B1632,'Main Data'!C633:C1632,'Main Data'!M633:M1632,'Main Data'!N633:N1632),{2,3,4,5},0)</f>
        <v>40</v>
      </c>
      <c r="G636" t="str">
        <v>Other</v>
      </c>
      <c r="H636" t="str">
        <v>France</v>
      </c>
      <c r="I636">
        <v>2.34</v>
      </c>
      <c r="L636" s="6" t="s">
        <v>1319</v>
      </c>
      <c r="M636" t="str" cm="1">
        <f t="array" ref="M636:O636">INDEX('Main Data'!A633:O1632,MATCH(L636,'Main Data'!A633:A1632,0),{3,7,14})</f>
        <v>Other</v>
      </c>
      <c r="N636">
        <v>93392.17</v>
      </c>
      <c r="O636">
        <v>2.34</v>
      </c>
    </row>
    <row r="637" spans="1:15" x14ac:dyDescent="0.3">
      <c r="A637" s="6" t="s">
        <v>1321</v>
      </c>
      <c r="B637" cm="1">
        <f t="array" ref="B637:C637">_xlfn.XLOOKUP(A637,'Main Data'!A634:A1633,'Main Data'!B634:C1633,"Data Not Found",0)</f>
        <v>26</v>
      </c>
      <c r="C637" t="str">
        <v>Male</v>
      </c>
      <c r="E637" s="6" t="s">
        <v>1321</v>
      </c>
      <c r="F637" cm="1">
        <f t="array" ref="F637:I637">VLOOKUP(E637,CHOOSE({1,2,3,4,5},'Main Data'!A634:A1633,'Main Data'!B634:B1633,'Main Data'!C634:C1633,'Main Data'!M634:M1633,'Main Data'!N634:N1633),{2,3,4,5},0)</f>
        <v>26</v>
      </c>
      <c r="G637" t="str">
        <v>Male</v>
      </c>
      <c r="H637" t="str">
        <v>UK</v>
      </c>
      <c r="I637">
        <v>4.8600000000000003</v>
      </c>
      <c r="L637" s="6" t="s">
        <v>1321</v>
      </c>
      <c r="M637" t="str" cm="1">
        <f t="array" ref="M637:O637">INDEX('Main Data'!A634:O1633,MATCH(L637,'Main Data'!A634:A1633,0),{3,7,14})</f>
        <v>Male</v>
      </c>
      <c r="N637">
        <v>153205.43</v>
      </c>
      <c r="O637">
        <v>4.8600000000000003</v>
      </c>
    </row>
    <row r="638" spans="1:15" x14ac:dyDescent="0.3">
      <c r="A638" s="6" t="s">
        <v>1323</v>
      </c>
      <c r="B638" cm="1">
        <f t="array" ref="B638:C638">_xlfn.XLOOKUP(A638,'Main Data'!A635:A1634,'Main Data'!B635:C1634,"Data Not Found",0)</f>
        <v>29</v>
      </c>
      <c r="C638" t="str">
        <v>Female</v>
      </c>
      <c r="E638" s="6" t="s">
        <v>1323</v>
      </c>
      <c r="F638" cm="1">
        <f t="array" ref="F638:I638">VLOOKUP(E638,CHOOSE({1,2,3,4,5},'Main Data'!A635:A1634,'Main Data'!B635:B1634,'Main Data'!C635:C1634,'Main Data'!M635:M1634,'Main Data'!N635:N1634),{2,3,4,5},0)</f>
        <v>29</v>
      </c>
      <c r="G638" t="str">
        <v>Female</v>
      </c>
      <c r="H638" t="str">
        <v>UAE</v>
      </c>
      <c r="I638">
        <v>1.23</v>
      </c>
      <c r="L638" s="6" t="s">
        <v>1323</v>
      </c>
      <c r="M638" t="str" cm="1">
        <f t="array" ref="M638:O638">INDEX('Main Data'!A635:O1634,MATCH(L638,'Main Data'!A635:A1634,0),{3,7,14})</f>
        <v>Female</v>
      </c>
      <c r="N638">
        <v>169668.18</v>
      </c>
      <c r="O638">
        <v>1.23</v>
      </c>
    </row>
    <row r="639" spans="1:15" x14ac:dyDescent="0.3">
      <c r="A639" s="6" t="s">
        <v>1325</v>
      </c>
      <c r="B639" cm="1">
        <f t="array" ref="B639:C639">_xlfn.XLOOKUP(A639,'Main Data'!A636:A1635,'Main Data'!B636:C1635,"Data Not Found",0)</f>
        <v>25</v>
      </c>
      <c r="C639" t="str">
        <v>Other</v>
      </c>
      <c r="E639" s="6" t="s">
        <v>1325</v>
      </c>
      <c r="F639" cm="1">
        <f t="array" ref="F639:I639">VLOOKUP(E639,CHOOSE({1,2,3,4,5},'Main Data'!A636:A1635,'Main Data'!B636:B1635,'Main Data'!C636:C1635,'Main Data'!M636:M1635,'Main Data'!N636:N1635),{2,3,4,5},0)</f>
        <v>25</v>
      </c>
      <c r="G639" t="str">
        <v>Other</v>
      </c>
      <c r="H639" t="str">
        <v>Japan</v>
      </c>
      <c r="I639">
        <v>4.1399999999999997</v>
      </c>
      <c r="L639" s="6" t="s">
        <v>1325</v>
      </c>
      <c r="M639" t="str" cm="1">
        <f t="array" ref="M639:O639">INDEX('Main Data'!A636:O1635,MATCH(L639,'Main Data'!A636:A1635,0),{3,7,14})</f>
        <v>Other</v>
      </c>
      <c r="N639">
        <v>111696.18</v>
      </c>
      <c r="O639">
        <v>4.1399999999999997</v>
      </c>
    </row>
    <row r="640" spans="1:15" x14ac:dyDescent="0.3">
      <c r="A640" s="6" t="s">
        <v>1327</v>
      </c>
      <c r="B640" cm="1">
        <f t="array" ref="B640:C640">_xlfn.XLOOKUP(A640,'Main Data'!A637:A1636,'Main Data'!B637:C1636,"Data Not Found",0)</f>
        <v>34</v>
      </c>
      <c r="C640" t="str">
        <v>Other</v>
      </c>
      <c r="E640" s="6" t="s">
        <v>1327</v>
      </c>
      <c r="F640" cm="1">
        <f t="array" ref="F640:I640">VLOOKUP(E640,CHOOSE({1,2,3,4,5},'Main Data'!A637:A1636,'Main Data'!B637:B1636,'Main Data'!C637:C1636,'Main Data'!M637:M1636,'Main Data'!N637:N1636),{2,3,4,5},0)</f>
        <v>34</v>
      </c>
      <c r="G640" t="str">
        <v>Other</v>
      </c>
      <c r="H640" t="str">
        <v>USA</v>
      </c>
      <c r="I640">
        <v>2.1</v>
      </c>
      <c r="L640" s="6" t="s">
        <v>1327</v>
      </c>
      <c r="M640" t="str" cm="1">
        <f t="array" ref="M640:O640">INDEX('Main Data'!A637:O1636,MATCH(L640,'Main Data'!A637:A1636,0),{3,7,14})</f>
        <v>Other</v>
      </c>
      <c r="N640">
        <v>158624.41</v>
      </c>
      <c r="O640">
        <v>2.1</v>
      </c>
    </row>
    <row r="641" spans="1:15" x14ac:dyDescent="0.3">
      <c r="A641" s="6" t="s">
        <v>1329</v>
      </c>
      <c r="B641" cm="1">
        <f t="array" ref="B641:C641">_xlfn.XLOOKUP(A641,'Main Data'!A638:A1637,'Main Data'!B638:C1637,"Data Not Found",0)</f>
        <v>59</v>
      </c>
      <c r="C641" t="str">
        <v>Other</v>
      </c>
      <c r="E641" s="6" t="s">
        <v>1329</v>
      </c>
      <c r="F641" cm="1">
        <f t="array" ref="F641:I641">VLOOKUP(E641,CHOOSE({1,2,3,4,5},'Main Data'!A638:A1637,'Main Data'!B638:B1637,'Main Data'!C638:C1637,'Main Data'!M638:M1637,'Main Data'!N638:N1637),{2,3,4,5},0)</f>
        <v>59</v>
      </c>
      <c r="G641" t="str">
        <v>Other</v>
      </c>
      <c r="H641" t="str">
        <v>France</v>
      </c>
      <c r="I641">
        <v>2.5299999999999998</v>
      </c>
      <c r="L641" s="6" t="s">
        <v>1329</v>
      </c>
      <c r="M641" t="str" cm="1">
        <f t="array" ref="M641:O641">INDEX('Main Data'!A638:O1637,MATCH(L641,'Main Data'!A638:A1637,0),{3,7,14})</f>
        <v>Other</v>
      </c>
      <c r="N641">
        <v>64248.01</v>
      </c>
      <c r="O641">
        <v>2.5299999999999998</v>
      </c>
    </row>
    <row r="642" spans="1:15" x14ac:dyDescent="0.3">
      <c r="A642" s="6" t="s">
        <v>1331</v>
      </c>
      <c r="B642" cm="1">
        <f t="array" ref="B642:C642">_xlfn.XLOOKUP(A642,'Main Data'!A639:A1638,'Main Data'!B639:C1638,"Data Not Found",0)</f>
        <v>40</v>
      </c>
      <c r="C642" t="str">
        <v>Other</v>
      </c>
      <c r="E642" s="6" t="s">
        <v>1331</v>
      </c>
      <c r="F642" cm="1">
        <f t="array" ref="F642:I642">VLOOKUP(E642,CHOOSE({1,2,3,4,5},'Main Data'!A639:A1638,'Main Data'!B639:B1638,'Main Data'!C639:C1638,'Main Data'!M639:M1638,'Main Data'!N639:N1638),{2,3,4,5},0)</f>
        <v>40</v>
      </c>
      <c r="G642" t="str">
        <v>Other</v>
      </c>
      <c r="H642" t="str">
        <v>UK</v>
      </c>
      <c r="I642">
        <v>1.56</v>
      </c>
      <c r="L642" s="6" t="s">
        <v>1331</v>
      </c>
      <c r="M642" t="str" cm="1">
        <f t="array" ref="M642:O642">INDEX('Main Data'!A639:O1638,MATCH(L642,'Main Data'!A639:A1638,0),{3,7,14})</f>
        <v>Other</v>
      </c>
      <c r="N642">
        <v>68255.63</v>
      </c>
      <c r="O642">
        <v>1.56</v>
      </c>
    </row>
    <row r="643" spans="1:15" x14ac:dyDescent="0.3">
      <c r="A643" s="6" t="s">
        <v>1333</v>
      </c>
      <c r="B643" cm="1">
        <f t="array" ref="B643:C643">_xlfn.XLOOKUP(A643,'Main Data'!A640:A1639,'Main Data'!B640:C1639,"Data Not Found",0)</f>
        <v>29</v>
      </c>
      <c r="C643" t="str">
        <v>Other</v>
      </c>
      <c r="E643" s="6" t="s">
        <v>1333</v>
      </c>
      <c r="F643" cm="1">
        <f t="array" ref="F643:I643">VLOOKUP(E643,CHOOSE({1,2,3,4,5},'Main Data'!A640:A1639,'Main Data'!B640:B1639,'Main Data'!C640:C1639,'Main Data'!M640:M1639,'Main Data'!N640:N1639),{2,3,4,5},0)</f>
        <v>29</v>
      </c>
      <c r="G643" t="str">
        <v>Other</v>
      </c>
      <c r="H643" t="str">
        <v>UAE</v>
      </c>
      <c r="I643">
        <v>3.53</v>
      </c>
      <c r="L643" s="6" t="s">
        <v>1333</v>
      </c>
      <c r="M643" t="str" cm="1">
        <f t="array" ref="M643:O643">INDEX('Main Data'!A640:O1639,MATCH(L643,'Main Data'!A640:A1639,0),{3,7,14})</f>
        <v>Other</v>
      </c>
      <c r="N643">
        <v>112412.55</v>
      </c>
      <c r="O643">
        <v>3.53</v>
      </c>
    </row>
    <row r="644" spans="1:15" x14ac:dyDescent="0.3">
      <c r="A644" s="6" t="s">
        <v>1335</v>
      </c>
      <c r="B644" cm="1">
        <f t="array" ref="B644:C644">_xlfn.XLOOKUP(A644,'Main Data'!A641:A1640,'Main Data'!B641:C1640,"Data Not Found",0)</f>
        <v>48</v>
      </c>
      <c r="C644" t="str">
        <v>Female</v>
      </c>
      <c r="E644" s="6" t="s">
        <v>1335</v>
      </c>
      <c r="F644" cm="1">
        <f t="array" ref="F644:I644">VLOOKUP(E644,CHOOSE({1,2,3,4,5},'Main Data'!A641:A1640,'Main Data'!B641:B1640,'Main Data'!C641:C1640,'Main Data'!M641:M1640,'Main Data'!N641:N1640),{2,3,4,5},0)</f>
        <v>48</v>
      </c>
      <c r="G644" t="str">
        <v>Female</v>
      </c>
      <c r="H644" t="str">
        <v>Japan</v>
      </c>
      <c r="I644">
        <v>2.0299999999999998</v>
      </c>
      <c r="L644" s="6" t="s">
        <v>1335</v>
      </c>
      <c r="M644" t="str" cm="1">
        <f t="array" ref="M644:O644">INDEX('Main Data'!A641:O1640,MATCH(L644,'Main Data'!A641:A1640,0),{3,7,14})</f>
        <v>Female</v>
      </c>
      <c r="N644">
        <v>158607.1</v>
      </c>
      <c r="O644">
        <v>2.0299999999999998</v>
      </c>
    </row>
    <row r="645" spans="1:15" x14ac:dyDescent="0.3">
      <c r="A645" s="6" t="s">
        <v>1337</v>
      </c>
      <c r="B645" cm="1">
        <f t="array" ref="B645:C645">_xlfn.XLOOKUP(A645,'Main Data'!A642:A1641,'Main Data'!B642:C1641,"Data Not Found",0)</f>
        <v>51</v>
      </c>
      <c r="C645" t="str">
        <v>Other</v>
      </c>
      <c r="E645" s="6" t="s">
        <v>1337</v>
      </c>
      <c r="F645" cm="1">
        <f t="array" ref="F645:I645">VLOOKUP(E645,CHOOSE({1,2,3,4,5},'Main Data'!A642:A1641,'Main Data'!B642:B1641,'Main Data'!C642:C1641,'Main Data'!M642:M1641,'Main Data'!N642:N1641),{2,3,4,5},0)</f>
        <v>51</v>
      </c>
      <c r="G645" t="str">
        <v>Other</v>
      </c>
      <c r="H645" t="str">
        <v>USA</v>
      </c>
      <c r="I645">
        <v>2.09</v>
      </c>
      <c r="L645" s="6" t="s">
        <v>1337</v>
      </c>
      <c r="M645" t="str" cm="1">
        <f t="array" ref="M645:O645">INDEX('Main Data'!A642:O1641,MATCH(L645,'Main Data'!A642:A1641,0),{3,7,14})</f>
        <v>Other</v>
      </c>
      <c r="N645">
        <v>187233.17</v>
      </c>
      <c r="O645">
        <v>2.09</v>
      </c>
    </row>
    <row r="646" spans="1:15" x14ac:dyDescent="0.3">
      <c r="A646" s="6" t="s">
        <v>1339</v>
      </c>
      <c r="B646" cm="1">
        <f t="array" ref="B646:C646">_xlfn.XLOOKUP(A646,'Main Data'!A643:A1642,'Main Data'!B643:C1642,"Data Not Found",0)</f>
        <v>25</v>
      </c>
      <c r="C646" t="str">
        <v>Male</v>
      </c>
      <c r="E646" s="6" t="s">
        <v>1339</v>
      </c>
      <c r="F646" cm="1">
        <f t="array" ref="F646:I646">VLOOKUP(E646,CHOOSE({1,2,3,4,5},'Main Data'!A643:A1642,'Main Data'!B643:B1642,'Main Data'!C643:C1642,'Main Data'!M643:M1642,'Main Data'!N643:N1642),{2,3,4,5},0)</f>
        <v>25</v>
      </c>
      <c r="G646" t="str">
        <v>Male</v>
      </c>
      <c r="H646" t="str">
        <v>France</v>
      </c>
      <c r="I646">
        <v>3.31</v>
      </c>
      <c r="L646" s="6" t="s">
        <v>1339</v>
      </c>
      <c r="M646" t="str" cm="1">
        <f t="array" ref="M646:O646">INDEX('Main Data'!A643:O1642,MATCH(L646,'Main Data'!A643:A1642,0),{3,7,14})</f>
        <v>Male</v>
      </c>
      <c r="N646">
        <v>150847.21</v>
      </c>
      <c r="O646">
        <v>3.31</v>
      </c>
    </row>
    <row r="647" spans="1:15" x14ac:dyDescent="0.3">
      <c r="A647" s="6" t="s">
        <v>1341</v>
      </c>
      <c r="B647" cm="1">
        <f t="array" ref="B647:C647">_xlfn.XLOOKUP(A647,'Main Data'!A644:A1643,'Main Data'!B644:C1643,"Data Not Found",0)</f>
        <v>32</v>
      </c>
      <c r="C647" t="str">
        <v>Male</v>
      </c>
      <c r="E647" s="6" t="s">
        <v>1341</v>
      </c>
      <c r="F647" cm="1">
        <f t="array" ref="F647:I647">VLOOKUP(E647,CHOOSE({1,2,3,4,5},'Main Data'!A644:A1643,'Main Data'!B644:B1643,'Main Data'!C644:C1643,'Main Data'!M644:M1643,'Main Data'!N644:N1643),{2,3,4,5},0)</f>
        <v>32</v>
      </c>
      <c r="G647" t="str">
        <v>Male</v>
      </c>
      <c r="H647" t="str">
        <v>UK</v>
      </c>
      <c r="I647">
        <v>2.17</v>
      </c>
      <c r="L647" s="6" t="s">
        <v>1341</v>
      </c>
      <c r="M647" t="str" cm="1">
        <f t="array" ref="M647:O647">INDEX('Main Data'!A644:O1643,MATCH(L647,'Main Data'!A644:A1643,0),{3,7,14})</f>
        <v>Male</v>
      </c>
      <c r="N647">
        <v>76919.47</v>
      </c>
      <c r="O647">
        <v>2.17</v>
      </c>
    </row>
    <row r="648" spans="1:15" x14ac:dyDescent="0.3">
      <c r="A648" s="6" t="s">
        <v>1343</v>
      </c>
      <c r="B648" cm="1">
        <f t="array" ref="B648:C648">_xlfn.XLOOKUP(A648,'Main Data'!A645:A1644,'Main Data'!B645:C1644,"Data Not Found",0)</f>
        <v>42</v>
      </c>
      <c r="C648" t="str">
        <v>Other</v>
      </c>
      <c r="E648" s="6" t="s">
        <v>1343</v>
      </c>
      <c r="F648" cm="1">
        <f t="array" ref="F648:I648">VLOOKUP(E648,CHOOSE({1,2,3,4,5},'Main Data'!A645:A1644,'Main Data'!B645:B1644,'Main Data'!C645:C1644,'Main Data'!M645:M1644,'Main Data'!N645:N1644),{2,3,4,5},0)</f>
        <v>42</v>
      </c>
      <c r="G648" t="str">
        <v>Other</v>
      </c>
      <c r="H648" t="str">
        <v>UAE</v>
      </c>
      <c r="I648">
        <v>4.95</v>
      </c>
      <c r="L648" s="6" t="s">
        <v>1343</v>
      </c>
      <c r="M648" t="str" cm="1">
        <f t="array" ref="M648:O648">INDEX('Main Data'!A645:O1644,MATCH(L648,'Main Data'!A645:A1644,0),{3,7,14})</f>
        <v>Other</v>
      </c>
      <c r="N648">
        <v>113011.89</v>
      </c>
      <c r="O648">
        <v>4.95</v>
      </c>
    </row>
    <row r="649" spans="1:15" x14ac:dyDescent="0.3">
      <c r="A649" s="6" t="s">
        <v>1345</v>
      </c>
      <c r="B649" cm="1">
        <f t="array" ref="B649:C649">_xlfn.XLOOKUP(A649,'Main Data'!A646:A1645,'Main Data'!B646:C1645,"Data Not Found",0)</f>
        <v>64</v>
      </c>
      <c r="C649" t="str">
        <v>Male</v>
      </c>
      <c r="E649" s="6" t="s">
        <v>1345</v>
      </c>
      <c r="F649" cm="1">
        <f t="array" ref="F649:I649">VLOOKUP(E649,CHOOSE({1,2,3,4,5},'Main Data'!A646:A1645,'Main Data'!B646:B1645,'Main Data'!C646:C1645,'Main Data'!M646:M1645,'Main Data'!N646:N1645),{2,3,4,5},0)</f>
        <v>64</v>
      </c>
      <c r="G649" t="str">
        <v>Male</v>
      </c>
      <c r="H649" t="str">
        <v>Japan</v>
      </c>
      <c r="I649">
        <v>4.93</v>
      </c>
      <c r="L649" s="6" t="s">
        <v>1345</v>
      </c>
      <c r="M649" t="str" cm="1">
        <f t="array" ref="M649:O649">INDEX('Main Data'!A646:O1645,MATCH(L649,'Main Data'!A646:A1645,0),{3,7,14})</f>
        <v>Male</v>
      </c>
      <c r="N649">
        <v>90982.91</v>
      </c>
      <c r="O649">
        <v>4.93</v>
      </c>
    </row>
    <row r="650" spans="1:15" x14ac:dyDescent="0.3">
      <c r="A650" s="6" t="s">
        <v>1347</v>
      </c>
      <c r="B650" cm="1">
        <f t="array" ref="B650:C650">_xlfn.XLOOKUP(A650,'Main Data'!A647:A1646,'Main Data'!B647:C1646,"Data Not Found",0)</f>
        <v>23</v>
      </c>
      <c r="C650" t="str">
        <v>Other</v>
      </c>
      <c r="E650" s="6" t="s">
        <v>1347</v>
      </c>
      <c r="F650" cm="1">
        <f t="array" ref="F650:I650">VLOOKUP(E650,CHOOSE({1,2,3,4,5},'Main Data'!A647:A1646,'Main Data'!B647:B1646,'Main Data'!C647:C1646,'Main Data'!M647:M1646,'Main Data'!N647:N1646),{2,3,4,5},0)</f>
        <v>23</v>
      </c>
      <c r="G650" t="str">
        <v>Other</v>
      </c>
      <c r="H650" t="str">
        <v>USA</v>
      </c>
      <c r="I650">
        <v>3.76</v>
      </c>
      <c r="L650" s="6" t="s">
        <v>1347</v>
      </c>
      <c r="M650" t="str" cm="1">
        <f t="array" ref="M650:O650">INDEX('Main Data'!A647:O1646,MATCH(L650,'Main Data'!A647:A1646,0),{3,7,14})</f>
        <v>Other</v>
      </c>
      <c r="N650">
        <v>60115.79</v>
      </c>
      <c r="O650">
        <v>3.76</v>
      </c>
    </row>
    <row r="651" spans="1:15" x14ac:dyDescent="0.3">
      <c r="A651" s="6" t="s">
        <v>1349</v>
      </c>
      <c r="B651" cm="1">
        <f t="array" ref="B651:C651">_xlfn.XLOOKUP(A651,'Main Data'!A648:A1647,'Main Data'!B648:C1647,"Data Not Found",0)</f>
        <v>42</v>
      </c>
      <c r="C651" t="str">
        <v>Female</v>
      </c>
      <c r="E651" s="6" t="s">
        <v>1349</v>
      </c>
      <c r="F651" cm="1">
        <f t="array" ref="F651:I651">VLOOKUP(E651,CHOOSE({1,2,3,4,5},'Main Data'!A648:A1647,'Main Data'!B648:B1647,'Main Data'!C648:C1647,'Main Data'!M648:M1647,'Main Data'!N648:N1647),{2,3,4,5},0)</f>
        <v>42</v>
      </c>
      <c r="G651" t="str">
        <v>Female</v>
      </c>
      <c r="H651" t="str">
        <v>France</v>
      </c>
      <c r="I651">
        <v>1.63</v>
      </c>
      <c r="L651" s="6" t="s">
        <v>1349</v>
      </c>
      <c r="M651" t="str" cm="1">
        <f t="array" ref="M651:O651">INDEX('Main Data'!A648:O1647,MATCH(L651,'Main Data'!A648:A1647,0),{3,7,14})</f>
        <v>Female</v>
      </c>
      <c r="N651">
        <v>173867.8</v>
      </c>
      <c r="O651">
        <v>1.63</v>
      </c>
    </row>
    <row r="652" spans="1:15" x14ac:dyDescent="0.3">
      <c r="A652" s="6" t="s">
        <v>1351</v>
      </c>
      <c r="B652" cm="1">
        <f t="array" ref="B652:C652">_xlfn.XLOOKUP(A652,'Main Data'!A649:A1648,'Main Data'!B649:C1648,"Data Not Found",0)</f>
        <v>38</v>
      </c>
      <c r="C652" t="str">
        <v>Male</v>
      </c>
      <c r="E652" s="6" t="s">
        <v>1351</v>
      </c>
      <c r="F652" cm="1">
        <f t="array" ref="F652:I652">VLOOKUP(E652,CHOOSE({1,2,3,4,5},'Main Data'!A649:A1648,'Main Data'!B649:B1648,'Main Data'!C649:C1648,'Main Data'!M649:M1648,'Main Data'!N649:N1648),{2,3,4,5},0)</f>
        <v>38</v>
      </c>
      <c r="G652" t="str">
        <v>Male</v>
      </c>
      <c r="H652" t="str">
        <v>UK</v>
      </c>
      <c r="I652">
        <v>3.14</v>
      </c>
      <c r="L652" s="6" t="s">
        <v>1351</v>
      </c>
      <c r="M652" t="str" cm="1">
        <f t="array" ref="M652:O652">INDEX('Main Data'!A649:O1648,MATCH(L652,'Main Data'!A649:A1648,0),{3,7,14})</f>
        <v>Male</v>
      </c>
      <c r="N652">
        <v>101529.57</v>
      </c>
      <c r="O652">
        <v>3.14</v>
      </c>
    </row>
    <row r="653" spans="1:15" x14ac:dyDescent="0.3">
      <c r="A653" s="6" t="s">
        <v>1353</v>
      </c>
      <c r="B653" cm="1">
        <f t="array" ref="B653:C653">_xlfn.XLOOKUP(A653,'Main Data'!A650:A1649,'Main Data'!B650:C1649,"Data Not Found",0)</f>
        <v>64</v>
      </c>
      <c r="C653" t="str">
        <v>Other</v>
      </c>
      <c r="E653" s="6" t="s">
        <v>1353</v>
      </c>
      <c r="F653" cm="1">
        <f t="array" ref="F653:I653">VLOOKUP(E653,CHOOSE({1,2,3,4,5},'Main Data'!A650:A1649,'Main Data'!B650:B1649,'Main Data'!C650:C1649,'Main Data'!M650:M1649,'Main Data'!N650:N1649),{2,3,4,5},0)</f>
        <v>64</v>
      </c>
      <c r="G653" t="str">
        <v>Other</v>
      </c>
      <c r="H653" t="str">
        <v>UAE</v>
      </c>
      <c r="I653">
        <v>1.21</v>
      </c>
      <c r="L653" s="6" t="s">
        <v>1353</v>
      </c>
      <c r="M653" t="str" cm="1">
        <f t="array" ref="M653:O653">INDEX('Main Data'!A650:O1649,MATCH(L653,'Main Data'!A650:A1649,0),{3,7,14})</f>
        <v>Other</v>
      </c>
      <c r="N653">
        <v>127649.35</v>
      </c>
      <c r="O653">
        <v>1.21</v>
      </c>
    </row>
    <row r="654" spans="1:15" x14ac:dyDescent="0.3">
      <c r="A654" s="6" t="s">
        <v>1355</v>
      </c>
      <c r="B654" cm="1">
        <f t="array" ref="B654:C654">_xlfn.XLOOKUP(A654,'Main Data'!A651:A1650,'Main Data'!B651:C1650,"Data Not Found",0)</f>
        <v>50</v>
      </c>
      <c r="C654" t="str">
        <v>Male</v>
      </c>
      <c r="E654" s="6" t="s">
        <v>1355</v>
      </c>
      <c r="F654" cm="1">
        <f t="array" ref="F654:I654">VLOOKUP(E654,CHOOSE({1,2,3,4,5},'Main Data'!A651:A1650,'Main Data'!B651:B1650,'Main Data'!C651:C1650,'Main Data'!M651:M1650,'Main Data'!N651:N1650),{2,3,4,5},0)</f>
        <v>50</v>
      </c>
      <c r="G654" t="str">
        <v>Male</v>
      </c>
      <c r="H654" t="str">
        <v>Japan</v>
      </c>
      <c r="I654">
        <v>2.75</v>
      </c>
      <c r="L654" s="6" t="s">
        <v>1355</v>
      </c>
      <c r="M654" t="str" cm="1">
        <f t="array" ref="M654:O654">INDEX('Main Data'!A651:O1650,MATCH(L654,'Main Data'!A651:A1650,0),{3,7,14})</f>
        <v>Male</v>
      </c>
      <c r="N654">
        <v>136504.01999999999</v>
      </c>
      <c r="O654">
        <v>2.75</v>
      </c>
    </row>
    <row r="655" spans="1:15" x14ac:dyDescent="0.3">
      <c r="A655" s="6" t="s">
        <v>1357</v>
      </c>
      <c r="B655" cm="1">
        <f t="array" ref="B655:C655">_xlfn.XLOOKUP(A655,'Main Data'!A652:A1651,'Main Data'!B652:C1651,"Data Not Found",0)</f>
        <v>48</v>
      </c>
      <c r="C655" t="str">
        <v>Other</v>
      </c>
      <c r="E655" s="6" t="s">
        <v>1357</v>
      </c>
      <c r="F655" cm="1">
        <f t="array" ref="F655:I655">VLOOKUP(E655,CHOOSE({1,2,3,4,5},'Main Data'!A652:A1651,'Main Data'!B652:B1651,'Main Data'!C652:C1651,'Main Data'!M652:M1651,'Main Data'!N652:N1651),{2,3,4,5},0)</f>
        <v>48</v>
      </c>
      <c r="G655" t="str">
        <v>Other</v>
      </c>
      <c r="H655" t="str">
        <v>USA</v>
      </c>
      <c r="I655">
        <v>1.28</v>
      </c>
      <c r="L655" s="6" t="s">
        <v>1357</v>
      </c>
      <c r="M655" t="str" cm="1">
        <f t="array" ref="M655:O655">INDEX('Main Data'!A652:O1651,MATCH(L655,'Main Data'!A652:A1651,0),{3,7,14})</f>
        <v>Other</v>
      </c>
      <c r="N655">
        <v>188112.37</v>
      </c>
      <c r="O655">
        <v>1.28</v>
      </c>
    </row>
    <row r="656" spans="1:15" x14ac:dyDescent="0.3">
      <c r="A656" s="6" t="s">
        <v>1359</v>
      </c>
      <c r="B656" cm="1">
        <f t="array" ref="B656:C656">_xlfn.XLOOKUP(A656,'Main Data'!A653:A1652,'Main Data'!B653:C1652,"Data Not Found",0)</f>
        <v>45</v>
      </c>
      <c r="C656" t="str">
        <v>Male</v>
      </c>
      <c r="E656" s="6" t="s">
        <v>1359</v>
      </c>
      <c r="F656" cm="1">
        <f t="array" ref="F656:I656">VLOOKUP(E656,CHOOSE({1,2,3,4,5},'Main Data'!A653:A1652,'Main Data'!B653:B1652,'Main Data'!C653:C1652,'Main Data'!M653:M1652,'Main Data'!N653:N1652),{2,3,4,5},0)</f>
        <v>45</v>
      </c>
      <c r="G656" t="str">
        <v>Male</v>
      </c>
      <c r="H656" t="str">
        <v>France</v>
      </c>
      <c r="I656">
        <v>2.58</v>
      </c>
      <c r="L656" s="6" t="s">
        <v>1359</v>
      </c>
      <c r="M656" t="str" cm="1">
        <f t="array" ref="M656:O656">INDEX('Main Data'!A653:O1652,MATCH(L656,'Main Data'!A653:A1652,0),{3,7,14})</f>
        <v>Male</v>
      </c>
      <c r="N656">
        <v>65045.99</v>
      </c>
      <c r="O656">
        <v>2.58</v>
      </c>
    </row>
    <row r="657" spans="1:15" x14ac:dyDescent="0.3">
      <c r="A657" s="6" t="s">
        <v>1361</v>
      </c>
      <c r="B657" cm="1">
        <f t="array" ref="B657:C657">_xlfn.XLOOKUP(A657,'Main Data'!A654:A1653,'Main Data'!B654:C1653,"Data Not Found",0)</f>
        <v>24</v>
      </c>
      <c r="C657" t="str">
        <v>Female</v>
      </c>
      <c r="E657" s="6" t="s">
        <v>1361</v>
      </c>
      <c r="F657" cm="1">
        <f t="array" ref="F657:I657">VLOOKUP(E657,CHOOSE({1,2,3,4,5},'Main Data'!A654:A1653,'Main Data'!B654:B1653,'Main Data'!C654:C1653,'Main Data'!M654:M1653,'Main Data'!N654:N1653),{2,3,4,5},0)</f>
        <v>24</v>
      </c>
      <c r="G657" t="str">
        <v>Female</v>
      </c>
      <c r="H657" t="str">
        <v>UK</v>
      </c>
      <c r="I657">
        <v>4.4000000000000004</v>
      </c>
      <c r="L657" s="6" t="s">
        <v>1361</v>
      </c>
      <c r="M657" t="str" cm="1">
        <f t="array" ref="M657:O657">INDEX('Main Data'!A654:O1653,MATCH(L657,'Main Data'!A654:A1653,0),{3,7,14})</f>
        <v>Female</v>
      </c>
      <c r="N657">
        <v>195862.91</v>
      </c>
      <c r="O657">
        <v>4.4000000000000004</v>
      </c>
    </row>
    <row r="658" spans="1:15" x14ac:dyDescent="0.3">
      <c r="A658" s="6" t="s">
        <v>1363</v>
      </c>
      <c r="B658" cm="1">
        <f t="array" ref="B658:C658">_xlfn.XLOOKUP(A658,'Main Data'!A655:A1654,'Main Data'!B655:C1654,"Data Not Found",0)</f>
        <v>60</v>
      </c>
      <c r="C658" t="str">
        <v>Male</v>
      </c>
      <c r="E658" s="6" t="s">
        <v>1363</v>
      </c>
      <c r="F658" cm="1">
        <f t="array" ref="F658:I658">VLOOKUP(E658,CHOOSE({1,2,3,4,5},'Main Data'!A655:A1654,'Main Data'!B655:B1654,'Main Data'!C655:C1654,'Main Data'!M655:M1654,'Main Data'!N655:N1654),{2,3,4,5},0)</f>
        <v>60</v>
      </c>
      <c r="G658" t="str">
        <v>Male</v>
      </c>
      <c r="H658" t="str">
        <v>UAE</v>
      </c>
      <c r="I658">
        <v>1.1599999999999999</v>
      </c>
      <c r="L658" s="6" t="s">
        <v>1363</v>
      </c>
      <c r="M658" t="str" cm="1">
        <f t="array" ref="M658:O658">INDEX('Main Data'!A655:O1654,MATCH(L658,'Main Data'!A655:A1654,0),{3,7,14})</f>
        <v>Male</v>
      </c>
      <c r="N658">
        <v>116902.96</v>
      </c>
      <c r="O658">
        <v>1.1599999999999999</v>
      </c>
    </row>
    <row r="659" spans="1:15" x14ac:dyDescent="0.3">
      <c r="A659" s="6" t="s">
        <v>1365</v>
      </c>
      <c r="B659" cm="1">
        <f t="array" ref="B659:C659">_xlfn.XLOOKUP(A659,'Main Data'!A656:A1655,'Main Data'!B656:C1655,"Data Not Found",0)</f>
        <v>31</v>
      </c>
      <c r="C659" t="str">
        <v>Male</v>
      </c>
      <c r="E659" s="6" t="s">
        <v>1365</v>
      </c>
      <c r="F659" cm="1">
        <f t="array" ref="F659:I659">VLOOKUP(E659,CHOOSE({1,2,3,4,5},'Main Data'!A656:A1655,'Main Data'!B656:B1655,'Main Data'!C656:C1655,'Main Data'!M656:M1655,'Main Data'!N656:N1655),{2,3,4,5},0)</f>
        <v>31</v>
      </c>
      <c r="G659" t="str">
        <v>Male</v>
      </c>
      <c r="H659" t="str">
        <v>Japan</v>
      </c>
      <c r="I659">
        <v>3.94</v>
      </c>
      <c r="L659" s="6" t="s">
        <v>1365</v>
      </c>
      <c r="M659" t="str" cm="1">
        <f t="array" ref="M659:O659">INDEX('Main Data'!A656:O1655,MATCH(L659,'Main Data'!A656:A1655,0),{3,7,14})</f>
        <v>Male</v>
      </c>
      <c r="N659">
        <v>127929.26</v>
      </c>
      <c r="O659">
        <v>3.94</v>
      </c>
    </row>
    <row r="660" spans="1:15" x14ac:dyDescent="0.3">
      <c r="A660" s="6" t="s">
        <v>1367</v>
      </c>
      <c r="B660" cm="1">
        <f t="array" ref="B660:C660">_xlfn.XLOOKUP(A660,'Main Data'!A657:A1656,'Main Data'!B657:C1656,"Data Not Found",0)</f>
        <v>24</v>
      </c>
      <c r="C660" t="str">
        <v>Male</v>
      </c>
      <c r="E660" s="6" t="s">
        <v>1367</v>
      </c>
      <c r="F660" cm="1">
        <f t="array" ref="F660:I660">VLOOKUP(E660,CHOOSE({1,2,3,4,5},'Main Data'!A657:A1656,'Main Data'!B657:B1656,'Main Data'!C657:C1656,'Main Data'!M657:M1656,'Main Data'!N657:N1656),{2,3,4,5},0)</f>
        <v>24</v>
      </c>
      <c r="G660" t="str">
        <v>Male</v>
      </c>
      <c r="H660" t="str">
        <v>USA</v>
      </c>
      <c r="I660">
        <v>3.71</v>
      </c>
      <c r="L660" s="6" t="s">
        <v>1367</v>
      </c>
      <c r="M660" t="str" cm="1">
        <f t="array" ref="M660:O660">INDEX('Main Data'!A657:O1656,MATCH(L660,'Main Data'!A657:A1656,0),{3,7,14})</f>
        <v>Male</v>
      </c>
      <c r="N660">
        <v>198719.92</v>
      </c>
      <c r="O660">
        <v>3.71</v>
      </c>
    </row>
    <row r="661" spans="1:15" x14ac:dyDescent="0.3">
      <c r="A661" s="6" t="s">
        <v>1369</v>
      </c>
      <c r="B661" cm="1">
        <f t="array" ref="B661:C661">_xlfn.XLOOKUP(A661,'Main Data'!A658:A1657,'Main Data'!B658:C1657,"Data Not Found",0)</f>
        <v>63</v>
      </c>
      <c r="C661" t="str">
        <v>Male</v>
      </c>
      <c r="E661" s="6" t="s">
        <v>1369</v>
      </c>
      <c r="F661" cm="1">
        <f t="array" ref="F661:I661">VLOOKUP(E661,CHOOSE({1,2,3,4,5},'Main Data'!A658:A1657,'Main Data'!B658:B1657,'Main Data'!C658:C1657,'Main Data'!M658:M1657,'Main Data'!N658:N1657),{2,3,4,5},0)</f>
        <v>63</v>
      </c>
      <c r="G661" t="str">
        <v>Male</v>
      </c>
      <c r="H661" t="str">
        <v>France</v>
      </c>
      <c r="I661">
        <v>4.84</v>
      </c>
      <c r="L661" s="6" t="s">
        <v>1369</v>
      </c>
      <c r="M661" t="str" cm="1">
        <f t="array" ref="M661:O661">INDEX('Main Data'!A658:O1657,MATCH(L661,'Main Data'!A658:A1657,0),{3,7,14})</f>
        <v>Male</v>
      </c>
      <c r="N661">
        <v>76363.62</v>
      </c>
      <c r="O661">
        <v>4.84</v>
      </c>
    </row>
    <row r="662" spans="1:15" x14ac:dyDescent="0.3">
      <c r="A662" s="6" t="s">
        <v>1371</v>
      </c>
      <c r="B662" cm="1">
        <f t="array" ref="B662:C662">_xlfn.XLOOKUP(A662,'Main Data'!A659:A1658,'Main Data'!B659:C1658,"Data Not Found",0)</f>
        <v>47</v>
      </c>
      <c r="C662" t="str">
        <v>Other</v>
      </c>
      <c r="E662" s="6" t="s">
        <v>1371</v>
      </c>
      <c r="F662" cm="1">
        <f t="array" ref="F662:I662">VLOOKUP(E662,CHOOSE({1,2,3,4,5},'Main Data'!A659:A1658,'Main Data'!B659:B1658,'Main Data'!C659:C1658,'Main Data'!M659:M1658,'Main Data'!N659:N1658),{2,3,4,5},0)</f>
        <v>47</v>
      </c>
      <c r="G662" t="str">
        <v>Other</v>
      </c>
      <c r="H662" t="str">
        <v>UK</v>
      </c>
      <c r="I662">
        <v>2.11</v>
      </c>
      <c r="L662" s="6" t="s">
        <v>1371</v>
      </c>
      <c r="M662" t="str" cm="1">
        <f t="array" ref="M662:O662">INDEX('Main Data'!A659:O1658,MATCH(L662,'Main Data'!A659:A1658,0),{3,7,14})</f>
        <v>Other</v>
      </c>
      <c r="N662">
        <v>160291.63</v>
      </c>
      <c r="O662">
        <v>2.11</v>
      </c>
    </row>
    <row r="663" spans="1:15" x14ac:dyDescent="0.3">
      <c r="A663" s="6" t="s">
        <v>1373</v>
      </c>
      <c r="B663" cm="1">
        <f t="array" ref="B663:C663">_xlfn.XLOOKUP(A663,'Main Data'!A660:A1659,'Main Data'!B660:C1659,"Data Not Found",0)</f>
        <v>58</v>
      </c>
      <c r="C663" t="str">
        <v>Female</v>
      </c>
      <c r="E663" s="6" t="s">
        <v>1373</v>
      </c>
      <c r="F663" cm="1">
        <f t="array" ref="F663:I663">VLOOKUP(E663,CHOOSE({1,2,3,4,5},'Main Data'!A660:A1659,'Main Data'!B660:B1659,'Main Data'!C660:C1659,'Main Data'!M660:M1659,'Main Data'!N660:N1659),{2,3,4,5},0)</f>
        <v>58</v>
      </c>
      <c r="G663" t="str">
        <v>Female</v>
      </c>
      <c r="H663" t="str">
        <v>UAE</v>
      </c>
      <c r="I663">
        <v>2.64</v>
      </c>
      <c r="L663" s="6" t="s">
        <v>1373</v>
      </c>
      <c r="M663" t="str" cm="1">
        <f t="array" ref="M663:O663">INDEX('Main Data'!A660:O1659,MATCH(L663,'Main Data'!A660:A1659,0),{3,7,14})</f>
        <v>Female</v>
      </c>
      <c r="N663">
        <v>152458.94</v>
      </c>
      <c r="O663">
        <v>2.64</v>
      </c>
    </row>
    <row r="664" spans="1:15" x14ac:dyDescent="0.3">
      <c r="A664" s="6" t="s">
        <v>1375</v>
      </c>
      <c r="B664" cm="1">
        <f t="array" ref="B664:C664">_xlfn.XLOOKUP(A664,'Main Data'!A661:A1660,'Main Data'!B661:C1660,"Data Not Found",0)</f>
        <v>48</v>
      </c>
      <c r="C664" t="str">
        <v>Female</v>
      </c>
      <c r="E664" s="6" t="s">
        <v>1375</v>
      </c>
      <c r="F664" cm="1">
        <f t="array" ref="F664:I664">VLOOKUP(E664,CHOOSE({1,2,3,4,5},'Main Data'!A661:A1660,'Main Data'!B661:B1660,'Main Data'!C661:C1660,'Main Data'!M661:M1660,'Main Data'!N661:N1660),{2,3,4,5},0)</f>
        <v>48</v>
      </c>
      <c r="G664" t="str">
        <v>Female</v>
      </c>
      <c r="H664" t="str">
        <v>Japan</v>
      </c>
      <c r="I664">
        <v>2.4500000000000002</v>
      </c>
      <c r="L664" s="6" t="s">
        <v>1375</v>
      </c>
      <c r="M664" t="str" cm="1">
        <f t="array" ref="M664:O664">INDEX('Main Data'!A661:O1660,MATCH(L664,'Main Data'!A661:A1660,0),{3,7,14})</f>
        <v>Female</v>
      </c>
      <c r="N664">
        <v>83624.28</v>
      </c>
      <c r="O664">
        <v>2.4500000000000002</v>
      </c>
    </row>
    <row r="665" spans="1:15" x14ac:dyDescent="0.3">
      <c r="A665" s="6" t="s">
        <v>1377</v>
      </c>
      <c r="B665" cm="1">
        <f t="array" ref="B665:C665">_xlfn.XLOOKUP(A665,'Main Data'!A662:A1661,'Main Data'!B662:C1661,"Data Not Found",0)</f>
        <v>26</v>
      </c>
      <c r="C665" t="str">
        <v>Male</v>
      </c>
      <c r="E665" s="6" t="s">
        <v>1377</v>
      </c>
      <c r="F665" cm="1">
        <f t="array" ref="F665:I665">VLOOKUP(E665,CHOOSE({1,2,3,4,5},'Main Data'!A662:A1661,'Main Data'!B662:B1661,'Main Data'!C662:C1661,'Main Data'!M662:M1661,'Main Data'!N662:N1661),{2,3,4,5},0)</f>
        <v>26</v>
      </c>
      <c r="G665" t="str">
        <v>Male</v>
      </c>
      <c r="H665" t="str">
        <v>USA</v>
      </c>
      <c r="I665">
        <v>1.67</v>
      </c>
      <c r="L665" s="6" t="s">
        <v>1377</v>
      </c>
      <c r="M665" t="str" cm="1">
        <f t="array" ref="M665:O665">INDEX('Main Data'!A662:O1661,MATCH(L665,'Main Data'!A662:A1661,0),{3,7,14})</f>
        <v>Male</v>
      </c>
      <c r="N665">
        <v>194938.78</v>
      </c>
      <c r="O665">
        <v>1.67</v>
      </c>
    </row>
    <row r="666" spans="1:15" x14ac:dyDescent="0.3">
      <c r="A666" s="6" t="s">
        <v>1379</v>
      </c>
      <c r="B666" cm="1">
        <f t="array" ref="B666:C666">_xlfn.XLOOKUP(A666,'Main Data'!A663:A1662,'Main Data'!B663:C1662,"Data Not Found",0)</f>
        <v>63</v>
      </c>
      <c r="C666" t="str">
        <v>Male</v>
      </c>
      <c r="E666" s="6" t="s">
        <v>1379</v>
      </c>
      <c r="F666" cm="1">
        <f t="array" ref="F666:I666">VLOOKUP(E666,CHOOSE({1,2,3,4,5},'Main Data'!A663:A1662,'Main Data'!B663:B1662,'Main Data'!C663:C1662,'Main Data'!M663:M1662,'Main Data'!N663:N1662),{2,3,4,5},0)</f>
        <v>63</v>
      </c>
      <c r="G666" t="str">
        <v>Male</v>
      </c>
      <c r="H666" t="str">
        <v>France</v>
      </c>
      <c r="I666">
        <v>3.47</v>
      </c>
      <c r="L666" s="6" t="s">
        <v>1379</v>
      </c>
      <c r="M666" t="str" cm="1">
        <f t="array" ref="M666:O666">INDEX('Main Data'!A663:O1662,MATCH(L666,'Main Data'!A663:A1662,0),{3,7,14})</f>
        <v>Male</v>
      </c>
      <c r="N666">
        <v>55487.42</v>
      </c>
      <c r="O666">
        <v>3.47</v>
      </c>
    </row>
    <row r="667" spans="1:15" x14ac:dyDescent="0.3">
      <c r="A667" s="6" t="s">
        <v>1381</v>
      </c>
      <c r="B667" cm="1">
        <f t="array" ref="B667:C667">_xlfn.XLOOKUP(A667,'Main Data'!A664:A1663,'Main Data'!B664:C1663,"Data Not Found",0)</f>
        <v>32</v>
      </c>
      <c r="C667" t="str">
        <v>Female</v>
      </c>
      <c r="E667" s="6" t="s">
        <v>1381</v>
      </c>
      <c r="F667" cm="1">
        <f t="array" ref="F667:I667">VLOOKUP(E667,CHOOSE({1,2,3,4,5},'Main Data'!A664:A1663,'Main Data'!B664:B1663,'Main Data'!C664:C1663,'Main Data'!M664:M1663,'Main Data'!N664:N1663),{2,3,4,5},0)</f>
        <v>32</v>
      </c>
      <c r="G667" t="str">
        <v>Female</v>
      </c>
      <c r="H667" t="str">
        <v>UK</v>
      </c>
      <c r="I667">
        <v>4.45</v>
      </c>
      <c r="L667" s="6" t="s">
        <v>1381</v>
      </c>
      <c r="M667" t="str" cm="1">
        <f t="array" ref="M667:O667">INDEX('Main Data'!A664:O1663,MATCH(L667,'Main Data'!A664:A1663,0),{3,7,14})</f>
        <v>Female</v>
      </c>
      <c r="N667">
        <v>149090.34</v>
      </c>
      <c r="O667">
        <v>4.45</v>
      </c>
    </row>
    <row r="668" spans="1:15" x14ac:dyDescent="0.3">
      <c r="A668" s="6" t="s">
        <v>1383</v>
      </c>
      <c r="B668" cm="1">
        <f t="array" ref="B668:C668">_xlfn.XLOOKUP(A668,'Main Data'!A665:A1664,'Main Data'!B665:C1664,"Data Not Found",0)</f>
        <v>34</v>
      </c>
      <c r="C668" t="str">
        <v>Female</v>
      </c>
      <c r="E668" s="6" t="s">
        <v>1383</v>
      </c>
      <c r="F668" cm="1">
        <f t="array" ref="F668:I668">VLOOKUP(E668,CHOOSE({1,2,3,4,5},'Main Data'!A665:A1664,'Main Data'!B665:B1664,'Main Data'!C665:C1664,'Main Data'!M665:M1664,'Main Data'!N665:N1664),{2,3,4,5},0)</f>
        <v>34</v>
      </c>
      <c r="G668" t="str">
        <v>Female</v>
      </c>
      <c r="H668" t="str">
        <v>UAE</v>
      </c>
      <c r="I668">
        <v>4.72</v>
      </c>
      <c r="L668" s="6" t="s">
        <v>1383</v>
      </c>
      <c r="M668" t="str" cm="1">
        <f t="array" ref="M668:O668">INDEX('Main Data'!A665:O1664,MATCH(L668,'Main Data'!A665:A1664,0),{3,7,14})</f>
        <v>Female</v>
      </c>
      <c r="N668">
        <v>181032.33</v>
      </c>
      <c r="O668">
        <v>4.72</v>
      </c>
    </row>
    <row r="669" spans="1:15" x14ac:dyDescent="0.3">
      <c r="A669" s="6" t="s">
        <v>1385</v>
      </c>
      <c r="B669" cm="1">
        <f t="array" ref="B669:C669">_xlfn.XLOOKUP(A669,'Main Data'!A666:A1665,'Main Data'!B666:C1665,"Data Not Found",0)</f>
        <v>62</v>
      </c>
      <c r="C669" t="str">
        <v>Female</v>
      </c>
      <c r="E669" s="6" t="s">
        <v>1385</v>
      </c>
      <c r="F669" cm="1">
        <f t="array" ref="F669:I669">VLOOKUP(E669,CHOOSE({1,2,3,4,5},'Main Data'!A666:A1665,'Main Data'!B666:B1665,'Main Data'!C666:C1665,'Main Data'!M666:M1665,'Main Data'!N666:N1665),{2,3,4,5},0)</f>
        <v>62</v>
      </c>
      <c r="G669" t="str">
        <v>Female</v>
      </c>
      <c r="H669" t="str">
        <v>Japan</v>
      </c>
      <c r="I669">
        <v>3.85</v>
      </c>
      <c r="L669" s="6" t="s">
        <v>1385</v>
      </c>
      <c r="M669" t="str" cm="1">
        <f t="array" ref="M669:O669">INDEX('Main Data'!A666:O1665,MATCH(L669,'Main Data'!A666:A1665,0),{3,7,14})</f>
        <v>Female</v>
      </c>
      <c r="N669">
        <v>110052.66</v>
      </c>
      <c r="O669">
        <v>3.85</v>
      </c>
    </row>
    <row r="670" spans="1:15" x14ac:dyDescent="0.3">
      <c r="A670" s="6" t="s">
        <v>1387</v>
      </c>
      <c r="B670" cm="1">
        <f t="array" ref="B670:C670">_xlfn.XLOOKUP(A670,'Main Data'!A667:A1666,'Main Data'!B667:C1666,"Data Not Found",0)</f>
        <v>55</v>
      </c>
      <c r="C670" t="str">
        <v>Female</v>
      </c>
      <c r="E670" s="6" t="s">
        <v>1387</v>
      </c>
      <c r="F670" cm="1">
        <f t="array" ref="F670:I670">VLOOKUP(E670,CHOOSE({1,2,3,4,5},'Main Data'!A667:A1666,'Main Data'!B667:B1666,'Main Data'!C667:C1666,'Main Data'!M667:M1666,'Main Data'!N667:N1666),{2,3,4,5},0)</f>
        <v>55</v>
      </c>
      <c r="G670" t="str">
        <v>Female</v>
      </c>
      <c r="H670" t="str">
        <v>USA</v>
      </c>
      <c r="I670">
        <v>3.05</v>
      </c>
      <c r="L670" s="6" t="s">
        <v>1387</v>
      </c>
      <c r="M670" t="str" cm="1">
        <f t="array" ref="M670:O670">INDEX('Main Data'!A667:O1666,MATCH(L670,'Main Data'!A667:A1666,0),{3,7,14})</f>
        <v>Female</v>
      </c>
      <c r="N670">
        <v>116486.61</v>
      </c>
      <c r="O670">
        <v>3.05</v>
      </c>
    </row>
    <row r="671" spans="1:15" x14ac:dyDescent="0.3">
      <c r="A671" s="6" t="s">
        <v>1389</v>
      </c>
      <c r="B671" cm="1">
        <f t="array" ref="B671:C671">_xlfn.XLOOKUP(A671,'Main Data'!A668:A1667,'Main Data'!B668:C1667,"Data Not Found",0)</f>
        <v>59</v>
      </c>
      <c r="C671" t="str">
        <v>Male</v>
      </c>
      <c r="E671" s="6" t="s">
        <v>1389</v>
      </c>
      <c r="F671" cm="1">
        <f t="array" ref="F671:I671">VLOOKUP(E671,CHOOSE({1,2,3,4,5},'Main Data'!A668:A1667,'Main Data'!B668:B1667,'Main Data'!C668:C1667,'Main Data'!M668:M1667,'Main Data'!N668:N1667),{2,3,4,5},0)</f>
        <v>59</v>
      </c>
      <c r="G671" t="str">
        <v>Male</v>
      </c>
      <c r="H671" t="str">
        <v>France</v>
      </c>
      <c r="I671">
        <v>3.96</v>
      </c>
      <c r="L671" s="6" t="s">
        <v>1389</v>
      </c>
      <c r="M671" t="str" cm="1">
        <f t="array" ref="M671:O671">INDEX('Main Data'!A668:O1667,MATCH(L671,'Main Data'!A668:A1667,0),{3,7,14})</f>
        <v>Male</v>
      </c>
      <c r="N671">
        <v>59861.93</v>
      </c>
      <c r="O671">
        <v>3.96</v>
      </c>
    </row>
    <row r="672" spans="1:15" x14ac:dyDescent="0.3">
      <c r="A672" s="6" t="s">
        <v>1391</v>
      </c>
      <c r="B672" cm="1">
        <f t="array" ref="B672:C672">_xlfn.XLOOKUP(A672,'Main Data'!A669:A1668,'Main Data'!B669:C1668,"Data Not Found",0)</f>
        <v>61</v>
      </c>
      <c r="C672" t="str">
        <v>Female</v>
      </c>
      <c r="E672" s="6" t="s">
        <v>1391</v>
      </c>
      <c r="F672" cm="1">
        <f t="array" ref="F672:I672">VLOOKUP(E672,CHOOSE({1,2,3,4,5},'Main Data'!A669:A1668,'Main Data'!B669:B1668,'Main Data'!C669:C1668,'Main Data'!M669:M1668,'Main Data'!N669:N1668),{2,3,4,5},0)</f>
        <v>61</v>
      </c>
      <c r="G672" t="str">
        <v>Female</v>
      </c>
      <c r="H672" t="str">
        <v>UK</v>
      </c>
      <c r="I672">
        <v>4.4800000000000004</v>
      </c>
      <c r="L672" s="6" t="s">
        <v>1391</v>
      </c>
      <c r="M672" t="str" cm="1">
        <f t="array" ref="M672:O672">INDEX('Main Data'!A669:O1668,MATCH(L672,'Main Data'!A669:A1668,0),{3,7,14})</f>
        <v>Female</v>
      </c>
      <c r="N672">
        <v>89493.53</v>
      </c>
      <c r="O672">
        <v>4.4800000000000004</v>
      </c>
    </row>
    <row r="673" spans="1:15" x14ac:dyDescent="0.3">
      <c r="A673" s="6" t="s">
        <v>1393</v>
      </c>
      <c r="B673" cm="1">
        <f t="array" ref="B673:C673">_xlfn.XLOOKUP(A673,'Main Data'!A670:A1669,'Main Data'!B670:C1669,"Data Not Found",0)</f>
        <v>54</v>
      </c>
      <c r="C673" t="str">
        <v>Male</v>
      </c>
      <c r="E673" s="6" t="s">
        <v>1393</v>
      </c>
      <c r="F673" cm="1">
        <f t="array" ref="F673:I673">VLOOKUP(E673,CHOOSE({1,2,3,4,5},'Main Data'!A670:A1669,'Main Data'!B670:B1669,'Main Data'!C670:C1669,'Main Data'!M670:M1669,'Main Data'!N670:N1669),{2,3,4,5},0)</f>
        <v>54</v>
      </c>
      <c r="G673" t="str">
        <v>Male</v>
      </c>
      <c r="H673" t="str">
        <v>UAE</v>
      </c>
      <c r="I673">
        <v>1.69</v>
      </c>
      <c r="L673" s="6" t="s">
        <v>1393</v>
      </c>
      <c r="M673" t="str" cm="1">
        <f t="array" ref="M673:O673">INDEX('Main Data'!A670:O1669,MATCH(L673,'Main Data'!A670:A1669,0),{3,7,14})</f>
        <v>Male</v>
      </c>
      <c r="N673">
        <v>157490.16</v>
      </c>
      <c r="O673">
        <v>1.69</v>
      </c>
    </row>
    <row r="674" spans="1:15" x14ac:dyDescent="0.3">
      <c r="A674" s="6" t="s">
        <v>1395</v>
      </c>
      <c r="B674" cm="1">
        <f t="array" ref="B674:C674">_xlfn.XLOOKUP(A674,'Main Data'!A671:A1670,'Main Data'!B671:C1670,"Data Not Found",0)</f>
        <v>55</v>
      </c>
      <c r="C674" t="str">
        <v>Male</v>
      </c>
      <c r="E674" s="6" t="s">
        <v>1395</v>
      </c>
      <c r="F674" cm="1">
        <f t="array" ref="F674:I674">VLOOKUP(E674,CHOOSE({1,2,3,4,5},'Main Data'!A671:A1670,'Main Data'!B671:B1670,'Main Data'!C671:C1670,'Main Data'!M671:M1670,'Main Data'!N671:N1670),{2,3,4,5},0)</f>
        <v>55</v>
      </c>
      <c r="G674" t="str">
        <v>Male</v>
      </c>
      <c r="H674" t="str">
        <v>Japan</v>
      </c>
      <c r="I674">
        <v>3.96</v>
      </c>
      <c r="L674" s="6" t="s">
        <v>1395</v>
      </c>
      <c r="M674" t="str" cm="1">
        <f t="array" ref="M674:O674">INDEX('Main Data'!A671:O1670,MATCH(L674,'Main Data'!A671:A1670,0),{3,7,14})</f>
        <v>Male</v>
      </c>
      <c r="N674">
        <v>197344.94</v>
      </c>
      <c r="O674">
        <v>3.96</v>
      </c>
    </row>
    <row r="675" spans="1:15" x14ac:dyDescent="0.3">
      <c r="A675" s="6" t="s">
        <v>1397</v>
      </c>
      <c r="B675" cm="1">
        <f t="array" ref="B675:C675">_xlfn.XLOOKUP(A675,'Main Data'!A672:A1671,'Main Data'!B672:C1671,"Data Not Found",0)</f>
        <v>48</v>
      </c>
      <c r="C675" t="str">
        <v>Female</v>
      </c>
      <c r="E675" s="6" t="s">
        <v>1397</v>
      </c>
      <c r="F675" cm="1">
        <f t="array" ref="F675:I675">VLOOKUP(E675,CHOOSE({1,2,3,4,5},'Main Data'!A672:A1671,'Main Data'!B672:B1671,'Main Data'!C672:C1671,'Main Data'!M672:M1671,'Main Data'!N672:N1671),{2,3,4,5},0)</f>
        <v>48</v>
      </c>
      <c r="G675" t="str">
        <v>Female</v>
      </c>
      <c r="H675" t="str">
        <v>USA</v>
      </c>
      <c r="I675">
        <v>4.97</v>
      </c>
      <c r="L675" s="6" t="s">
        <v>1397</v>
      </c>
      <c r="M675" t="str" cm="1">
        <f t="array" ref="M675:O675">INDEX('Main Data'!A672:O1671,MATCH(L675,'Main Data'!A672:A1671,0),{3,7,14})</f>
        <v>Female</v>
      </c>
      <c r="N675">
        <v>101753.24</v>
      </c>
      <c r="O675">
        <v>4.97</v>
      </c>
    </row>
    <row r="676" spans="1:15" x14ac:dyDescent="0.3">
      <c r="A676" s="6" t="s">
        <v>1399</v>
      </c>
      <c r="B676" cm="1">
        <f t="array" ref="B676:C676">_xlfn.XLOOKUP(A676,'Main Data'!A673:A1672,'Main Data'!B673:C1672,"Data Not Found",0)</f>
        <v>57</v>
      </c>
      <c r="C676" t="str">
        <v>Other</v>
      </c>
      <c r="E676" s="6" t="s">
        <v>1399</v>
      </c>
      <c r="F676" cm="1">
        <f t="array" ref="F676:I676">VLOOKUP(E676,CHOOSE({1,2,3,4,5},'Main Data'!A673:A1672,'Main Data'!B673:B1672,'Main Data'!C673:C1672,'Main Data'!M673:M1672,'Main Data'!N673:N1672),{2,3,4,5},0)</f>
        <v>57</v>
      </c>
      <c r="G676" t="str">
        <v>Other</v>
      </c>
      <c r="H676" t="str">
        <v>France</v>
      </c>
      <c r="I676">
        <v>2.5299999999999998</v>
      </c>
      <c r="L676" s="6" t="s">
        <v>1399</v>
      </c>
      <c r="M676" t="str" cm="1">
        <f t="array" ref="M676:O676">INDEX('Main Data'!A673:O1672,MATCH(L676,'Main Data'!A673:A1672,0),{3,7,14})</f>
        <v>Other</v>
      </c>
      <c r="N676">
        <v>72219.520000000004</v>
      </c>
      <c r="O676">
        <v>2.5299999999999998</v>
      </c>
    </row>
    <row r="677" spans="1:15" x14ac:dyDescent="0.3">
      <c r="A677" s="6" t="s">
        <v>1401</v>
      </c>
      <c r="B677" cm="1">
        <f t="array" ref="B677:C677">_xlfn.XLOOKUP(A677,'Main Data'!A674:A1673,'Main Data'!B674:C1673,"Data Not Found",0)</f>
        <v>47</v>
      </c>
      <c r="C677" t="str">
        <v>Male</v>
      </c>
      <c r="E677" s="6" t="s">
        <v>1401</v>
      </c>
      <c r="F677" cm="1">
        <f t="array" ref="F677:I677">VLOOKUP(E677,CHOOSE({1,2,3,4,5},'Main Data'!A674:A1673,'Main Data'!B674:B1673,'Main Data'!C674:C1673,'Main Data'!M674:M1673,'Main Data'!N674:N1673),{2,3,4,5},0)</f>
        <v>47</v>
      </c>
      <c r="G677" t="str">
        <v>Male</v>
      </c>
      <c r="H677" t="str">
        <v>UK</v>
      </c>
      <c r="I677">
        <v>4.9400000000000004</v>
      </c>
      <c r="L677" s="6" t="s">
        <v>1401</v>
      </c>
      <c r="M677" t="str" cm="1">
        <f t="array" ref="M677:O677">INDEX('Main Data'!A674:O1673,MATCH(L677,'Main Data'!A674:A1673,0),{3,7,14})</f>
        <v>Male</v>
      </c>
      <c r="N677">
        <v>63934.27</v>
      </c>
      <c r="O677">
        <v>4.9400000000000004</v>
      </c>
    </row>
    <row r="678" spans="1:15" x14ac:dyDescent="0.3">
      <c r="A678" s="6" t="s">
        <v>1403</v>
      </c>
      <c r="B678" cm="1">
        <f t="array" ref="B678:C678">_xlfn.XLOOKUP(A678,'Main Data'!A675:A1674,'Main Data'!B675:C1674,"Data Not Found",0)</f>
        <v>46</v>
      </c>
      <c r="C678" t="str">
        <v>Female</v>
      </c>
      <c r="E678" s="6" t="s">
        <v>1403</v>
      </c>
      <c r="F678" cm="1">
        <f t="array" ref="F678:I678">VLOOKUP(E678,CHOOSE({1,2,3,4,5},'Main Data'!A675:A1674,'Main Data'!B675:B1674,'Main Data'!C675:C1674,'Main Data'!M675:M1674,'Main Data'!N675:N1674),{2,3,4,5},0)</f>
        <v>46</v>
      </c>
      <c r="G678" t="str">
        <v>Female</v>
      </c>
      <c r="H678" t="str">
        <v>UAE</v>
      </c>
      <c r="I678">
        <v>1.87</v>
      </c>
      <c r="L678" s="6" t="s">
        <v>1403</v>
      </c>
      <c r="M678" t="str" cm="1">
        <f t="array" ref="M678:O678">INDEX('Main Data'!A675:O1674,MATCH(L678,'Main Data'!A675:A1674,0),{3,7,14})</f>
        <v>Female</v>
      </c>
      <c r="N678">
        <v>77055.44</v>
      </c>
      <c r="O678">
        <v>1.87</v>
      </c>
    </row>
    <row r="679" spans="1:15" x14ac:dyDescent="0.3">
      <c r="A679" s="6" t="s">
        <v>1405</v>
      </c>
      <c r="B679" cm="1">
        <f t="array" ref="B679:C679">_xlfn.XLOOKUP(A679,'Main Data'!A676:A1675,'Main Data'!B676:C1675,"Data Not Found",0)</f>
        <v>40</v>
      </c>
      <c r="C679" t="str">
        <v>Male</v>
      </c>
      <c r="E679" s="6" t="s">
        <v>1405</v>
      </c>
      <c r="F679" cm="1">
        <f t="array" ref="F679:I679">VLOOKUP(E679,CHOOSE({1,2,3,4,5},'Main Data'!A676:A1675,'Main Data'!B676:B1675,'Main Data'!C676:C1675,'Main Data'!M676:M1675,'Main Data'!N676:N1675),{2,3,4,5},0)</f>
        <v>40</v>
      </c>
      <c r="G679" t="str">
        <v>Male</v>
      </c>
      <c r="H679" t="str">
        <v>Japan</v>
      </c>
      <c r="I679">
        <v>2.09</v>
      </c>
      <c r="L679" s="6" t="s">
        <v>1405</v>
      </c>
      <c r="M679" t="str" cm="1">
        <f t="array" ref="M679:O679">INDEX('Main Data'!A676:O1675,MATCH(L679,'Main Data'!A676:A1675,0),{3,7,14})</f>
        <v>Male</v>
      </c>
      <c r="N679">
        <v>66656.039999999994</v>
      </c>
      <c r="O679">
        <v>2.09</v>
      </c>
    </row>
    <row r="680" spans="1:15" x14ac:dyDescent="0.3">
      <c r="A680" s="6" t="s">
        <v>1407</v>
      </c>
      <c r="B680" cm="1">
        <f t="array" ref="B680:C680">_xlfn.XLOOKUP(A680,'Main Data'!A677:A1676,'Main Data'!B677:C1676,"Data Not Found",0)</f>
        <v>42</v>
      </c>
      <c r="C680" t="str">
        <v>Other</v>
      </c>
      <c r="E680" s="6" t="s">
        <v>1407</v>
      </c>
      <c r="F680" cm="1">
        <f t="array" ref="F680:I680">VLOOKUP(E680,CHOOSE({1,2,3,4,5},'Main Data'!A677:A1676,'Main Data'!B677:B1676,'Main Data'!C677:C1676,'Main Data'!M677:M1676,'Main Data'!N677:N1676),{2,3,4,5},0)</f>
        <v>42</v>
      </c>
      <c r="G680" t="str">
        <v>Other</v>
      </c>
      <c r="H680" t="str">
        <v>USA</v>
      </c>
      <c r="I680">
        <v>2.11</v>
      </c>
      <c r="L680" s="6" t="s">
        <v>1407</v>
      </c>
      <c r="M680" t="str" cm="1">
        <f t="array" ref="M680:O680">INDEX('Main Data'!A677:O1676,MATCH(L680,'Main Data'!A677:A1676,0),{3,7,14})</f>
        <v>Other</v>
      </c>
      <c r="N680">
        <v>174476.17</v>
      </c>
      <c r="O680">
        <v>2.11</v>
      </c>
    </row>
    <row r="681" spans="1:15" x14ac:dyDescent="0.3">
      <c r="A681" s="6" t="s">
        <v>1409</v>
      </c>
      <c r="B681" cm="1">
        <f t="array" ref="B681:C681">_xlfn.XLOOKUP(A681,'Main Data'!A678:A1677,'Main Data'!B678:C1677,"Data Not Found",0)</f>
        <v>52</v>
      </c>
      <c r="C681" t="str">
        <v>Female</v>
      </c>
      <c r="E681" s="6" t="s">
        <v>1409</v>
      </c>
      <c r="F681" cm="1">
        <f t="array" ref="F681:I681">VLOOKUP(E681,CHOOSE({1,2,3,4,5},'Main Data'!A678:A1677,'Main Data'!B678:B1677,'Main Data'!C678:C1677,'Main Data'!M678:M1677,'Main Data'!N678:N1677),{2,3,4,5},0)</f>
        <v>52</v>
      </c>
      <c r="G681" t="str">
        <v>Female</v>
      </c>
      <c r="H681" t="str">
        <v>France</v>
      </c>
      <c r="I681">
        <v>3.41</v>
      </c>
      <c r="L681" s="6" t="s">
        <v>1409</v>
      </c>
      <c r="M681" t="str" cm="1">
        <f t="array" ref="M681:O681">INDEX('Main Data'!A678:O1677,MATCH(L681,'Main Data'!A678:A1677,0),{3,7,14})</f>
        <v>Female</v>
      </c>
      <c r="N681">
        <v>107513.21</v>
      </c>
      <c r="O681">
        <v>3.41</v>
      </c>
    </row>
    <row r="682" spans="1:15" x14ac:dyDescent="0.3">
      <c r="A682" s="6" t="s">
        <v>1411</v>
      </c>
      <c r="B682" cm="1">
        <f t="array" ref="B682:C682">_xlfn.XLOOKUP(A682,'Main Data'!A679:A1678,'Main Data'!B679:C1678,"Data Not Found",0)</f>
        <v>50</v>
      </c>
      <c r="C682" t="str">
        <v>Male</v>
      </c>
      <c r="E682" s="6" t="s">
        <v>1411</v>
      </c>
      <c r="F682" cm="1">
        <f t="array" ref="F682:I682">VLOOKUP(E682,CHOOSE({1,2,3,4,5},'Main Data'!A679:A1678,'Main Data'!B679:B1678,'Main Data'!C679:C1678,'Main Data'!M679:M1678,'Main Data'!N679:N1678),{2,3,4,5},0)</f>
        <v>50</v>
      </c>
      <c r="G682" t="str">
        <v>Male</v>
      </c>
      <c r="H682" t="str">
        <v>UK</v>
      </c>
      <c r="I682">
        <v>4.33</v>
      </c>
      <c r="L682" s="6" t="s">
        <v>1411</v>
      </c>
      <c r="M682" t="str" cm="1">
        <f t="array" ref="M682:O682">INDEX('Main Data'!A679:O1678,MATCH(L682,'Main Data'!A679:A1678,0),{3,7,14})</f>
        <v>Male</v>
      </c>
      <c r="N682">
        <v>109690.63</v>
      </c>
      <c r="O682">
        <v>4.33</v>
      </c>
    </row>
    <row r="683" spans="1:15" x14ac:dyDescent="0.3">
      <c r="A683" s="6" t="s">
        <v>1413</v>
      </c>
      <c r="B683" cm="1">
        <f t="array" ref="B683:C683">_xlfn.XLOOKUP(A683,'Main Data'!A680:A1679,'Main Data'!B680:C1679,"Data Not Found",0)</f>
        <v>30</v>
      </c>
      <c r="C683" t="str">
        <v>Other</v>
      </c>
      <c r="E683" s="6" t="s">
        <v>1413</v>
      </c>
      <c r="F683" cm="1">
        <f t="array" ref="F683:I683">VLOOKUP(E683,CHOOSE({1,2,3,4,5},'Main Data'!A680:A1679,'Main Data'!B680:B1679,'Main Data'!C680:C1679,'Main Data'!M680:M1679,'Main Data'!N680:N1679),{2,3,4,5},0)</f>
        <v>30</v>
      </c>
      <c r="G683" t="str">
        <v>Other</v>
      </c>
      <c r="H683" t="str">
        <v>UAE</v>
      </c>
      <c r="I683">
        <v>4.9800000000000004</v>
      </c>
      <c r="L683" s="6" t="s">
        <v>1413</v>
      </c>
      <c r="M683" t="str" cm="1">
        <f t="array" ref="M683:O683">INDEX('Main Data'!A680:O1679,MATCH(L683,'Main Data'!A680:A1679,0),{3,7,14})</f>
        <v>Other</v>
      </c>
      <c r="N683">
        <v>176548.6</v>
      </c>
      <c r="O683">
        <v>4.9800000000000004</v>
      </c>
    </row>
    <row r="684" spans="1:15" x14ac:dyDescent="0.3">
      <c r="A684" s="6" t="s">
        <v>1415</v>
      </c>
      <c r="B684" cm="1">
        <f t="array" ref="B684:C684">_xlfn.XLOOKUP(A684,'Main Data'!A681:A1680,'Main Data'!B681:C1680,"Data Not Found",0)</f>
        <v>40</v>
      </c>
      <c r="C684" t="str">
        <v>Other</v>
      </c>
      <c r="E684" s="6" t="s">
        <v>1415</v>
      </c>
      <c r="F684" cm="1">
        <f t="array" ref="F684:I684">VLOOKUP(E684,CHOOSE({1,2,3,4,5},'Main Data'!A681:A1680,'Main Data'!B681:B1680,'Main Data'!C681:C1680,'Main Data'!M681:M1680,'Main Data'!N681:N1680),{2,3,4,5},0)</f>
        <v>40</v>
      </c>
      <c r="G684" t="str">
        <v>Other</v>
      </c>
      <c r="H684" t="str">
        <v>Japan</v>
      </c>
      <c r="I684">
        <v>4.22</v>
      </c>
      <c r="L684" s="6" t="s">
        <v>1415</v>
      </c>
      <c r="M684" t="str" cm="1">
        <f t="array" ref="M684:O684">INDEX('Main Data'!A681:O1680,MATCH(L684,'Main Data'!A681:A1680,0),{3,7,14})</f>
        <v>Other</v>
      </c>
      <c r="N684">
        <v>161305.68</v>
      </c>
      <c r="O684">
        <v>4.22</v>
      </c>
    </row>
    <row r="685" spans="1:15" x14ac:dyDescent="0.3">
      <c r="A685" s="6" t="s">
        <v>1417</v>
      </c>
      <c r="B685" cm="1">
        <f t="array" ref="B685:C685">_xlfn.XLOOKUP(A685,'Main Data'!A682:A1681,'Main Data'!B682:C1681,"Data Not Found",0)</f>
        <v>47</v>
      </c>
      <c r="C685" t="str">
        <v>Male</v>
      </c>
      <c r="E685" s="6" t="s">
        <v>1417</v>
      </c>
      <c r="F685" cm="1">
        <f t="array" ref="F685:I685">VLOOKUP(E685,CHOOSE({1,2,3,4,5},'Main Data'!A682:A1681,'Main Data'!B682:B1681,'Main Data'!C682:C1681,'Main Data'!M682:M1681,'Main Data'!N682:N1681),{2,3,4,5},0)</f>
        <v>47</v>
      </c>
      <c r="G685" t="str">
        <v>Male</v>
      </c>
      <c r="H685" t="str">
        <v>USA</v>
      </c>
      <c r="I685">
        <v>2.4900000000000002</v>
      </c>
      <c r="L685" s="6" t="s">
        <v>1417</v>
      </c>
      <c r="M685" t="str" cm="1">
        <f t="array" ref="M685:O685">INDEX('Main Data'!A682:O1681,MATCH(L685,'Main Data'!A682:A1681,0),{3,7,14})</f>
        <v>Male</v>
      </c>
      <c r="N685">
        <v>129041.36</v>
      </c>
      <c r="O685">
        <v>2.4900000000000002</v>
      </c>
    </row>
    <row r="686" spans="1:15" x14ac:dyDescent="0.3">
      <c r="A686" s="6" t="s">
        <v>1419</v>
      </c>
      <c r="B686" cm="1">
        <f t="array" ref="B686:C686">_xlfn.XLOOKUP(A686,'Main Data'!A683:A1682,'Main Data'!B683:C1682,"Data Not Found",0)</f>
        <v>46</v>
      </c>
      <c r="C686" t="str">
        <v>Female</v>
      </c>
      <c r="E686" s="6" t="s">
        <v>1419</v>
      </c>
      <c r="F686" cm="1">
        <f t="array" ref="F686:I686">VLOOKUP(E686,CHOOSE({1,2,3,4,5},'Main Data'!A683:A1682,'Main Data'!B683:B1682,'Main Data'!C683:C1682,'Main Data'!M683:M1682,'Main Data'!N683:N1682),{2,3,4,5},0)</f>
        <v>46</v>
      </c>
      <c r="G686" t="str">
        <v>Female</v>
      </c>
      <c r="H686" t="str">
        <v>France</v>
      </c>
      <c r="I686">
        <v>1.64</v>
      </c>
      <c r="L686" s="6" t="s">
        <v>1419</v>
      </c>
      <c r="M686" t="str" cm="1">
        <f t="array" ref="M686:O686">INDEX('Main Data'!A683:O1682,MATCH(L686,'Main Data'!A683:A1682,0),{3,7,14})</f>
        <v>Female</v>
      </c>
      <c r="N686">
        <v>124998.43</v>
      </c>
      <c r="O686">
        <v>1.64</v>
      </c>
    </row>
    <row r="687" spans="1:15" x14ac:dyDescent="0.3">
      <c r="A687" s="6" t="s">
        <v>1421</v>
      </c>
      <c r="B687" cm="1">
        <f t="array" ref="B687:C687">_xlfn.XLOOKUP(A687,'Main Data'!A684:A1683,'Main Data'!B684:C1683,"Data Not Found",0)</f>
        <v>61</v>
      </c>
      <c r="C687" t="str">
        <v>Female</v>
      </c>
      <c r="E687" s="6" t="s">
        <v>1421</v>
      </c>
      <c r="F687" cm="1">
        <f t="array" ref="F687:I687">VLOOKUP(E687,CHOOSE({1,2,3,4,5},'Main Data'!A684:A1683,'Main Data'!B684:B1683,'Main Data'!C684:C1683,'Main Data'!M684:M1683,'Main Data'!N684:N1683),{2,3,4,5},0)</f>
        <v>61</v>
      </c>
      <c r="G687" t="str">
        <v>Female</v>
      </c>
      <c r="H687" t="str">
        <v>UK</v>
      </c>
      <c r="I687">
        <v>4.5599999999999996</v>
      </c>
      <c r="L687" s="6" t="s">
        <v>1421</v>
      </c>
      <c r="M687" t="str" cm="1">
        <f t="array" ref="M687:O687">INDEX('Main Data'!A684:O1683,MATCH(L687,'Main Data'!A684:A1683,0),{3,7,14})</f>
        <v>Female</v>
      </c>
      <c r="N687">
        <v>154489.60000000001</v>
      </c>
      <c r="O687">
        <v>4.5599999999999996</v>
      </c>
    </row>
    <row r="688" spans="1:15" x14ac:dyDescent="0.3">
      <c r="A688" s="6" t="s">
        <v>1423</v>
      </c>
      <c r="B688" cm="1">
        <f t="array" ref="B688:C688">_xlfn.XLOOKUP(A688,'Main Data'!A685:A1684,'Main Data'!B685:C1684,"Data Not Found",0)</f>
        <v>64</v>
      </c>
      <c r="C688" t="str">
        <v>Male</v>
      </c>
      <c r="E688" s="6" t="s">
        <v>1423</v>
      </c>
      <c r="F688" cm="1">
        <f t="array" ref="F688:I688">VLOOKUP(E688,CHOOSE({1,2,3,4,5},'Main Data'!A685:A1684,'Main Data'!B685:B1684,'Main Data'!C685:C1684,'Main Data'!M685:M1684,'Main Data'!N685:N1684),{2,3,4,5},0)</f>
        <v>64</v>
      </c>
      <c r="G688" t="str">
        <v>Male</v>
      </c>
      <c r="H688" t="str">
        <v>UAE</v>
      </c>
      <c r="I688">
        <v>3.71</v>
      </c>
      <c r="L688" s="6" t="s">
        <v>1423</v>
      </c>
      <c r="M688" t="str" cm="1">
        <f t="array" ref="M688:O688">INDEX('Main Data'!A685:O1684,MATCH(L688,'Main Data'!A685:A1684,0),{3,7,14})</f>
        <v>Male</v>
      </c>
      <c r="N688">
        <v>138104.04</v>
      </c>
      <c r="O688">
        <v>3.71</v>
      </c>
    </row>
    <row r="689" spans="1:15" x14ac:dyDescent="0.3">
      <c r="A689" s="6" t="s">
        <v>1425</v>
      </c>
      <c r="B689" cm="1">
        <f t="array" ref="B689:C689">_xlfn.XLOOKUP(A689,'Main Data'!A686:A1685,'Main Data'!B686:C1685,"Data Not Found",0)</f>
        <v>50</v>
      </c>
      <c r="C689" t="str">
        <v>Other</v>
      </c>
      <c r="E689" s="6" t="s">
        <v>1425</v>
      </c>
      <c r="F689" cm="1">
        <f t="array" ref="F689:I689">VLOOKUP(E689,CHOOSE({1,2,3,4,5},'Main Data'!A686:A1685,'Main Data'!B686:B1685,'Main Data'!C686:C1685,'Main Data'!M686:M1685,'Main Data'!N686:N1685),{2,3,4,5},0)</f>
        <v>50</v>
      </c>
      <c r="G689" t="str">
        <v>Other</v>
      </c>
      <c r="H689" t="str">
        <v>Japan</v>
      </c>
      <c r="I689">
        <v>1.57</v>
      </c>
      <c r="L689" s="6" t="s">
        <v>1425</v>
      </c>
      <c r="M689" t="str" cm="1">
        <f t="array" ref="M689:O689">INDEX('Main Data'!A686:O1685,MATCH(L689,'Main Data'!A686:A1685,0),{3,7,14})</f>
        <v>Other</v>
      </c>
      <c r="N689">
        <v>78273.56</v>
      </c>
      <c r="O689">
        <v>1.57</v>
      </c>
    </row>
    <row r="690" spans="1:15" x14ac:dyDescent="0.3">
      <c r="A690" s="6" t="s">
        <v>1427</v>
      </c>
      <c r="B690" cm="1">
        <f t="array" ref="B690:C690">_xlfn.XLOOKUP(A690,'Main Data'!A687:A1686,'Main Data'!B687:C1686,"Data Not Found",0)</f>
        <v>46</v>
      </c>
      <c r="C690" t="str">
        <v>Other</v>
      </c>
      <c r="E690" s="6" t="s">
        <v>1427</v>
      </c>
      <c r="F690" cm="1">
        <f t="array" ref="F690:I690">VLOOKUP(E690,CHOOSE({1,2,3,4,5},'Main Data'!A687:A1686,'Main Data'!B687:B1686,'Main Data'!C687:C1686,'Main Data'!M687:M1686,'Main Data'!N687:N1686),{2,3,4,5},0)</f>
        <v>46</v>
      </c>
      <c r="G690" t="str">
        <v>Other</v>
      </c>
      <c r="H690" t="str">
        <v>USA</v>
      </c>
      <c r="I690">
        <v>2.33</v>
      </c>
      <c r="L690" s="6" t="s">
        <v>1427</v>
      </c>
      <c r="M690" t="str" cm="1">
        <f t="array" ref="M690:O690">INDEX('Main Data'!A687:O1686,MATCH(L690,'Main Data'!A687:A1686,0),{3,7,14})</f>
        <v>Other</v>
      </c>
      <c r="N690">
        <v>68865.39</v>
      </c>
      <c r="O690">
        <v>2.33</v>
      </c>
    </row>
    <row r="691" spans="1:15" x14ac:dyDescent="0.3">
      <c r="A691" s="6" t="s">
        <v>1429</v>
      </c>
      <c r="B691" cm="1">
        <f t="array" ref="B691:C691">_xlfn.XLOOKUP(A691,'Main Data'!A688:A1687,'Main Data'!B688:C1687,"Data Not Found",0)</f>
        <v>40</v>
      </c>
      <c r="C691" t="str">
        <v>Other</v>
      </c>
      <c r="E691" s="6" t="s">
        <v>1429</v>
      </c>
      <c r="F691" cm="1">
        <f t="array" ref="F691:I691">VLOOKUP(E691,CHOOSE({1,2,3,4,5},'Main Data'!A688:A1687,'Main Data'!B688:B1687,'Main Data'!C688:C1687,'Main Data'!M688:M1687,'Main Data'!N688:N1687),{2,3,4,5},0)</f>
        <v>40</v>
      </c>
      <c r="G691" t="str">
        <v>Other</v>
      </c>
      <c r="H691" t="str">
        <v>France</v>
      </c>
      <c r="I691">
        <v>3.47</v>
      </c>
      <c r="L691" s="6" t="s">
        <v>1429</v>
      </c>
      <c r="M691" t="str" cm="1">
        <f t="array" ref="M691:O691">INDEX('Main Data'!A688:O1687,MATCH(L691,'Main Data'!A688:A1687,0),{3,7,14})</f>
        <v>Other</v>
      </c>
      <c r="N691">
        <v>110876</v>
      </c>
      <c r="O691">
        <v>3.47</v>
      </c>
    </row>
    <row r="692" spans="1:15" x14ac:dyDescent="0.3">
      <c r="A692" s="6" t="s">
        <v>1431</v>
      </c>
      <c r="B692" cm="1">
        <f t="array" ref="B692:C692">_xlfn.XLOOKUP(A692,'Main Data'!A689:A1688,'Main Data'!B689:C1688,"Data Not Found",0)</f>
        <v>25</v>
      </c>
      <c r="C692" t="str">
        <v>Other</v>
      </c>
      <c r="E692" s="6" t="s">
        <v>1431</v>
      </c>
      <c r="F692" cm="1">
        <f t="array" ref="F692:I692">VLOOKUP(E692,CHOOSE({1,2,3,4,5},'Main Data'!A689:A1688,'Main Data'!B689:B1688,'Main Data'!C689:C1688,'Main Data'!M689:M1688,'Main Data'!N689:N1688),{2,3,4,5},0)</f>
        <v>25</v>
      </c>
      <c r="G692" t="str">
        <v>Other</v>
      </c>
      <c r="H692" t="str">
        <v>UK</v>
      </c>
      <c r="I692">
        <v>2.83</v>
      </c>
      <c r="L692" s="6" t="s">
        <v>1431</v>
      </c>
      <c r="M692" t="str" cm="1">
        <f t="array" ref="M692:O692">INDEX('Main Data'!A689:O1688,MATCH(L692,'Main Data'!A689:A1688,0),{3,7,14})</f>
        <v>Other</v>
      </c>
      <c r="N692">
        <v>124112.18</v>
      </c>
      <c r="O692">
        <v>2.83</v>
      </c>
    </row>
    <row r="693" spans="1:15" x14ac:dyDescent="0.3">
      <c r="A693" s="6" t="s">
        <v>1433</v>
      </c>
      <c r="B693" cm="1">
        <f t="array" ref="B693:C693">_xlfn.XLOOKUP(A693,'Main Data'!A690:A1689,'Main Data'!B690:C1689,"Data Not Found",0)</f>
        <v>41</v>
      </c>
      <c r="C693" t="str">
        <v>Male</v>
      </c>
      <c r="E693" s="6" t="s">
        <v>1433</v>
      </c>
      <c r="F693" cm="1">
        <f t="array" ref="F693:I693">VLOOKUP(E693,CHOOSE({1,2,3,4,5},'Main Data'!A690:A1689,'Main Data'!B690:B1689,'Main Data'!C690:C1689,'Main Data'!M690:M1689,'Main Data'!N690:N1689),{2,3,4,5},0)</f>
        <v>41</v>
      </c>
      <c r="G693" t="str">
        <v>Male</v>
      </c>
      <c r="H693" t="str">
        <v>UAE</v>
      </c>
      <c r="I693">
        <v>2.36</v>
      </c>
      <c r="L693" s="6" t="s">
        <v>1433</v>
      </c>
      <c r="M693" t="str" cm="1">
        <f t="array" ref="M693:O693">INDEX('Main Data'!A690:O1689,MATCH(L693,'Main Data'!A690:A1689,0),{3,7,14})</f>
        <v>Male</v>
      </c>
      <c r="N693">
        <v>62330.74</v>
      </c>
      <c r="O693">
        <v>2.36</v>
      </c>
    </row>
    <row r="694" spans="1:15" x14ac:dyDescent="0.3">
      <c r="A694" s="6" t="s">
        <v>1435</v>
      </c>
      <c r="B694" cm="1">
        <f t="array" ref="B694:C694">_xlfn.XLOOKUP(A694,'Main Data'!A691:A1690,'Main Data'!B691:C1690,"Data Not Found",0)</f>
        <v>22</v>
      </c>
      <c r="C694" t="str">
        <v>Other</v>
      </c>
      <c r="E694" s="6" t="s">
        <v>1435</v>
      </c>
      <c r="F694" cm="1">
        <f t="array" ref="F694:I694">VLOOKUP(E694,CHOOSE({1,2,3,4,5},'Main Data'!A691:A1690,'Main Data'!B691:B1690,'Main Data'!C691:C1690,'Main Data'!M691:M1690,'Main Data'!N691:N1690),{2,3,4,5},0)</f>
        <v>22</v>
      </c>
      <c r="G694" t="str">
        <v>Other</v>
      </c>
      <c r="H694" t="str">
        <v>Japan</v>
      </c>
      <c r="I694">
        <v>2.94</v>
      </c>
      <c r="L694" s="6" t="s">
        <v>1435</v>
      </c>
      <c r="M694" t="str" cm="1">
        <f t="array" ref="M694:O694">INDEX('Main Data'!A691:O1690,MATCH(L694,'Main Data'!A691:A1690,0),{3,7,14})</f>
        <v>Other</v>
      </c>
      <c r="N694">
        <v>130349.48</v>
      </c>
      <c r="O694">
        <v>2.94</v>
      </c>
    </row>
    <row r="695" spans="1:15" x14ac:dyDescent="0.3">
      <c r="A695" s="6" t="s">
        <v>1437</v>
      </c>
      <c r="B695" cm="1">
        <f t="array" ref="B695:C695">_xlfn.XLOOKUP(A695,'Main Data'!A692:A1691,'Main Data'!B692:C1691,"Data Not Found",0)</f>
        <v>32</v>
      </c>
      <c r="C695" t="str">
        <v>Male</v>
      </c>
      <c r="E695" s="6" t="s">
        <v>1437</v>
      </c>
      <c r="F695" cm="1">
        <f t="array" ref="F695:I695">VLOOKUP(E695,CHOOSE({1,2,3,4,5},'Main Data'!A692:A1691,'Main Data'!B692:B1691,'Main Data'!C692:C1691,'Main Data'!M692:M1691,'Main Data'!N692:N1691),{2,3,4,5},0)</f>
        <v>32</v>
      </c>
      <c r="G695" t="str">
        <v>Male</v>
      </c>
      <c r="H695" t="str">
        <v>USA</v>
      </c>
      <c r="I695">
        <v>4.0599999999999996</v>
      </c>
      <c r="L695" s="6" t="s">
        <v>1437</v>
      </c>
      <c r="M695" t="str" cm="1">
        <f t="array" ref="M695:O695">INDEX('Main Data'!A692:O1691,MATCH(L695,'Main Data'!A692:A1691,0),{3,7,14})</f>
        <v>Male</v>
      </c>
      <c r="N695">
        <v>195156.9</v>
      </c>
      <c r="O695">
        <v>4.0599999999999996</v>
      </c>
    </row>
    <row r="696" spans="1:15" x14ac:dyDescent="0.3">
      <c r="A696" s="6" t="s">
        <v>1439</v>
      </c>
      <c r="B696" cm="1">
        <f t="array" ref="B696:C696">_xlfn.XLOOKUP(A696,'Main Data'!A693:A1692,'Main Data'!B693:C1692,"Data Not Found",0)</f>
        <v>25</v>
      </c>
      <c r="C696" t="str">
        <v>Female</v>
      </c>
      <c r="E696" s="6" t="s">
        <v>1439</v>
      </c>
      <c r="F696" cm="1">
        <f t="array" ref="F696:I696">VLOOKUP(E696,CHOOSE({1,2,3,4,5},'Main Data'!A693:A1692,'Main Data'!B693:B1692,'Main Data'!C693:C1692,'Main Data'!M693:M1692,'Main Data'!N693:N1692),{2,3,4,5},0)</f>
        <v>25</v>
      </c>
      <c r="G696" t="str">
        <v>Female</v>
      </c>
      <c r="H696" t="str">
        <v>France</v>
      </c>
      <c r="I696">
        <v>4.33</v>
      </c>
      <c r="L696" s="6" t="s">
        <v>1439</v>
      </c>
      <c r="M696" t="str" cm="1">
        <f t="array" ref="M696:O696">INDEX('Main Data'!A693:O1692,MATCH(L696,'Main Data'!A693:A1692,0),{3,7,14})</f>
        <v>Female</v>
      </c>
      <c r="N696">
        <v>154730.23999999999</v>
      </c>
      <c r="O696">
        <v>4.33</v>
      </c>
    </row>
    <row r="697" spans="1:15" x14ac:dyDescent="0.3">
      <c r="A697" s="6" t="s">
        <v>1441</v>
      </c>
      <c r="B697" cm="1">
        <f t="array" ref="B697:C697">_xlfn.XLOOKUP(A697,'Main Data'!A694:A1693,'Main Data'!B694:C1693,"Data Not Found",0)</f>
        <v>28</v>
      </c>
      <c r="C697" t="str">
        <v>Female</v>
      </c>
      <c r="E697" s="6" t="s">
        <v>1441</v>
      </c>
      <c r="F697" cm="1">
        <f t="array" ref="F697:I697">VLOOKUP(E697,CHOOSE({1,2,3,4,5},'Main Data'!A694:A1693,'Main Data'!B694:B1693,'Main Data'!C694:C1693,'Main Data'!M694:M1693,'Main Data'!N694:N1693),{2,3,4,5},0)</f>
        <v>28</v>
      </c>
      <c r="G697" t="str">
        <v>Female</v>
      </c>
      <c r="H697" t="str">
        <v>UK</v>
      </c>
      <c r="I697">
        <v>3.11</v>
      </c>
      <c r="L697" s="6" t="s">
        <v>1441</v>
      </c>
      <c r="M697" t="str" cm="1">
        <f t="array" ref="M697:O697">INDEX('Main Data'!A694:O1693,MATCH(L697,'Main Data'!A694:A1693,0),{3,7,14})</f>
        <v>Female</v>
      </c>
      <c r="N697">
        <v>71385.53</v>
      </c>
      <c r="O697">
        <v>3.11</v>
      </c>
    </row>
    <row r="698" spans="1:15" x14ac:dyDescent="0.3">
      <c r="A698" s="6" t="s">
        <v>1443</v>
      </c>
      <c r="B698" cm="1">
        <f t="array" ref="B698:C698">_xlfn.XLOOKUP(A698,'Main Data'!A695:A1694,'Main Data'!B695:C1694,"Data Not Found",0)</f>
        <v>49</v>
      </c>
      <c r="C698" t="str">
        <v>Other</v>
      </c>
      <c r="E698" s="6" t="s">
        <v>1443</v>
      </c>
      <c r="F698" cm="1">
        <f t="array" ref="F698:I698">VLOOKUP(E698,CHOOSE({1,2,3,4,5},'Main Data'!A695:A1694,'Main Data'!B695:B1694,'Main Data'!C695:C1694,'Main Data'!M695:M1694,'Main Data'!N695:N1694),{2,3,4,5},0)</f>
        <v>49</v>
      </c>
      <c r="G698" t="str">
        <v>Other</v>
      </c>
      <c r="H698" t="str">
        <v>UAE</v>
      </c>
      <c r="I698">
        <v>1.56</v>
      </c>
      <c r="L698" s="6" t="s">
        <v>1443</v>
      </c>
      <c r="M698" t="str" cm="1">
        <f t="array" ref="M698:O698">INDEX('Main Data'!A695:O1694,MATCH(L698,'Main Data'!A695:A1694,0),{3,7,14})</f>
        <v>Other</v>
      </c>
      <c r="N698">
        <v>135436.76</v>
      </c>
      <c r="O698">
        <v>1.56</v>
      </c>
    </row>
    <row r="699" spans="1:15" x14ac:dyDescent="0.3">
      <c r="A699" s="6" t="s">
        <v>1445</v>
      </c>
      <c r="B699" cm="1">
        <f t="array" ref="B699:C699">_xlfn.XLOOKUP(A699,'Main Data'!A696:A1695,'Main Data'!B696:C1695,"Data Not Found",0)</f>
        <v>57</v>
      </c>
      <c r="C699" t="str">
        <v>Other</v>
      </c>
      <c r="E699" s="6" t="s">
        <v>1445</v>
      </c>
      <c r="F699" cm="1">
        <f t="array" ref="F699:I699">VLOOKUP(E699,CHOOSE({1,2,3,4,5},'Main Data'!A696:A1695,'Main Data'!B696:B1695,'Main Data'!C696:C1695,'Main Data'!M696:M1695,'Main Data'!N696:N1695),{2,3,4,5},0)</f>
        <v>57</v>
      </c>
      <c r="G699" t="str">
        <v>Other</v>
      </c>
      <c r="H699" t="str">
        <v>Japan</v>
      </c>
      <c r="I699">
        <v>4.33</v>
      </c>
      <c r="L699" s="6" t="s">
        <v>1445</v>
      </c>
      <c r="M699" t="str" cm="1">
        <f t="array" ref="M699:O699">INDEX('Main Data'!A696:O1695,MATCH(L699,'Main Data'!A696:A1695,0),{3,7,14})</f>
        <v>Other</v>
      </c>
      <c r="N699">
        <v>170663.21</v>
      </c>
      <c r="O699">
        <v>4.33</v>
      </c>
    </row>
    <row r="700" spans="1:15" x14ac:dyDescent="0.3">
      <c r="A700" s="6" t="s">
        <v>1447</v>
      </c>
      <c r="B700" cm="1">
        <f t="array" ref="B700:C700">_xlfn.XLOOKUP(A700,'Main Data'!A697:A1696,'Main Data'!B697:C1696,"Data Not Found",0)</f>
        <v>28</v>
      </c>
      <c r="C700" t="str">
        <v>Other</v>
      </c>
      <c r="E700" s="6" t="s">
        <v>1447</v>
      </c>
      <c r="F700" cm="1">
        <f t="array" ref="F700:I700">VLOOKUP(E700,CHOOSE({1,2,3,4,5},'Main Data'!A697:A1696,'Main Data'!B697:B1696,'Main Data'!C697:C1696,'Main Data'!M697:M1696,'Main Data'!N697:N1696),{2,3,4,5},0)</f>
        <v>28</v>
      </c>
      <c r="G700" t="str">
        <v>Other</v>
      </c>
      <c r="H700" t="str">
        <v>USA</v>
      </c>
      <c r="I700">
        <v>2.84</v>
      </c>
      <c r="L700" s="6" t="s">
        <v>1447</v>
      </c>
      <c r="M700" t="str" cm="1">
        <f t="array" ref="M700:O700">INDEX('Main Data'!A697:O1696,MATCH(L700,'Main Data'!A697:A1696,0),{3,7,14})</f>
        <v>Other</v>
      </c>
      <c r="N700">
        <v>101549.09</v>
      </c>
      <c r="O700">
        <v>2.84</v>
      </c>
    </row>
    <row r="701" spans="1:15" x14ac:dyDescent="0.3">
      <c r="A701" s="6" t="s">
        <v>1449</v>
      </c>
      <c r="B701" cm="1">
        <f t="array" ref="B701:C701">_xlfn.XLOOKUP(A701,'Main Data'!A698:A1697,'Main Data'!B698:C1697,"Data Not Found",0)</f>
        <v>41</v>
      </c>
      <c r="C701" t="str">
        <v>Female</v>
      </c>
      <c r="E701" s="6" t="s">
        <v>1449</v>
      </c>
      <c r="F701" cm="1">
        <f t="array" ref="F701:I701">VLOOKUP(E701,CHOOSE({1,2,3,4,5},'Main Data'!A698:A1697,'Main Data'!B698:B1697,'Main Data'!C698:C1697,'Main Data'!M698:M1697,'Main Data'!N698:N1697),{2,3,4,5},0)</f>
        <v>41</v>
      </c>
      <c r="G701" t="str">
        <v>Female</v>
      </c>
      <c r="H701" t="str">
        <v>France</v>
      </c>
      <c r="I701">
        <v>4.5999999999999996</v>
      </c>
      <c r="L701" s="6" t="s">
        <v>1449</v>
      </c>
      <c r="M701" t="str" cm="1">
        <f t="array" ref="M701:O701">INDEX('Main Data'!A698:O1697,MATCH(L701,'Main Data'!A698:A1697,0),{3,7,14})</f>
        <v>Female</v>
      </c>
      <c r="N701">
        <v>114340.01</v>
      </c>
      <c r="O701">
        <v>4.5999999999999996</v>
      </c>
    </row>
    <row r="702" spans="1:15" x14ac:dyDescent="0.3">
      <c r="A702" s="6" t="s">
        <v>1451</v>
      </c>
      <c r="B702" cm="1">
        <f t="array" ref="B702:C702">_xlfn.XLOOKUP(A702,'Main Data'!A699:A1698,'Main Data'!B699:C1698,"Data Not Found",0)</f>
        <v>56</v>
      </c>
      <c r="C702" t="str">
        <v>Male</v>
      </c>
      <c r="E702" s="6" t="s">
        <v>1451</v>
      </c>
      <c r="F702" cm="1">
        <f t="array" ref="F702:I702">VLOOKUP(E702,CHOOSE({1,2,3,4,5},'Main Data'!A699:A1698,'Main Data'!B699:B1698,'Main Data'!C699:C1698,'Main Data'!M699:M1698,'Main Data'!N699:N1698),{2,3,4,5},0)</f>
        <v>56</v>
      </c>
      <c r="G702" t="str">
        <v>Male</v>
      </c>
      <c r="H702" t="str">
        <v>UK</v>
      </c>
      <c r="I702">
        <v>4.49</v>
      </c>
      <c r="L702" s="6" t="s">
        <v>1451</v>
      </c>
      <c r="M702" t="str" cm="1">
        <f t="array" ref="M702:O702">INDEX('Main Data'!A699:O1698,MATCH(L702,'Main Data'!A699:A1698,0),{3,7,14})</f>
        <v>Male</v>
      </c>
      <c r="N702">
        <v>50338.54</v>
      </c>
      <c r="O702">
        <v>4.49</v>
      </c>
    </row>
    <row r="703" spans="1:15" x14ac:dyDescent="0.3">
      <c r="A703" s="6" t="s">
        <v>1453</v>
      </c>
      <c r="B703" cm="1">
        <f t="array" ref="B703:C703">_xlfn.XLOOKUP(A703,'Main Data'!A700:A1699,'Main Data'!B700:C1699,"Data Not Found",0)</f>
        <v>60</v>
      </c>
      <c r="C703" t="str">
        <v>Male</v>
      </c>
      <c r="E703" s="6" t="s">
        <v>1453</v>
      </c>
      <c r="F703" cm="1">
        <f t="array" ref="F703:I703">VLOOKUP(E703,CHOOSE({1,2,3,4,5},'Main Data'!A700:A1699,'Main Data'!B700:B1699,'Main Data'!C700:C1699,'Main Data'!M700:M1699,'Main Data'!N700:N1699),{2,3,4,5},0)</f>
        <v>60</v>
      </c>
      <c r="G703" t="str">
        <v>Male</v>
      </c>
      <c r="H703" t="str">
        <v>UAE</v>
      </c>
      <c r="I703">
        <v>1.6</v>
      </c>
      <c r="L703" s="6" t="s">
        <v>1453</v>
      </c>
      <c r="M703" t="str" cm="1">
        <f t="array" ref="M703:O703">INDEX('Main Data'!A700:O1699,MATCH(L703,'Main Data'!A700:A1699,0),{3,7,14})</f>
        <v>Male</v>
      </c>
      <c r="N703">
        <v>180432.47</v>
      </c>
      <c r="O703">
        <v>1.6</v>
      </c>
    </row>
    <row r="704" spans="1:15" x14ac:dyDescent="0.3">
      <c r="A704" s="6" t="s">
        <v>1455</v>
      </c>
      <c r="B704" cm="1">
        <f t="array" ref="B704:C704">_xlfn.XLOOKUP(A704,'Main Data'!A701:A1700,'Main Data'!B701:C1700,"Data Not Found",0)</f>
        <v>42</v>
      </c>
      <c r="C704" t="str">
        <v>Male</v>
      </c>
      <c r="E704" s="6" t="s">
        <v>1455</v>
      </c>
      <c r="F704" cm="1">
        <f t="array" ref="F704:I704">VLOOKUP(E704,CHOOSE({1,2,3,4,5},'Main Data'!A701:A1700,'Main Data'!B701:B1700,'Main Data'!C701:C1700,'Main Data'!M701:M1700,'Main Data'!N701:N1700),{2,3,4,5},0)</f>
        <v>42</v>
      </c>
      <c r="G704" t="str">
        <v>Male</v>
      </c>
      <c r="H704" t="str">
        <v>Japan</v>
      </c>
      <c r="I704">
        <v>2.42</v>
      </c>
      <c r="L704" s="6" t="s">
        <v>1455</v>
      </c>
      <c r="M704" t="str" cm="1">
        <f t="array" ref="M704:O704">INDEX('Main Data'!A701:O1700,MATCH(L704,'Main Data'!A701:A1700,0),{3,7,14})</f>
        <v>Male</v>
      </c>
      <c r="N704">
        <v>120527.47</v>
      </c>
      <c r="O704">
        <v>2.42</v>
      </c>
    </row>
    <row r="705" spans="1:15" x14ac:dyDescent="0.3">
      <c r="A705" s="6" t="s">
        <v>1457</v>
      </c>
      <c r="B705" cm="1">
        <f t="array" ref="B705:C705">_xlfn.XLOOKUP(A705,'Main Data'!A702:A1701,'Main Data'!B702:C1701,"Data Not Found",0)</f>
        <v>22</v>
      </c>
      <c r="C705" t="str">
        <v>Other</v>
      </c>
      <c r="E705" s="6" t="s">
        <v>1457</v>
      </c>
      <c r="F705" cm="1">
        <f t="array" ref="F705:I705">VLOOKUP(E705,CHOOSE({1,2,3,4,5},'Main Data'!A702:A1701,'Main Data'!B702:B1701,'Main Data'!C702:C1701,'Main Data'!M702:M1701,'Main Data'!N702:N1701),{2,3,4,5},0)</f>
        <v>22</v>
      </c>
      <c r="G705" t="str">
        <v>Other</v>
      </c>
      <c r="H705" t="str">
        <v>USA</v>
      </c>
      <c r="I705">
        <v>2.23</v>
      </c>
      <c r="L705" s="6" t="s">
        <v>1457</v>
      </c>
      <c r="M705" t="str" cm="1">
        <f t="array" ref="M705:O705">INDEX('Main Data'!A702:O1701,MATCH(L705,'Main Data'!A702:A1701,0),{3,7,14})</f>
        <v>Other</v>
      </c>
      <c r="N705">
        <v>88031.99</v>
      </c>
      <c r="O705">
        <v>2.23</v>
      </c>
    </row>
    <row r="706" spans="1:15" x14ac:dyDescent="0.3">
      <c r="A706" s="6" t="s">
        <v>1459</v>
      </c>
      <c r="B706" cm="1">
        <f t="array" ref="B706:C706">_xlfn.XLOOKUP(A706,'Main Data'!A703:A1702,'Main Data'!B703:C1702,"Data Not Found",0)</f>
        <v>58</v>
      </c>
      <c r="C706" t="str">
        <v>Male</v>
      </c>
      <c r="E706" s="6" t="s">
        <v>1459</v>
      </c>
      <c r="F706" cm="1">
        <f t="array" ref="F706:I706">VLOOKUP(E706,CHOOSE({1,2,3,4,5},'Main Data'!A703:A1702,'Main Data'!B703:B1702,'Main Data'!C703:C1702,'Main Data'!M703:M1702,'Main Data'!N703:N1702),{2,3,4,5},0)</f>
        <v>58</v>
      </c>
      <c r="G706" t="str">
        <v>Male</v>
      </c>
      <c r="H706" t="str">
        <v>France</v>
      </c>
      <c r="I706">
        <v>4.8099999999999996</v>
      </c>
      <c r="L706" s="6" t="s">
        <v>1459</v>
      </c>
      <c r="M706" t="str" cm="1">
        <f t="array" ref="M706:O706">INDEX('Main Data'!A703:O1702,MATCH(L706,'Main Data'!A703:A1702,0),{3,7,14})</f>
        <v>Male</v>
      </c>
      <c r="N706">
        <v>79641.08</v>
      </c>
      <c r="O706">
        <v>4.8099999999999996</v>
      </c>
    </row>
    <row r="707" spans="1:15" x14ac:dyDescent="0.3">
      <c r="A707" s="6" t="s">
        <v>1461</v>
      </c>
      <c r="B707" cm="1">
        <f t="array" ref="B707:C707">_xlfn.XLOOKUP(A707,'Main Data'!A704:A1703,'Main Data'!B704:C1703,"Data Not Found",0)</f>
        <v>63</v>
      </c>
      <c r="C707" t="str">
        <v>Other</v>
      </c>
      <c r="E707" s="6" t="s">
        <v>1461</v>
      </c>
      <c r="F707" cm="1">
        <f t="array" ref="F707:I707">VLOOKUP(E707,CHOOSE({1,2,3,4,5},'Main Data'!A704:A1703,'Main Data'!B704:B1703,'Main Data'!C704:C1703,'Main Data'!M704:M1703,'Main Data'!N704:N1703),{2,3,4,5},0)</f>
        <v>63</v>
      </c>
      <c r="G707" t="str">
        <v>Other</v>
      </c>
      <c r="H707" t="str">
        <v>UK</v>
      </c>
      <c r="I707">
        <v>3.26</v>
      </c>
      <c r="L707" s="6" t="s">
        <v>1461</v>
      </c>
      <c r="M707" t="str" cm="1">
        <f t="array" ref="M707:O707">INDEX('Main Data'!A704:O1703,MATCH(L707,'Main Data'!A704:A1703,0),{3,7,14})</f>
        <v>Other</v>
      </c>
      <c r="N707">
        <v>114077.64</v>
      </c>
      <c r="O707">
        <v>3.26</v>
      </c>
    </row>
    <row r="708" spans="1:15" x14ac:dyDescent="0.3">
      <c r="A708" s="6" t="s">
        <v>1463</v>
      </c>
      <c r="B708" cm="1">
        <f t="array" ref="B708:C708">_xlfn.XLOOKUP(A708,'Main Data'!A705:A1704,'Main Data'!B705:C1704,"Data Not Found",0)</f>
        <v>24</v>
      </c>
      <c r="C708" t="str">
        <v>Female</v>
      </c>
      <c r="E708" s="6" t="s">
        <v>1463</v>
      </c>
      <c r="F708" cm="1">
        <f t="array" ref="F708:I708">VLOOKUP(E708,CHOOSE({1,2,3,4,5},'Main Data'!A705:A1704,'Main Data'!B705:B1704,'Main Data'!C705:C1704,'Main Data'!M705:M1704,'Main Data'!N705:N1704),{2,3,4,5},0)</f>
        <v>24</v>
      </c>
      <c r="G708" t="str">
        <v>Female</v>
      </c>
      <c r="H708" t="str">
        <v>UAE</v>
      </c>
      <c r="I708">
        <v>4.93</v>
      </c>
      <c r="L708" s="6" t="s">
        <v>1463</v>
      </c>
      <c r="M708" t="str" cm="1">
        <f t="array" ref="M708:O708">INDEX('Main Data'!A705:O1704,MATCH(L708,'Main Data'!A705:A1704,0),{3,7,14})</f>
        <v>Female</v>
      </c>
      <c r="N708">
        <v>83517.2</v>
      </c>
      <c r="O708">
        <v>4.93</v>
      </c>
    </row>
    <row r="709" spans="1:15" x14ac:dyDescent="0.3">
      <c r="A709" s="6" t="s">
        <v>1465</v>
      </c>
      <c r="B709" cm="1">
        <f t="array" ref="B709:C709">_xlfn.XLOOKUP(A709,'Main Data'!A706:A1705,'Main Data'!B706:C1705,"Data Not Found",0)</f>
        <v>55</v>
      </c>
      <c r="C709" t="str">
        <v>Male</v>
      </c>
      <c r="E709" s="6" t="s">
        <v>1465</v>
      </c>
      <c r="F709" cm="1">
        <f t="array" ref="F709:I709">VLOOKUP(E709,CHOOSE({1,2,3,4,5},'Main Data'!A706:A1705,'Main Data'!B706:B1705,'Main Data'!C706:C1705,'Main Data'!M706:M1705,'Main Data'!N706:N1705),{2,3,4,5},0)</f>
        <v>55</v>
      </c>
      <c r="G709" t="str">
        <v>Male</v>
      </c>
      <c r="H709" t="str">
        <v>Japan</v>
      </c>
      <c r="I709">
        <v>2.46</v>
      </c>
      <c r="L709" s="6" t="s">
        <v>1465</v>
      </c>
      <c r="M709" t="str" cm="1">
        <f t="array" ref="M709:O709">INDEX('Main Data'!A706:O1705,MATCH(L709,'Main Data'!A706:A1705,0),{3,7,14})</f>
        <v>Male</v>
      </c>
      <c r="N709">
        <v>184516.81</v>
      </c>
      <c r="O709">
        <v>2.46</v>
      </c>
    </row>
    <row r="710" spans="1:15" x14ac:dyDescent="0.3">
      <c r="A710" s="6" t="s">
        <v>1467</v>
      </c>
      <c r="B710" cm="1">
        <f t="array" ref="B710:C710">_xlfn.XLOOKUP(A710,'Main Data'!A707:A1706,'Main Data'!B707:C1706,"Data Not Found",0)</f>
        <v>34</v>
      </c>
      <c r="C710" t="str">
        <v>Other</v>
      </c>
      <c r="E710" s="6" t="s">
        <v>1467</v>
      </c>
      <c r="F710" cm="1">
        <f t="array" ref="F710:I710">VLOOKUP(E710,CHOOSE({1,2,3,4,5},'Main Data'!A707:A1706,'Main Data'!B707:B1706,'Main Data'!C707:C1706,'Main Data'!M707:M1706,'Main Data'!N707:N1706),{2,3,4,5},0)</f>
        <v>34</v>
      </c>
      <c r="G710" t="str">
        <v>Other</v>
      </c>
      <c r="H710" t="str">
        <v>USA</v>
      </c>
      <c r="I710">
        <v>4.54</v>
      </c>
      <c r="L710" s="6" t="s">
        <v>1467</v>
      </c>
      <c r="M710" t="str" cm="1">
        <f t="array" ref="M710:O710">INDEX('Main Data'!A707:O1706,MATCH(L710,'Main Data'!A707:A1706,0),{3,7,14})</f>
        <v>Other</v>
      </c>
      <c r="N710">
        <v>84011.05</v>
      </c>
      <c r="O710">
        <v>4.54</v>
      </c>
    </row>
    <row r="711" spans="1:15" x14ac:dyDescent="0.3">
      <c r="A711" s="6" t="s">
        <v>1469</v>
      </c>
      <c r="B711" cm="1">
        <f t="array" ref="B711:C711">_xlfn.XLOOKUP(A711,'Main Data'!A708:A1707,'Main Data'!B708:C1707,"Data Not Found",0)</f>
        <v>37</v>
      </c>
      <c r="C711" t="str">
        <v>Male</v>
      </c>
      <c r="E711" s="6" t="s">
        <v>1469</v>
      </c>
      <c r="F711" cm="1">
        <f t="array" ref="F711:I711">VLOOKUP(E711,CHOOSE({1,2,3,4,5},'Main Data'!A708:A1707,'Main Data'!B708:B1707,'Main Data'!C708:C1707,'Main Data'!M708:M1707,'Main Data'!N708:N1707),{2,3,4,5},0)</f>
        <v>37</v>
      </c>
      <c r="G711" t="str">
        <v>Male</v>
      </c>
      <c r="H711" t="str">
        <v>France</v>
      </c>
      <c r="I711">
        <v>4.6500000000000004</v>
      </c>
      <c r="L711" s="6" t="s">
        <v>1469</v>
      </c>
      <c r="M711" t="str" cm="1">
        <f t="array" ref="M711:O711">INDEX('Main Data'!A708:O1707,MATCH(L711,'Main Data'!A708:A1707,0),{3,7,14})</f>
        <v>Male</v>
      </c>
      <c r="N711">
        <v>110365.18</v>
      </c>
      <c r="O711">
        <v>4.6500000000000004</v>
      </c>
    </row>
    <row r="712" spans="1:15" x14ac:dyDescent="0.3">
      <c r="A712" s="6" t="s">
        <v>1471</v>
      </c>
      <c r="B712" cm="1">
        <f t="array" ref="B712:C712">_xlfn.XLOOKUP(A712,'Main Data'!A709:A1708,'Main Data'!B709:C1708,"Data Not Found",0)</f>
        <v>55</v>
      </c>
      <c r="C712" t="str">
        <v>Female</v>
      </c>
      <c r="E712" s="6" t="s">
        <v>1471</v>
      </c>
      <c r="F712" cm="1">
        <f t="array" ref="F712:I712">VLOOKUP(E712,CHOOSE({1,2,3,4,5},'Main Data'!A709:A1708,'Main Data'!B709:B1708,'Main Data'!C709:C1708,'Main Data'!M709:M1708,'Main Data'!N709:N1708),{2,3,4,5},0)</f>
        <v>55</v>
      </c>
      <c r="G712" t="str">
        <v>Female</v>
      </c>
      <c r="H712" t="str">
        <v>UK</v>
      </c>
      <c r="I712">
        <v>4.7300000000000004</v>
      </c>
      <c r="L712" s="6" t="s">
        <v>1471</v>
      </c>
      <c r="M712" t="str" cm="1">
        <f t="array" ref="M712:O712">INDEX('Main Data'!A709:O1708,MATCH(L712,'Main Data'!A709:A1708,0),{3,7,14})</f>
        <v>Female</v>
      </c>
      <c r="N712">
        <v>71117.55</v>
      </c>
      <c r="O712">
        <v>4.7300000000000004</v>
      </c>
    </row>
    <row r="713" spans="1:15" x14ac:dyDescent="0.3">
      <c r="A713" s="6" t="s">
        <v>1473</v>
      </c>
      <c r="B713" cm="1">
        <f t="array" ref="B713:C713">_xlfn.XLOOKUP(A713,'Main Data'!A710:A1709,'Main Data'!B710:C1709,"Data Not Found",0)</f>
        <v>45</v>
      </c>
      <c r="C713" t="str">
        <v>Male</v>
      </c>
      <c r="E713" s="6" t="s">
        <v>1473</v>
      </c>
      <c r="F713" cm="1">
        <f t="array" ref="F713:I713">VLOOKUP(E713,CHOOSE({1,2,3,4,5},'Main Data'!A710:A1709,'Main Data'!B710:B1709,'Main Data'!C710:C1709,'Main Data'!M710:M1709,'Main Data'!N710:N1709),{2,3,4,5},0)</f>
        <v>45</v>
      </c>
      <c r="G713" t="str">
        <v>Male</v>
      </c>
      <c r="H713" t="str">
        <v>UAE</v>
      </c>
      <c r="I713">
        <v>2.4500000000000002</v>
      </c>
      <c r="L713" s="6" t="s">
        <v>1473</v>
      </c>
      <c r="M713" t="str" cm="1">
        <f t="array" ref="M713:O713">INDEX('Main Data'!A710:O1709,MATCH(L713,'Main Data'!A710:A1709,0),{3,7,14})</f>
        <v>Male</v>
      </c>
      <c r="N713">
        <v>67829.279999999999</v>
      </c>
      <c r="O713">
        <v>2.4500000000000002</v>
      </c>
    </row>
    <row r="714" spans="1:15" x14ac:dyDescent="0.3">
      <c r="A714" s="6" t="s">
        <v>1475</v>
      </c>
      <c r="B714" cm="1">
        <f t="array" ref="B714:C714">_xlfn.XLOOKUP(A714,'Main Data'!A711:A1710,'Main Data'!B711:C1710,"Data Not Found",0)</f>
        <v>34</v>
      </c>
      <c r="C714" t="str">
        <v>Male</v>
      </c>
      <c r="E714" s="6" t="s">
        <v>1475</v>
      </c>
      <c r="F714" cm="1">
        <f t="array" ref="F714:I714">VLOOKUP(E714,CHOOSE({1,2,3,4,5},'Main Data'!A711:A1710,'Main Data'!B711:B1710,'Main Data'!C711:C1710,'Main Data'!M711:M1710,'Main Data'!N711:N1710),{2,3,4,5},0)</f>
        <v>34</v>
      </c>
      <c r="G714" t="str">
        <v>Male</v>
      </c>
      <c r="H714" t="str">
        <v>Japan</v>
      </c>
      <c r="I714">
        <v>2.23</v>
      </c>
      <c r="L714" s="6" t="s">
        <v>1475</v>
      </c>
      <c r="M714" t="str" cm="1">
        <f t="array" ref="M714:O714">INDEX('Main Data'!A711:O1710,MATCH(L714,'Main Data'!A711:A1710,0),{3,7,14})</f>
        <v>Male</v>
      </c>
      <c r="N714">
        <v>85659.69</v>
      </c>
      <c r="O714">
        <v>2.23</v>
      </c>
    </row>
    <row r="715" spans="1:15" x14ac:dyDescent="0.3">
      <c r="A715" s="6" t="s">
        <v>1477</v>
      </c>
      <c r="B715" cm="1">
        <f t="array" ref="B715:C715">_xlfn.XLOOKUP(A715,'Main Data'!A712:A1711,'Main Data'!B712:C1711,"Data Not Found",0)</f>
        <v>27</v>
      </c>
      <c r="C715" t="str">
        <v>Female</v>
      </c>
      <c r="E715" s="6" t="s">
        <v>1477</v>
      </c>
      <c r="F715" cm="1">
        <f t="array" ref="F715:I715">VLOOKUP(E715,CHOOSE({1,2,3,4,5},'Main Data'!A712:A1711,'Main Data'!B712:B1711,'Main Data'!C712:C1711,'Main Data'!M712:M1711,'Main Data'!N712:N1711),{2,3,4,5},0)</f>
        <v>27</v>
      </c>
      <c r="G715" t="str">
        <v>Female</v>
      </c>
      <c r="H715" t="str">
        <v>USA</v>
      </c>
      <c r="I715">
        <v>1.29</v>
      </c>
      <c r="L715" s="6" t="s">
        <v>1477</v>
      </c>
      <c r="M715" t="str" cm="1">
        <f t="array" ref="M715:O715">INDEX('Main Data'!A712:O1711,MATCH(L715,'Main Data'!A712:A1711,0),{3,7,14})</f>
        <v>Female</v>
      </c>
      <c r="N715">
        <v>50445.84</v>
      </c>
      <c r="O715">
        <v>1.29</v>
      </c>
    </row>
    <row r="716" spans="1:15" x14ac:dyDescent="0.3">
      <c r="A716" s="6" t="s">
        <v>1479</v>
      </c>
      <c r="B716" cm="1">
        <f t="array" ref="B716:C716">_xlfn.XLOOKUP(A716,'Main Data'!A713:A1712,'Main Data'!B713:C1712,"Data Not Found",0)</f>
        <v>60</v>
      </c>
      <c r="C716" t="str">
        <v>Other</v>
      </c>
      <c r="E716" s="6" t="s">
        <v>1479</v>
      </c>
      <c r="F716" cm="1">
        <f t="array" ref="F716:I716">VLOOKUP(E716,CHOOSE({1,2,3,4,5},'Main Data'!A713:A1712,'Main Data'!B713:B1712,'Main Data'!C713:C1712,'Main Data'!M713:M1712,'Main Data'!N713:N1712),{2,3,4,5},0)</f>
        <v>60</v>
      </c>
      <c r="G716" t="str">
        <v>Other</v>
      </c>
      <c r="H716" t="str">
        <v>France</v>
      </c>
      <c r="I716">
        <v>3.49</v>
      </c>
      <c r="L716" s="6" t="s">
        <v>1479</v>
      </c>
      <c r="M716" t="str" cm="1">
        <f t="array" ref="M716:O716">INDEX('Main Data'!A713:O1712,MATCH(L716,'Main Data'!A713:A1712,0),{3,7,14})</f>
        <v>Other</v>
      </c>
      <c r="N716">
        <v>139795.07999999999</v>
      </c>
      <c r="O716">
        <v>3.49</v>
      </c>
    </row>
    <row r="717" spans="1:15" x14ac:dyDescent="0.3">
      <c r="A717" s="6" t="s">
        <v>1481</v>
      </c>
      <c r="B717" cm="1">
        <f t="array" ref="B717:C717">_xlfn.XLOOKUP(A717,'Main Data'!A714:A1713,'Main Data'!B714:C1713,"Data Not Found",0)</f>
        <v>23</v>
      </c>
      <c r="C717" t="str">
        <v>Other</v>
      </c>
      <c r="E717" s="6" t="s">
        <v>1481</v>
      </c>
      <c r="F717" cm="1">
        <f t="array" ref="F717:I717">VLOOKUP(E717,CHOOSE({1,2,3,4,5},'Main Data'!A714:A1713,'Main Data'!B714:B1713,'Main Data'!C714:C1713,'Main Data'!M714:M1713,'Main Data'!N714:N1713),{2,3,4,5},0)</f>
        <v>23</v>
      </c>
      <c r="G717" t="str">
        <v>Other</v>
      </c>
      <c r="H717" t="str">
        <v>UK</v>
      </c>
      <c r="I717">
        <v>1.28</v>
      </c>
      <c r="L717" s="6" t="s">
        <v>1481</v>
      </c>
      <c r="M717" t="str" cm="1">
        <f t="array" ref="M717:O717">INDEX('Main Data'!A714:O1713,MATCH(L717,'Main Data'!A714:A1713,0),{3,7,14})</f>
        <v>Other</v>
      </c>
      <c r="N717">
        <v>83342.28</v>
      </c>
      <c r="O717">
        <v>1.28</v>
      </c>
    </row>
    <row r="718" spans="1:15" x14ac:dyDescent="0.3">
      <c r="A718" s="6" t="s">
        <v>1483</v>
      </c>
      <c r="B718" cm="1">
        <f t="array" ref="B718:C718">_xlfn.XLOOKUP(A718,'Main Data'!A715:A1714,'Main Data'!B715:C1714,"Data Not Found",0)</f>
        <v>32</v>
      </c>
      <c r="C718" t="str">
        <v>Other</v>
      </c>
      <c r="E718" s="6" t="s">
        <v>1483</v>
      </c>
      <c r="F718" cm="1">
        <f t="array" ref="F718:I718">VLOOKUP(E718,CHOOSE({1,2,3,4,5},'Main Data'!A715:A1714,'Main Data'!B715:B1714,'Main Data'!C715:C1714,'Main Data'!M715:M1714,'Main Data'!N715:N1714),{2,3,4,5},0)</f>
        <v>32</v>
      </c>
      <c r="G718" t="str">
        <v>Other</v>
      </c>
      <c r="H718" t="str">
        <v>UAE</v>
      </c>
      <c r="I718">
        <v>3.25</v>
      </c>
      <c r="L718" s="6" t="s">
        <v>1483</v>
      </c>
      <c r="M718" t="str" cm="1">
        <f t="array" ref="M718:O718">INDEX('Main Data'!A715:O1714,MATCH(L718,'Main Data'!A715:A1714,0),{3,7,14})</f>
        <v>Other</v>
      </c>
      <c r="N718">
        <v>114722.11</v>
      </c>
      <c r="O718">
        <v>3.25</v>
      </c>
    </row>
    <row r="719" spans="1:15" x14ac:dyDescent="0.3">
      <c r="A719" s="6" t="s">
        <v>1485</v>
      </c>
      <c r="B719" cm="1">
        <f t="array" ref="B719:C719">_xlfn.XLOOKUP(A719,'Main Data'!A716:A1715,'Main Data'!B716:C1715,"Data Not Found",0)</f>
        <v>28</v>
      </c>
      <c r="C719" t="str">
        <v>Male</v>
      </c>
      <c r="E719" s="6" t="s">
        <v>1485</v>
      </c>
      <c r="F719" cm="1">
        <f t="array" ref="F719:I719">VLOOKUP(E719,CHOOSE({1,2,3,4,5},'Main Data'!A716:A1715,'Main Data'!B716:B1715,'Main Data'!C716:C1715,'Main Data'!M716:M1715,'Main Data'!N716:N1715),{2,3,4,5},0)</f>
        <v>28</v>
      </c>
      <c r="G719" t="str">
        <v>Male</v>
      </c>
      <c r="H719" t="str">
        <v>Japan</v>
      </c>
      <c r="I719">
        <v>2.2999999999999998</v>
      </c>
      <c r="L719" s="6" t="s">
        <v>1485</v>
      </c>
      <c r="M719" t="str" cm="1">
        <f t="array" ref="M719:O719">INDEX('Main Data'!A716:O1715,MATCH(L719,'Main Data'!A716:A1715,0),{3,7,14})</f>
        <v>Male</v>
      </c>
      <c r="N719">
        <v>171294.34</v>
      </c>
      <c r="O719">
        <v>2.2999999999999998</v>
      </c>
    </row>
    <row r="720" spans="1:15" x14ac:dyDescent="0.3">
      <c r="A720" s="6" t="s">
        <v>1487</v>
      </c>
      <c r="B720" cm="1">
        <f t="array" ref="B720:C720">_xlfn.XLOOKUP(A720,'Main Data'!A717:A1716,'Main Data'!B717:C1716,"Data Not Found",0)</f>
        <v>28</v>
      </c>
      <c r="C720" t="str">
        <v>Male</v>
      </c>
      <c r="E720" s="6" t="s">
        <v>1487</v>
      </c>
      <c r="F720" cm="1">
        <f t="array" ref="F720:I720">VLOOKUP(E720,CHOOSE({1,2,3,4,5},'Main Data'!A717:A1716,'Main Data'!B717:B1716,'Main Data'!C717:C1716,'Main Data'!M717:M1716,'Main Data'!N717:N1716),{2,3,4,5},0)</f>
        <v>28</v>
      </c>
      <c r="G720" t="str">
        <v>Male</v>
      </c>
      <c r="H720" t="str">
        <v>USA</v>
      </c>
      <c r="I720">
        <v>1.22</v>
      </c>
      <c r="L720" s="6" t="s">
        <v>1487</v>
      </c>
      <c r="M720" t="str" cm="1">
        <f t="array" ref="M720:O720">INDEX('Main Data'!A717:O1716,MATCH(L720,'Main Data'!A717:A1716,0),{3,7,14})</f>
        <v>Male</v>
      </c>
      <c r="N720">
        <v>112367.3</v>
      </c>
      <c r="O720">
        <v>1.22</v>
      </c>
    </row>
    <row r="721" spans="1:15" x14ac:dyDescent="0.3">
      <c r="A721" s="6" t="s">
        <v>1489</v>
      </c>
      <c r="B721" cm="1">
        <f t="array" ref="B721:C721">_xlfn.XLOOKUP(A721,'Main Data'!A718:A1717,'Main Data'!B718:C1717,"Data Not Found",0)</f>
        <v>60</v>
      </c>
      <c r="C721" t="str">
        <v>Other</v>
      </c>
      <c r="E721" s="6" t="s">
        <v>1489</v>
      </c>
      <c r="F721" cm="1">
        <f t="array" ref="F721:I721">VLOOKUP(E721,CHOOSE({1,2,3,4,5},'Main Data'!A718:A1717,'Main Data'!B718:B1717,'Main Data'!C718:C1717,'Main Data'!M718:M1717,'Main Data'!N718:N1717),{2,3,4,5},0)</f>
        <v>60</v>
      </c>
      <c r="G721" t="str">
        <v>Other</v>
      </c>
      <c r="H721" t="str">
        <v>France</v>
      </c>
      <c r="I721">
        <v>4.78</v>
      </c>
      <c r="L721" s="6" t="s">
        <v>1489</v>
      </c>
      <c r="M721" t="str" cm="1">
        <f t="array" ref="M721:O721">INDEX('Main Data'!A718:O1717,MATCH(L721,'Main Data'!A718:A1717,0),{3,7,14})</f>
        <v>Other</v>
      </c>
      <c r="N721">
        <v>164765.1</v>
      </c>
      <c r="O721">
        <v>4.78</v>
      </c>
    </row>
    <row r="722" spans="1:15" x14ac:dyDescent="0.3">
      <c r="A722" s="6" t="s">
        <v>1491</v>
      </c>
      <c r="B722" cm="1">
        <f t="array" ref="B722:C722">_xlfn.XLOOKUP(A722,'Main Data'!A719:A1718,'Main Data'!B719:C1718,"Data Not Found",0)</f>
        <v>60</v>
      </c>
      <c r="C722" t="str">
        <v>Other</v>
      </c>
      <c r="E722" s="6" t="s">
        <v>1491</v>
      </c>
      <c r="F722" cm="1">
        <f t="array" ref="F722:I722">VLOOKUP(E722,CHOOSE({1,2,3,4,5},'Main Data'!A719:A1718,'Main Data'!B719:B1718,'Main Data'!C719:C1718,'Main Data'!M719:M1718,'Main Data'!N719:N1718),{2,3,4,5},0)</f>
        <v>60</v>
      </c>
      <c r="G722" t="str">
        <v>Other</v>
      </c>
      <c r="H722" t="str">
        <v>UK</v>
      </c>
      <c r="I722">
        <v>4.37</v>
      </c>
      <c r="L722" s="6" t="s">
        <v>1491</v>
      </c>
      <c r="M722" t="str" cm="1">
        <f t="array" ref="M722:O722">INDEX('Main Data'!A719:O1718,MATCH(L722,'Main Data'!A719:A1718,0),{3,7,14})</f>
        <v>Other</v>
      </c>
      <c r="N722">
        <v>156816.26</v>
      </c>
      <c r="O722">
        <v>4.37</v>
      </c>
    </row>
    <row r="723" spans="1:15" x14ac:dyDescent="0.3">
      <c r="A723" s="6" t="s">
        <v>1493</v>
      </c>
      <c r="B723" cm="1">
        <f t="array" ref="B723:C723">_xlfn.XLOOKUP(A723,'Main Data'!A720:A1719,'Main Data'!B720:C1719,"Data Not Found",0)</f>
        <v>33</v>
      </c>
      <c r="C723" t="str">
        <v>Male</v>
      </c>
      <c r="E723" s="6" t="s">
        <v>1493</v>
      </c>
      <c r="F723" cm="1">
        <f t="array" ref="F723:I723">VLOOKUP(E723,CHOOSE({1,2,3,4,5},'Main Data'!A720:A1719,'Main Data'!B720:B1719,'Main Data'!C720:C1719,'Main Data'!M720:M1719,'Main Data'!N720:N1719),{2,3,4,5},0)</f>
        <v>33</v>
      </c>
      <c r="G723" t="str">
        <v>Male</v>
      </c>
      <c r="H723" t="str">
        <v>UAE</v>
      </c>
      <c r="I723">
        <v>4.07</v>
      </c>
      <c r="L723" s="6" t="s">
        <v>1493</v>
      </c>
      <c r="M723" t="str" cm="1">
        <f t="array" ref="M723:O723">INDEX('Main Data'!A720:O1719,MATCH(L723,'Main Data'!A720:A1719,0),{3,7,14})</f>
        <v>Male</v>
      </c>
      <c r="N723">
        <v>179244.66</v>
      </c>
      <c r="O723">
        <v>4.07</v>
      </c>
    </row>
    <row r="724" spans="1:15" x14ac:dyDescent="0.3">
      <c r="A724" s="6" t="s">
        <v>1495</v>
      </c>
      <c r="B724" cm="1">
        <f t="array" ref="B724:C724">_xlfn.XLOOKUP(A724,'Main Data'!A721:A1720,'Main Data'!B721:C1720,"Data Not Found",0)</f>
        <v>43</v>
      </c>
      <c r="C724" t="str">
        <v>Other</v>
      </c>
      <c r="E724" s="6" t="s">
        <v>1495</v>
      </c>
      <c r="F724" cm="1">
        <f t="array" ref="F724:I724">VLOOKUP(E724,CHOOSE({1,2,3,4,5},'Main Data'!A721:A1720,'Main Data'!B721:B1720,'Main Data'!C721:C1720,'Main Data'!M721:M1720,'Main Data'!N721:N1720),{2,3,4,5},0)</f>
        <v>43</v>
      </c>
      <c r="G724" t="str">
        <v>Other</v>
      </c>
      <c r="H724" t="str">
        <v>Japan</v>
      </c>
      <c r="I724">
        <v>4.33</v>
      </c>
      <c r="L724" s="6" t="s">
        <v>1495</v>
      </c>
      <c r="M724" t="str" cm="1">
        <f t="array" ref="M724:O724">INDEX('Main Data'!A721:O1720,MATCH(L724,'Main Data'!A721:A1720,0),{3,7,14})</f>
        <v>Other</v>
      </c>
      <c r="N724">
        <v>109485.27</v>
      </c>
      <c r="O724">
        <v>4.33</v>
      </c>
    </row>
    <row r="725" spans="1:15" x14ac:dyDescent="0.3">
      <c r="A725" s="6" t="s">
        <v>1497</v>
      </c>
      <c r="B725" cm="1">
        <f t="array" ref="B725:C725">_xlfn.XLOOKUP(A725,'Main Data'!A722:A1721,'Main Data'!B722:C1721,"Data Not Found",0)</f>
        <v>24</v>
      </c>
      <c r="C725" t="str">
        <v>Other</v>
      </c>
      <c r="E725" s="6" t="s">
        <v>1497</v>
      </c>
      <c r="F725" cm="1">
        <f t="array" ref="F725:I725">VLOOKUP(E725,CHOOSE({1,2,3,4,5},'Main Data'!A722:A1721,'Main Data'!B722:B1721,'Main Data'!C722:C1721,'Main Data'!M722:M1721,'Main Data'!N722:N1721),{2,3,4,5},0)</f>
        <v>24</v>
      </c>
      <c r="G725" t="str">
        <v>Other</v>
      </c>
      <c r="H725" t="str">
        <v>USA</v>
      </c>
      <c r="I725">
        <v>2.65</v>
      </c>
      <c r="L725" s="6" t="s">
        <v>1497</v>
      </c>
      <c r="M725" t="str" cm="1">
        <f t="array" ref="M725:O725">INDEX('Main Data'!A722:O1721,MATCH(L725,'Main Data'!A722:A1721,0),{3,7,14})</f>
        <v>Other</v>
      </c>
      <c r="N725">
        <v>161410.70000000001</v>
      </c>
      <c r="O725">
        <v>2.65</v>
      </c>
    </row>
    <row r="726" spans="1:15" x14ac:dyDescent="0.3">
      <c r="A726" s="6" t="s">
        <v>1499</v>
      </c>
      <c r="B726" cm="1">
        <f t="array" ref="B726:C726">_xlfn.XLOOKUP(A726,'Main Data'!A723:A1722,'Main Data'!B723:C1722,"Data Not Found",0)</f>
        <v>34</v>
      </c>
      <c r="C726" t="str">
        <v>Male</v>
      </c>
      <c r="E726" s="6" t="s">
        <v>1499</v>
      </c>
      <c r="F726" cm="1">
        <f t="array" ref="F726:I726">VLOOKUP(E726,CHOOSE({1,2,3,4,5},'Main Data'!A723:A1722,'Main Data'!B723:B1722,'Main Data'!C723:C1722,'Main Data'!M723:M1722,'Main Data'!N723:N1722),{2,3,4,5},0)</f>
        <v>34</v>
      </c>
      <c r="G726" t="str">
        <v>Male</v>
      </c>
      <c r="H726" t="str">
        <v>France</v>
      </c>
      <c r="I726">
        <v>1.96</v>
      </c>
      <c r="L726" s="6" t="s">
        <v>1499</v>
      </c>
      <c r="M726" t="str" cm="1">
        <f t="array" ref="M726:O726">INDEX('Main Data'!A723:O1722,MATCH(L726,'Main Data'!A723:A1722,0),{3,7,14})</f>
        <v>Male</v>
      </c>
      <c r="N726">
        <v>134470.70000000001</v>
      </c>
      <c r="O726">
        <v>1.96</v>
      </c>
    </row>
    <row r="727" spans="1:15" x14ac:dyDescent="0.3">
      <c r="A727" s="6" t="s">
        <v>1501</v>
      </c>
      <c r="B727" cm="1">
        <f t="array" ref="B727:C727">_xlfn.XLOOKUP(A727,'Main Data'!A724:A1723,'Main Data'!B724:C1723,"Data Not Found",0)</f>
        <v>51</v>
      </c>
      <c r="C727" t="str">
        <v>Female</v>
      </c>
      <c r="E727" s="6" t="s">
        <v>1501</v>
      </c>
      <c r="F727" cm="1">
        <f t="array" ref="F727:I727">VLOOKUP(E727,CHOOSE({1,2,3,4,5},'Main Data'!A724:A1723,'Main Data'!B724:B1723,'Main Data'!C724:C1723,'Main Data'!M724:M1723,'Main Data'!N724:N1723),{2,3,4,5},0)</f>
        <v>51</v>
      </c>
      <c r="G727" t="str">
        <v>Female</v>
      </c>
      <c r="H727" t="str">
        <v>UK</v>
      </c>
      <c r="I727">
        <v>1.68</v>
      </c>
      <c r="L727" s="6" t="s">
        <v>1501</v>
      </c>
      <c r="M727" t="str" cm="1">
        <f t="array" ref="M727:O727">INDEX('Main Data'!A724:O1723,MATCH(L727,'Main Data'!A724:A1723,0),{3,7,14})</f>
        <v>Female</v>
      </c>
      <c r="N727">
        <v>128127.83</v>
      </c>
      <c r="O727">
        <v>1.68</v>
      </c>
    </row>
    <row r="728" spans="1:15" x14ac:dyDescent="0.3">
      <c r="A728" s="6" t="s">
        <v>1503</v>
      </c>
      <c r="B728" cm="1">
        <f t="array" ref="B728:C728">_xlfn.XLOOKUP(A728,'Main Data'!A725:A1724,'Main Data'!B725:C1724,"Data Not Found",0)</f>
        <v>31</v>
      </c>
      <c r="C728" t="str">
        <v>Male</v>
      </c>
      <c r="E728" s="6" t="s">
        <v>1503</v>
      </c>
      <c r="F728" cm="1">
        <f t="array" ref="F728:I728">VLOOKUP(E728,CHOOSE({1,2,3,4,5},'Main Data'!A725:A1724,'Main Data'!B725:B1724,'Main Data'!C725:C1724,'Main Data'!M725:M1724,'Main Data'!N725:N1724),{2,3,4,5},0)</f>
        <v>31</v>
      </c>
      <c r="G728" t="str">
        <v>Male</v>
      </c>
      <c r="H728" t="str">
        <v>UAE</v>
      </c>
      <c r="I728">
        <v>3.8</v>
      </c>
      <c r="L728" s="6" t="s">
        <v>1503</v>
      </c>
      <c r="M728" t="str" cm="1">
        <f t="array" ref="M728:O728">INDEX('Main Data'!A725:O1724,MATCH(L728,'Main Data'!A725:A1724,0),{3,7,14})</f>
        <v>Male</v>
      </c>
      <c r="N728">
        <v>90363.78</v>
      </c>
      <c r="O728">
        <v>3.8</v>
      </c>
    </row>
    <row r="729" spans="1:15" x14ac:dyDescent="0.3">
      <c r="A729" s="6" t="s">
        <v>1505</v>
      </c>
      <c r="B729" cm="1">
        <f t="array" ref="B729:C729">_xlfn.XLOOKUP(A729,'Main Data'!A726:A1725,'Main Data'!B726:C1725,"Data Not Found",0)</f>
        <v>30</v>
      </c>
      <c r="C729" t="str">
        <v>Other</v>
      </c>
      <c r="E729" s="6" t="s">
        <v>1505</v>
      </c>
      <c r="F729" cm="1">
        <f t="array" ref="F729:I729">VLOOKUP(E729,CHOOSE({1,2,3,4,5},'Main Data'!A726:A1725,'Main Data'!B726:B1725,'Main Data'!C726:C1725,'Main Data'!M726:M1725,'Main Data'!N726:N1725),{2,3,4,5},0)</f>
        <v>30</v>
      </c>
      <c r="G729" t="str">
        <v>Other</v>
      </c>
      <c r="H729" t="str">
        <v>Japan</v>
      </c>
      <c r="I729">
        <v>4.1399999999999997</v>
      </c>
      <c r="L729" s="6" t="s">
        <v>1505</v>
      </c>
      <c r="M729" t="str" cm="1">
        <f t="array" ref="M729:O729">INDEX('Main Data'!A726:O1725,MATCH(L729,'Main Data'!A726:A1725,0),{3,7,14})</f>
        <v>Other</v>
      </c>
      <c r="N729">
        <v>126276.9</v>
      </c>
      <c r="O729">
        <v>4.1399999999999997</v>
      </c>
    </row>
    <row r="730" spans="1:15" x14ac:dyDescent="0.3">
      <c r="A730" s="6" t="s">
        <v>1507</v>
      </c>
      <c r="B730" cm="1">
        <f t="array" ref="B730:C730">_xlfn.XLOOKUP(A730,'Main Data'!A727:A1726,'Main Data'!B727:C1726,"Data Not Found",0)</f>
        <v>27</v>
      </c>
      <c r="C730" t="str">
        <v>Other</v>
      </c>
      <c r="E730" s="6" t="s">
        <v>1507</v>
      </c>
      <c r="F730" cm="1">
        <f t="array" ref="F730:I730">VLOOKUP(E730,CHOOSE({1,2,3,4,5},'Main Data'!A727:A1726,'Main Data'!B727:B1726,'Main Data'!C727:C1726,'Main Data'!M727:M1726,'Main Data'!N727:N1726),{2,3,4,5},0)</f>
        <v>27</v>
      </c>
      <c r="G730" t="str">
        <v>Other</v>
      </c>
      <c r="H730" t="str">
        <v>USA</v>
      </c>
      <c r="I730">
        <v>1.5</v>
      </c>
      <c r="L730" s="6" t="s">
        <v>1507</v>
      </c>
      <c r="M730" t="str" cm="1">
        <f t="array" ref="M730:O730">INDEX('Main Data'!A727:O1726,MATCH(L730,'Main Data'!A727:A1726,0),{3,7,14})</f>
        <v>Other</v>
      </c>
      <c r="N730">
        <v>58197.04</v>
      </c>
      <c r="O730">
        <v>1.5</v>
      </c>
    </row>
    <row r="731" spans="1:15" x14ac:dyDescent="0.3">
      <c r="A731" s="6" t="s">
        <v>1509</v>
      </c>
      <c r="B731" cm="1">
        <f t="array" ref="B731:C731">_xlfn.XLOOKUP(A731,'Main Data'!A728:A1727,'Main Data'!B728:C1727,"Data Not Found",0)</f>
        <v>23</v>
      </c>
      <c r="C731" t="str">
        <v>Female</v>
      </c>
      <c r="E731" s="6" t="s">
        <v>1509</v>
      </c>
      <c r="F731" cm="1">
        <f t="array" ref="F731:I731">VLOOKUP(E731,CHOOSE({1,2,3,4,5},'Main Data'!A728:A1727,'Main Data'!B728:B1727,'Main Data'!C728:C1727,'Main Data'!M728:M1727,'Main Data'!N728:N1727),{2,3,4,5},0)</f>
        <v>23</v>
      </c>
      <c r="G731" t="str">
        <v>Female</v>
      </c>
      <c r="H731" t="str">
        <v>France</v>
      </c>
      <c r="I731">
        <v>4.83</v>
      </c>
      <c r="L731" s="6" t="s">
        <v>1509</v>
      </c>
      <c r="M731" t="str" cm="1">
        <f t="array" ref="M731:O731">INDEX('Main Data'!A728:O1727,MATCH(L731,'Main Data'!A728:A1727,0),{3,7,14})</f>
        <v>Female</v>
      </c>
      <c r="N731">
        <v>67318.33</v>
      </c>
      <c r="O731">
        <v>4.83</v>
      </c>
    </row>
    <row r="732" spans="1:15" x14ac:dyDescent="0.3">
      <c r="A732" s="6" t="s">
        <v>1511</v>
      </c>
      <c r="B732" cm="1">
        <f t="array" ref="B732:C732">_xlfn.XLOOKUP(A732,'Main Data'!A729:A1728,'Main Data'!B729:C1728,"Data Not Found",0)</f>
        <v>37</v>
      </c>
      <c r="C732" t="str">
        <v>Female</v>
      </c>
      <c r="E732" s="6" t="s">
        <v>1511</v>
      </c>
      <c r="F732" cm="1">
        <f t="array" ref="F732:I732">VLOOKUP(E732,CHOOSE({1,2,3,4,5},'Main Data'!A729:A1728,'Main Data'!B729:B1728,'Main Data'!C729:C1728,'Main Data'!M729:M1728,'Main Data'!N729:N1728),{2,3,4,5},0)</f>
        <v>37</v>
      </c>
      <c r="G732" t="str">
        <v>Female</v>
      </c>
      <c r="H732" t="str">
        <v>UK</v>
      </c>
      <c r="I732">
        <v>3.4</v>
      </c>
      <c r="L732" s="6" t="s">
        <v>1511</v>
      </c>
      <c r="M732" t="str" cm="1">
        <f t="array" ref="M732:O732">INDEX('Main Data'!A729:O1728,MATCH(L732,'Main Data'!A729:A1728,0),{3,7,14})</f>
        <v>Female</v>
      </c>
      <c r="N732">
        <v>121627.77</v>
      </c>
      <c r="O732">
        <v>3.4</v>
      </c>
    </row>
    <row r="733" spans="1:15" x14ac:dyDescent="0.3">
      <c r="A733" s="6" t="s">
        <v>1513</v>
      </c>
      <c r="B733" cm="1">
        <f t="array" ref="B733:C733">_xlfn.XLOOKUP(A733,'Main Data'!A730:A1729,'Main Data'!B730:C1729,"Data Not Found",0)</f>
        <v>34</v>
      </c>
      <c r="C733" t="str">
        <v>Male</v>
      </c>
      <c r="E733" s="6" t="s">
        <v>1513</v>
      </c>
      <c r="F733" cm="1">
        <f t="array" ref="F733:I733">VLOOKUP(E733,CHOOSE({1,2,3,4,5},'Main Data'!A730:A1729,'Main Data'!B730:B1729,'Main Data'!C730:C1729,'Main Data'!M730:M1729,'Main Data'!N730:N1729),{2,3,4,5},0)</f>
        <v>34</v>
      </c>
      <c r="G733" t="str">
        <v>Male</v>
      </c>
      <c r="H733" t="str">
        <v>UAE</v>
      </c>
      <c r="I733">
        <v>3.97</v>
      </c>
      <c r="L733" s="6" t="s">
        <v>1513</v>
      </c>
      <c r="M733" t="str" cm="1">
        <f t="array" ref="M733:O733">INDEX('Main Data'!A730:O1729,MATCH(L733,'Main Data'!A730:A1729,0),{3,7,14})</f>
        <v>Male</v>
      </c>
      <c r="N733">
        <v>94799.09</v>
      </c>
      <c r="O733">
        <v>3.97</v>
      </c>
    </row>
    <row r="734" spans="1:15" x14ac:dyDescent="0.3">
      <c r="A734" s="6" t="s">
        <v>1515</v>
      </c>
      <c r="B734" cm="1">
        <f t="array" ref="B734:C734">_xlfn.XLOOKUP(A734,'Main Data'!A731:A1730,'Main Data'!B731:C1730,"Data Not Found",0)</f>
        <v>34</v>
      </c>
      <c r="C734" t="str">
        <v>Female</v>
      </c>
      <c r="E734" s="6" t="s">
        <v>1515</v>
      </c>
      <c r="F734" cm="1">
        <f t="array" ref="F734:I734">VLOOKUP(E734,CHOOSE({1,2,3,4,5},'Main Data'!A731:A1730,'Main Data'!B731:B1730,'Main Data'!C731:C1730,'Main Data'!M731:M1730,'Main Data'!N731:N1730),{2,3,4,5},0)</f>
        <v>34</v>
      </c>
      <c r="G734" t="str">
        <v>Female</v>
      </c>
      <c r="H734" t="str">
        <v>Japan</v>
      </c>
      <c r="I734">
        <v>1.81</v>
      </c>
      <c r="L734" s="6" t="s">
        <v>1515</v>
      </c>
      <c r="M734" t="str" cm="1">
        <f t="array" ref="M734:O734">INDEX('Main Data'!A731:O1730,MATCH(L734,'Main Data'!A731:A1730,0),{3,7,14})</f>
        <v>Female</v>
      </c>
      <c r="N734">
        <v>185500.2</v>
      </c>
      <c r="O734">
        <v>1.81</v>
      </c>
    </row>
    <row r="735" spans="1:15" x14ac:dyDescent="0.3">
      <c r="A735" s="6" t="s">
        <v>1517</v>
      </c>
      <c r="B735" cm="1">
        <f t="array" ref="B735:C735">_xlfn.XLOOKUP(A735,'Main Data'!A732:A1731,'Main Data'!B732:C1731,"Data Not Found",0)</f>
        <v>43</v>
      </c>
      <c r="C735" t="str">
        <v>Other</v>
      </c>
      <c r="E735" s="6" t="s">
        <v>1517</v>
      </c>
      <c r="F735" cm="1">
        <f t="array" ref="F735:I735">VLOOKUP(E735,CHOOSE({1,2,3,4,5},'Main Data'!A732:A1731,'Main Data'!B732:B1731,'Main Data'!C732:C1731,'Main Data'!M732:M1731,'Main Data'!N732:N1731),{2,3,4,5},0)</f>
        <v>43</v>
      </c>
      <c r="G735" t="str">
        <v>Other</v>
      </c>
      <c r="H735" t="str">
        <v>USA</v>
      </c>
      <c r="I735">
        <v>3.89</v>
      </c>
      <c r="L735" s="6" t="s">
        <v>1517</v>
      </c>
      <c r="M735" t="str" cm="1">
        <f t="array" ref="M735:O735">INDEX('Main Data'!A732:O1731,MATCH(L735,'Main Data'!A732:A1731,0),{3,7,14})</f>
        <v>Other</v>
      </c>
      <c r="N735">
        <v>193072.67</v>
      </c>
      <c r="O735">
        <v>3.89</v>
      </c>
    </row>
    <row r="736" spans="1:15" x14ac:dyDescent="0.3">
      <c r="A736" s="6" t="s">
        <v>1519</v>
      </c>
      <c r="B736" cm="1">
        <f t="array" ref="B736:C736">_xlfn.XLOOKUP(A736,'Main Data'!A733:A1732,'Main Data'!B733:C1732,"Data Not Found",0)</f>
        <v>40</v>
      </c>
      <c r="C736" t="str">
        <v>Other</v>
      </c>
      <c r="E736" s="6" t="s">
        <v>1519</v>
      </c>
      <c r="F736" cm="1">
        <f t="array" ref="F736:I736">VLOOKUP(E736,CHOOSE({1,2,3,4,5},'Main Data'!A733:A1732,'Main Data'!B733:B1732,'Main Data'!C733:C1732,'Main Data'!M733:M1732,'Main Data'!N733:N1732),{2,3,4,5},0)</f>
        <v>40</v>
      </c>
      <c r="G736" t="str">
        <v>Other</v>
      </c>
      <c r="H736" t="str">
        <v>France</v>
      </c>
      <c r="I736">
        <v>1.03</v>
      </c>
      <c r="L736" s="6" t="s">
        <v>1519</v>
      </c>
      <c r="M736" t="str" cm="1">
        <f t="array" ref="M736:O736">INDEX('Main Data'!A733:O1732,MATCH(L736,'Main Data'!A733:A1732,0),{3,7,14})</f>
        <v>Other</v>
      </c>
      <c r="N736">
        <v>181811.28</v>
      </c>
      <c r="O736">
        <v>1.03</v>
      </c>
    </row>
    <row r="737" spans="1:15" x14ac:dyDescent="0.3">
      <c r="A737" s="6" t="s">
        <v>1521</v>
      </c>
      <c r="B737" cm="1">
        <f t="array" ref="B737:C737">_xlfn.XLOOKUP(A737,'Main Data'!A734:A1733,'Main Data'!B734:C1733,"Data Not Found",0)</f>
        <v>47</v>
      </c>
      <c r="C737" t="str">
        <v>Other</v>
      </c>
      <c r="E737" s="6" t="s">
        <v>1521</v>
      </c>
      <c r="F737" cm="1">
        <f t="array" ref="F737:I737">VLOOKUP(E737,CHOOSE({1,2,3,4,5},'Main Data'!A734:A1733,'Main Data'!B734:B1733,'Main Data'!C734:C1733,'Main Data'!M734:M1733,'Main Data'!N734:N1733),{2,3,4,5},0)</f>
        <v>47</v>
      </c>
      <c r="G737" t="str">
        <v>Other</v>
      </c>
      <c r="H737" t="str">
        <v>UK</v>
      </c>
      <c r="I737">
        <v>3.38</v>
      </c>
      <c r="L737" s="6" t="s">
        <v>1521</v>
      </c>
      <c r="M737" t="str" cm="1">
        <f t="array" ref="M737:O737">INDEX('Main Data'!A734:O1733,MATCH(L737,'Main Data'!A734:A1733,0),{3,7,14})</f>
        <v>Other</v>
      </c>
      <c r="N737">
        <v>56193.36</v>
      </c>
      <c r="O737">
        <v>3.38</v>
      </c>
    </row>
    <row r="738" spans="1:15" x14ac:dyDescent="0.3">
      <c r="A738" s="6" t="s">
        <v>1523</v>
      </c>
      <c r="B738" cm="1">
        <f t="array" ref="B738:C738">_xlfn.XLOOKUP(A738,'Main Data'!A735:A1734,'Main Data'!B735:C1734,"Data Not Found",0)</f>
        <v>35</v>
      </c>
      <c r="C738" t="str">
        <v>Other</v>
      </c>
      <c r="E738" s="6" t="s">
        <v>1523</v>
      </c>
      <c r="F738" cm="1">
        <f t="array" ref="F738:I738">VLOOKUP(E738,CHOOSE({1,2,3,4,5},'Main Data'!A735:A1734,'Main Data'!B735:B1734,'Main Data'!C735:C1734,'Main Data'!M735:M1734,'Main Data'!N735:N1734),{2,3,4,5},0)</f>
        <v>35</v>
      </c>
      <c r="G738" t="str">
        <v>Other</v>
      </c>
      <c r="H738" t="str">
        <v>UAE</v>
      </c>
      <c r="I738">
        <v>4.2300000000000004</v>
      </c>
      <c r="L738" s="6" t="s">
        <v>1523</v>
      </c>
      <c r="M738" t="str" cm="1">
        <f t="array" ref="M738:O738">INDEX('Main Data'!A735:O1734,MATCH(L738,'Main Data'!A735:A1734,0),{3,7,14})</f>
        <v>Other</v>
      </c>
      <c r="N738">
        <v>172901.1</v>
      </c>
      <c r="O738">
        <v>4.2300000000000004</v>
      </c>
    </row>
    <row r="739" spans="1:15" x14ac:dyDescent="0.3">
      <c r="A739" s="6" t="s">
        <v>1525</v>
      </c>
      <c r="B739" cm="1">
        <f t="array" ref="B739:C739">_xlfn.XLOOKUP(A739,'Main Data'!A736:A1735,'Main Data'!B736:C1735,"Data Not Found",0)</f>
        <v>52</v>
      </c>
      <c r="C739" t="str">
        <v>Female</v>
      </c>
      <c r="E739" s="6" t="s">
        <v>1525</v>
      </c>
      <c r="F739" cm="1">
        <f t="array" ref="F739:I739">VLOOKUP(E739,CHOOSE({1,2,3,4,5},'Main Data'!A736:A1735,'Main Data'!B736:B1735,'Main Data'!C736:C1735,'Main Data'!M736:M1735,'Main Data'!N736:N1735),{2,3,4,5},0)</f>
        <v>52</v>
      </c>
      <c r="G739" t="str">
        <v>Female</v>
      </c>
      <c r="H739" t="str">
        <v>Japan</v>
      </c>
      <c r="I739">
        <v>1.2</v>
      </c>
      <c r="L739" s="6" t="s">
        <v>1525</v>
      </c>
      <c r="M739" t="str" cm="1">
        <f t="array" ref="M739:O739">INDEX('Main Data'!A736:O1735,MATCH(L739,'Main Data'!A736:A1735,0),{3,7,14})</f>
        <v>Female</v>
      </c>
      <c r="N739">
        <v>119029.05</v>
      </c>
      <c r="O739">
        <v>1.2</v>
      </c>
    </row>
    <row r="740" spans="1:15" x14ac:dyDescent="0.3">
      <c r="A740" s="6" t="s">
        <v>1527</v>
      </c>
      <c r="B740" cm="1">
        <f t="array" ref="B740:C740">_xlfn.XLOOKUP(A740,'Main Data'!A737:A1736,'Main Data'!B737:C1736,"Data Not Found",0)</f>
        <v>50</v>
      </c>
      <c r="C740" t="str">
        <v>Other</v>
      </c>
      <c r="E740" s="6" t="s">
        <v>1527</v>
      </c>
      <c r="F740" cm="1">
        <f t="array" ref="F740:I740">VLOOKUP(E740,CHOOSE({1,2,3,4,5},'Main Data'!A737:A1736,'Main Data'!B737:B1736,'Main Data'!C737:C1736,'Main Data'!M737:M1736,'Main Data'!N737:N1736),{2,3,4,5},0)</f>
        <v>50</v>
      </c>
      <c r="G740" t="str">
        <v>Other</v>
      </c>
      <c r="H740" t="str">
        <v>USA</v>
      </c>
      <c r="I740">
        <v>2.48</v>
      </c>
      <c r="L740" s="6" t="s">
        <v>1527</v>
      </c>
      <c r="M740" t="str" cm="1">
        <f t="array" ref="M740:O740">INDEX('Main Data'!A737:O1736,MATCH(L740,'Main Data'!A737:A1736,0),{3,7,14})</f>
        <v>Other</v>
      </c>
      <c r="N740">
        <v>57038.63</v>
      </c>
      <c r="O740">
        <v>2.48</v>
      </c>
    </row>
    <row r="741" spans="1:15" x14ac:dyDescent="0.3">
      <c r="A741" s="6" t="s">
        <v>1529</v>
      </c>
      <c r="B741" cm="1">
        <f t="array" ref="B741:C741">_xlfn.XLOOKUP(A741,'Main Data'!A738:A1737,'Main Data'!B738:C1737,"Data Not Found",0)</f>
        <v>63</v>
      </c>
      <c r="C741" t="str">
        <v>Other</v>
      </c>
      <c r="E741" s="6" t="s">
        <v>1529</v>
      </c>
      <c r="F741" cm="1">
        <f t="array" ref="F741:I741">VLOOKUP(E741,CHOOSE({1,2,3,4,5},'Main Data'!A738:A1737,'Main Data'!B738:B1737,'Main Data'!C738:C1737,'Main Data'!M738:M1737,'Main Data'!N738:N1737),{2,3,4,5},0)</f>
        <v>63</v>
      </c>
      <c r="G741" t="str">
        <v>Other</v>
      </c>
      <c r="H741" t="str">
        <v>France</v>
      </c>
      <c r="I741">
        <v>1.59</v>
      </c>
      <c r="L741" s="6" t="s">
        <v>1529</v>
      </c>
      <c r="M741" t="str" cm="1">
        <f t="array" ref="M741:O741">INDEX('Main Data'!A738:O1737,MATCH(L741,'Main Data'!A738:A1737,0),{3,7,14})</f>
        <v>Other</v>
      </c>
      <c r="N741">
        <v>67698.48</v>
      </c>
      <c r="O741">
        <v>1.59</v>
      </c>
    </row>
    <row r="742" spans="1:15" x14ac:dyDescent="0.3">
      <c r="A742" s="6" t="s">
        <v>1531</v>
      </c>
      <c r="B742" cm="1">
        <f t="array" ref="B742:C742">_xlfn.XLOOKUP(A742,'Main Data'!A739:A1738,'Main Data'!B739:C1738,"Data Not Found",0)</f>
        <v>43</v>
      </c>
      <c r="C742" t="str">
        <v>Other</v>
      </c>
      <c r="E742" s="6" t="s">
        <v>1531</v>
      </c>
      <c r="F742" cm="1">
        <f t="array" ref="F742:I742">VLOOKUP(E742,CHOOSE({1,2,3,4,5},'Main Data'!A739:A1738,'Main Data'!B739:B1738,'Main Data'!C739:C1738,'Main Data'!M739:M1738,'Main Data'!N739:N1738),{2,3,4,5},0)</f>
        <v>43</v>
      </c>
      <c r="G742" t="str">
        <v>Other</v>
      </c>
      <c r="H742" t="str">
        <v>UK</v>
      </c>
      <c r="I742">
        <v>3.77</v>
      </c>
      <c r="L742" s="6" t="s">
        <v>1531</v>
      </c>
      <c r="M742" t="str" cm="1">
        <f t="array" ref="M742:O742">INDEX('Main Data'!A739:O1738,MATCH(L742,'Main Data'!A739:A1738,0),{3,7,14})</f>
        <v>Other</v>
      </c>
      <c r="N742">
        <v>169170.6</v>
      </c>
      <c r="O742">
        <v>3.77</v>
      </c>
    </row>
    <row r="743" spans="1:15" x14ac:dyDescent="0.3">
      <c r="A743" s="6" t="s">
        <v>1533</v>
      </c>
      <c r="B743" cm="1">
        <f t="array" ref="B743:C743">_xlfn.XLOOKUP(A743,'Main Data'!A740:A1739,'Main Data'!B740:C1739,"Data Not Found",0)</f>
        <v>28</v>
      </c>
      <c r="C743" t="str">
        <v>Male</v>
      </c>
      <c r="E743" s="6" t="s">
        <v>1533</v>
      </c>
      <c r="F743" cm="1">
        <f t="array" ref="F743:I743">VLOOKUP(E743,CHOOSE({1,2,3,4,5},'Main Data'!A740:A1739,'Main Data'!B740:B1739,'Main Data'!C740:C1739,'Main Data'!M740:M1739,'Main Data'!N740:N1739),{2,3,4,5},0)</f>
        <v>28</v>
      </c>
      <c r="G743" t="str">
        <v>Male</v>
      </c>
      <c r="H743" t="str">
        <v>UAE</v>
      </c>
      <c r="I743">
        <v>3.71</v>
      </c>
      <c r="L743" s="6" t="s">
        <v>1533</v>
      </c>
      <c r="M743" t="str" cm="1">
        <f t="array" ref="M743:O743">INDEX('Main Data'!A740:O1739,MATCH(L743,'Main Data'!A740:A1739,0),{3,7,14})</f>
        <v>Male</v>
      </c>
      <c r="N743">
        <v>122593.74</v>
      </c>
      <c r="O743">
        <v>3.71</v>
      </c>
    </row>
    <row r="744" spans="1:15" x14ac:dyDescent="0.3">
      <c r="A744" s="6" t="s">
        <v>1535</v>
      </c>
      <c r="B744" cm="1">
        <f t="array" ref="B744:C744">_xlfn.XLOOKUP(A744,'Main Data'!A741:A1740,'Main Data'!B741:C1740,"Data Not Found",0)</f>
        <v>58</v>
      </c>
      <c r="C744" t="str">
        <v>Male</v>
      </c>
      <c r="E744" s="6" t="s">
        <v>1535</v>
      </c>
      <c r="F744" cm="1">
        <f t="array" ref="F744:I744">VLOOKUP(E744,CHOOSE({1,2,3,4,5},'Main Data'!A741:A1740,'Main Data'!B741:B1740,'Main Data'!C741:C1740,'Main Data'!M741:M1740,'Main Data'!N741:N1740),{2,3,4,5},0)</f>
        <v>58</v>
      </c>
      <c r="G744" t="str">
        <v>Male</v>
      </c>
      <c r="H744" t="str">
        <v>Japan</v>
      </c>
      <c r="I744">
        <v>2.5499999999999998</v>
      </c>
      <c r="L744" s="6" t="s">
        <v>1535</v>
      </c>
      <c r="M744" t="str" cm="1">
        <f t="array" ref="M744:O744">INDEX('Main Data'!A741:O1740,MATCH(L744,'Main Data'!A741:A1740,0),{3,7,14})</f>
        <v>Male</v>
      </c>
      <c r="N744">
        <v>138495.35999999999</v>
      </c>
      <c r="O744">
        <v>2.5499999999999998</v>
      </c>
    </row>
    <row r="745" spans="1:15" x14ac:dyDescent="0.3">
      <c r="A745" s="6" t="s">
        <v>1537</v>
      </c>
      <c r="B745" cm="1">
        <f t="array" ref="B745:C745">_xlfn.XLOOKUP(A745,'Main Data'!A742:A1741,'Main Data'!B742:C1741,"Data Not Found",0)</f>
        <v>62</v>
      </c>
      <c r="C745" t="str">
        <v>Other</v>
      </c>
      <c r="E745" s="6" t="s">
        <v>1537</v>
      </c>
      <c r="F745" cm="1">
        <f t="array" ref="F745:I745">VLOOKUP(E745,CHOOSE({1,2,3,4,5},'Main Data'!A742:A1741,'Main Data'!B742:B1741,'Main Data'!C742:C1741,'Main Data'!M742:M1741,'Main Data'!N742:N1741),{2,3,4,5},0)</f>
        <v>62</v>
      </c>
      <c r="G745" t="str">
        <v>Other</v>
      </c>
      <c r="H745" t="str">
        <v>USA</v>
      </c>
      <c r="I745">
        <v>2.58</v>
      </c>
      <c r="L745" s="6" t="s">
        <v>1537</v>
      </c>
      <c r="M745" t="str" cm="1">
        <f t="array" ref="M745:O745">INDEX('Main Data'!A742:O1741,MATCH(L745,'Main Data'!A742:A1741,0),{3,7,14})</f>
        <v>Other</v>
      </c>
      <c r="N745">
        <v>53051.51</v>
      </c>
      <c r="O745">
        <v>2.58</v>
      </c>
    </row>
    <row r="746" spans="1:15" x14ac:dyDescent="0.3">
      <c r="A746" s="6" t="s">
        <v>1539</v>
      </c>
      <c r="B746" cm="1">
        <f t="array" ref="B746:C746">_xlfn.XLOOKUP(A746,'Main Data'!A743:A1742,'Main Data'!B743:C1742,"Data Not Found",0)</f>
        <v>48</v>
      </c>
      <c r="C746" t="str">
        <v>Female</v>
      </c>
      <c r="E746" s="6" t="s">
        <v>1539</v>
      </c>
      <c r="F746" cm="1">
        <f t="array" ref="F746:I746">VLOOKUP(E746,CHOOSE({1,2,3,4,5},'Main Data'!A743:A1742,'Main Data'!B743:B1742,'Main Data'!C743:C1742,'Main Data'!M743:M1742,'Main Data'!N743:N1742),{2,3,4,5},0)</f>
        <v>48</v>
      </c>
      <c r="G746" t="str">
        <v>Female</v>
      </c>
      <c r="H746" t="str">
        <v>France</v>
      </c>
      <c r="I746">
        <v>2.73</v>
      </c>
      <c r="L746" s="6" t="s">
        <v>1539</v>
      </c>
      <c r="M746" t="str" cm="1">
        <f t="array" ref="M746:O746">INDEX('Main Data'!A743:O1742,MATCH(L746,'Main Data'!A743:A1742,0),{3,7,14})</f>
        <v>Female</v>
      </c>
      <c r="N746">
        <v>55561.86</v>
      </c>
      <c r="O746">
        <v>2.73</v>
      </c>
    </row>
    <row r="747" spans="1:15" x14ac:dyDescent="0.3">
      <c r="A747" s="6" t="s">
        <v>1541</v>
      </c>
      <c r="B747" cm="1">
        <f t="array" ref="B747:C747">_xlfn.XLOOKUP(A747,'Main Data'!A744:A1743,'Main Data'!B744:C1743,"Data Not Found",0)</f>
        <v>52</v>
      </c>
      <c r="C747" t="str">
        <v>Female</v>
      </c>
      <c r="E747" s="6" t="s">
        <v>1541</v>
      </c>
      <c r="F747" cm="1">
        <f t="array" ref="F747:I747">VLOOKUP(E747,CHOOSE({1,2,3,4,5},'Main Data'!A744:A1743,'Main Data'!B744:B1743,'Main Data'!C744:C1743,'Main Data'!M744:M1743,'Main Data'!N744:N1743),{2,3,4,5},0)</f>
        <v>52</v>
      </c>
      <c r="G747" t="str">
        <v>Female</v>
      </c>
      <c r="H747" t="str">
        <v>UK</v>
      </c>
      <c r="I747">
        <v>4.83</v>
      </c>
      <c r="L747" s="6" t="s">
        <v>1541</v>
      </c>
      <c r="M747" t="str" cm="1">
        <f t="array" ref="M747:O747">INDEX('Main Data'!A744:O1743,MATCH(L747,'Main Data'!A744:A1743,0),{3,7,14})</f>
        <v>Female</v>
      </c>
      <c r="N747">
        <v>114242.76</v>
      </c>
      <c r="O747">
        <v>4.83</v>
      </c>
    </row>
    <row r="748" spans="1:15" x14ac:dyDescent="0.3">
      <c r="A748" s="6" t="s">
        <v>1543</v>
      </c>
      <c r="B748" cm="1">
        <f t="array" ref="B748:C748">_xlfn.XLOOKUP(A748,'Main Data'!A745:A1744,'Main Data'!B745:C1744,"Data Not Found",0)</f>
        <v>27</v>
      </c>
      <c r="C748" t="str">
        <v>Male</v>
      </c>
      <c r="E748" s="6" t="s">
        <v>1543</v>
      </c>
      <c r="F748" cm="1">
        <f t="array" ref="F748:I748">VLOOKUP(E748,CHOOSE({1,2,3,4,5},'Main Data'!A745:A1744,'Main Data'!B745:B1744,'Main Data'!C745:C1744,'Main Data'!M745:M1744,'Main Data'!N745:N1744),{2,3,4,5},0)</f>
        <v>27</v>
      </c>
      <c r="G748" t="str">
        <v>Male</v>
      </c>
      <c r="H748" t="str">
        <v>UAE</v>
      </c>
      <c r="I748">
        <v>2.15</v>
      </c>
      <c r="L748" s="6" t="s">
        <v>1543</v>
      </c>
      <c r="M748" t="str" cm="1">
        <f t="array" ref="M748:O748">INDEX('Main Data'!A745:O1744,MATCH(L748,'Main Data'!A745:A1744,0),{3,7,14})</f>
        <v>Male</v>
      </c>
      <c r="N748">
        <v>125727.01</v>
      </c>
      <c r="O748">
        <v>2.15</v>
      </c>
    </row>
    <row r="749" spans="1:15" x14ac:dyDescent="0.3">
      <c r="A749" s="6" t="s">
        <v>1545</v>
      </c>
      <c r="B749" cm="1">
        <f t="array" ref="B749:C749">_xlfn.XLOOKUP(A749,'Main Data'!A746:A1745,'Main Data'!B746:C1745,"Data Not Found",0)</f>
        <v>37</v>
      </c>
      <c r="C749" t="str">
        <v>Male</v>
      </c>
      <c r="E749" s="6" t="s">
        <v>1545</v>
      </c>
      <c r="F749" cm="1">
        <f t="array" ref="F749:I749">VLOOKUP(E749,CHOOSE({1,2,3,4,5},'Main Data'!A746:A1745,'Main Data'!B746:B1745,'Main Data'!C746:C1745,'Main Data'!M746:M1745,'Main Data'!N746:N1745),{2,3,4,5},0)</f>
        <v>37</v>
      </c>
      <c r="G749" t="str">
        <v>Male</v>
      </c>
      <c r="H749" t="str">
        <v>Japan</v>
      </c>
      <c r="I749">
        <v>4.04</v>
      </c>
      <c r="L749" s="6" t="s">
        <v>1545</v>
      </c>
      <c r="M749" t="str" cm="1">
        <f t="array" ref="M749:O749">INDEX('Main Data'!A746:O1745,MATCH(L749,'Main Data'!A746:A1745,0),{3,7,14})</f>
        <v>Male</v>
      </c>
      <c r="N749">
        <v>73836.81</v>
      </c>
      <c r="O749">
        <v>4.04</v>
      </c>
    </row>
    <row r="750" spans="1:15" x14ac:dyDescent="0.3">
      <c r="A750" s="6" t="s">
        <v>1547</v>
      </c>
      <c r="B750" cm="1">
        <f t="array" ref="B750:C750">_xlfn.XLOOKUP(A750,'Main Data'!A747:A1746,'Main Data'!B747:C1746,"Data Not Found",0)</f>
        <v>59</v>
      </c>
      <c r="C750" t="str">
        <v>Female</v>
      </c>
      <c r="E750" s="6" t="s">
        <v>1547</v>
      </c>
      <c r="F750" cm="1">
        <f t="array" ref="F750:I750">VLOOKUP(E750,CHOOSE({1,2,3,4,5},'Main Data'!A747:A1746,'Main Data'!B747:B1746,'Main Data'!C747:C1746,'Main Data'!M747:M1746,'Main Data'!N747:N1746),{2,3,4,5},0)</f>
        <v>59</v>
      </c>
      <c r="G750" t="str">
        <v>Female</v>
      </c>
      <c r="H750" t="str">
        <v>USA</v>
      </c>
      <c r="I750">
        <v>4.2300000000000004</v>
      </c>
      <c r="L750" s="6" t="s">
        <v>1547</v>
      </c>
      <c r="M750" t="str" cm="1">
        <f t="array" ref="M750:O750">INDEX('Main Data'!A747:O1746,MATCH(L750,'Main Data'!A747:A1746,0),{3,7,14})</f>
        <v>Female</v>
      </c>
      <c r="N750">
        <v>105737.07</v>
      </c>
      <c r="O750">
        <v>4.2300000000000004</v>
      </c>
    </row>
    <row r="751" spans="1:15" x14ac:dyDescent="0.3">
      <c r="A751" s="6" t="s">
        <v>1549</v>
      </c>
      <c r="B751" cm="1">
        <f t="array" ref="B751:C751">_xlfn.XLOOKUP(A751,'Main Data'!A748:A1747,'Main Data'!B748:C1747,"Data Not Found",0)</f>
        <v>59</v>
      </c>
      <c r="C751" t="str">
        <v>Male</v>
      </c>
      <c r="E751" s="6" t="s">
        <v>1549</v>
      </c>
      <c r="F751" cm="1">
        <f t="array" ref="F751:I751">VLOOKUP(E751,CHOOSE({1,2,3,4,5},'Main Data'!A748:A1747,'Main Data'!B748:B1747,'Main Data'!C748:C1747,'Main Data'!M748:M1747,'Main Data'!N748:N1747),{2,3,4,5},0)</f>
        <v>59</v>
      </c>
      <c r="G751" t="str">
        <v>Male</v>
      </c>
      <c r="H751" t="str">
        <v>France</v>
      </c>
      <c r="I751">
        <v>2.84</v>
      </c>
      <c r="L751" s="6" t="s">
        <v>1549</v>
      </c>
      <c r="M751" t="str" cm="1">
        <f t="array" ref="M751:O751">INDEX('Main Data'!A748:O1747,MATCH(L751,'Main Data'!A748:A1747,0),{3,7,14})</f>
        <v>Male</v>
      </c>
      <c r="N751">
        <v>50541.82</v>
      </c>
      <c r="O751">
        <v>2.84</v>
      </c>
    </row>
    <row r="752" spans="1:15" x14ac:dyDescent="0.3">
      <c r="A752" s="6" t="s">
        <v>1551</v>
      </c>
      <c r="B752" cm="1">
        <f t="array" ref="B752:C752">_xlfn.XLOOKUP(A752,'Main Data'!A749:A1748,'Main Data'!B749:C1748,"Data Not Found",0)</f>
        <v>53</v>
      </c>
      <c r="C752" t="str">
        <v>Male</v>
      </c>
      <c r="E752" s="6" t="s">
        <v>1551</v>
      </c>
      <c r="F752" cm="1">
        <f t="array" ref="F752:I752">VLOOKUP(E752,CHOOSE({1,2,3,4,5},'Main Data'!A749:A1748,'Main Data'!B749:B1748,'Main Data'!C749:C1748,'Main Data'!M749:M1748,'Main Data'!N749:N1748),{2,3,4,5},0)</f>
        <v>53</v>
      </c>
      <c r="G752" t="str">
        <v>Male</v>
      </c>
      <c r="H752" t="str">
        <v>UK</v>
      </c>
      <c r="I752">
        <v>3.67</v>
      </c>
      <c r="L752" s="6" t="s">
        <v>1551</v>
      </c>
      <c r="M752" t="str" cm="1">
        <f t="array" ref="M752:O752">INDEX('Main Data'!A749:O1748,MATCH(L752,'Main Data'!A749:A1748,0),{3,7,14})</f>
        <v>Male</v>
      </c>
      <c r="N752">
        <v>70002.009999999995</v>
      </c>
      <c r="O752">
        <v>3.67</v>
      </c>
    </row>
    <row r="753" spans="1:15" x14ac:dyDescent="0.3">
      <c r="A753" s="6" t="s">
        <v>1553</v>
      </c>
      <c r="B753" cm="1">
        <f t="array" ref="B753:C753">_xlfn.XLOOKUP(A753,'Main Data'!A750:A1749,'Main Data'!B750:C1749,"Data Not Found",0)</f>
        <v>54</v>
      </c>
      <c r="C753" t="str">
        <v>Other</v>
      </c>
      <c r="E753" s="6" t="s">
        <v>1553</v>
      </c>
      <c r="F753" cm="1">
        <f t="array" ref="F753:I753">VLOOKUP(E753,CHOOSE({1,2,3,4,5},'Main Data'!A750:A1749,'Main Data'!B750:B1749,'Main Data'!C750:C1749,'Main Data'!M750:M1749,'Main Data'!N750:N1749),{2,3,4,5},0)</f>
        <v>54</v>
      </c>
      <c r="G753" t="str">
        <v>Other</v>
      </c>
      <c r="H753" t="str">
        <v>UAE</v>
      </c>
      <c r="I753">
        <v>3.85</v>
      </c>
      <c r="L753" s="6" t="s">
        <v>1553</v>
      </c>
      <c r="M753" t="str" cm="1">
        <f t="array" ref="M753:O753">INDEX('Main Data'!A750:O1749,MATCH(L753,'Main Data'!A750:A1749,0),{3,7,14})</f>
        <v>Other</v>
      </c>
      <c r="N753">
        <v>53749.14</v>
      </c>
      <c r="O753">
        <v>3.85</v>
      </c>
    </row>
    <row r="754" spans="1:15" x14ac:dyDescent="0.3">
      <c r="A754" s="6" t="s">
        <v>1555</v>
      </c>
      <c r="B754" cm="1">
        <f t="array" ref="B754:C754">_xlfn.XLOOKUP(A754,'Main Data'!A751:A1750,'Main Data'!B751:C1750,"Data Not Found",0)</f>
        <v>38</v>
      </c>
      <c r="C754" t="str">
        <v>Female</v>
      </c>
      <c r="E754" s="6" t="s">
        <v>1555</v>
      </c>
      <c r="F754" cm="1">
        <f t="array" ref="F754:I754">VLOOKUP(E754,CHOOSE({1,2,3,4,5},'Main Data'!A751:A1750,'Main Data'!B751:B1750,'Main Data'!C751:C1750,'Main Data'!M751:M1750,'Main Data'!N751:N1750),{2,3,4,5},0)</f>
        <v>38</v>
      </c>
      <c r="G754" t="str">
        <v>Female</v>
      </c>
      <c r="H754" t="str">
        <v>Japan</v>
      </c>
      <c r="I754">
        <v>3.27</v>
      </c>
      <c r="L754" s="6" t="s">
        <v>1555</v>
      </c>
      <c r="M754" t="str" cm="1">
        <f t="array" ref="M754:O754">INDEX('Main Data'!A751:O1750,MATCH(L754,'Main Data'!A751:A1750,0),{3,7,14})</f>
        <v>Female</v>
      </c>
      <c r="N754">
        <v>182042.48</v>
      </c>
      <c r="O754">
        <v>3.27</v>
      </c>
    </row>
    <row r="755" spans="1:15" x14ac:dyDescent="0.3">
      <c r="A755" s="6" t="s">
        <v>1557</v>
      </c>
      <c r="B755" cm="1">
        <f t="array" ref="B755:C755">_xlfn.XLOOKUP(A755,'Main Data'!A752:A1751,'Main Data'!B752:C1751,"Data Not Found",0)</f>
        <v>54</v>
      </c>
      <c r="C755" t="str">
        <v>Other</v>
      </c>
      <c r="E755" s="6" t="s">
        <v>1557</v>
      </c>
      <c r="F755" cm="1">
        <f t="array" ref="F755:I755">VLOOKUP(E755,CHOOSE({1,2,3,4,5},'Main Data'!A752:A1751,'Main Data'!B752:B1751,'Main Data'!C752:C1751,'Main Data'!M752:M1751,'Main Data'!N752:N1751),{2,3,4,5},0)</f>
        <v>54</v>
      </c>
      <c r="G755" t="str">
        <v>Other</v>
      </c>
      <c r="H755" t="str">
        <v>USA</v>
      </c>
      <c r="I755">
        <v>2.2200000000000002</v>
      </c>
      <c r="L755" s="6" t="s">
        <v>1557</v>
      </c>
      <c r="M755" t="str" cm="1">
        <f t="array" ref="M755:O755">INDEX('Main Data'!A752:O1751,MATCH(L755,'Main Data'!A752:A1751,0),{3,7,14})</f>
        <v>Other</v>
      </c>
      <c r="N755">
        <v>59206.9</v>
      </c>
      <c r="O755">
        <v>2.2200000000000002</v>
      </c>
    </row>
    <row r="756" spans="1:15" x14ac:dyDescent="0.3">
      <c r="A756" s="6" t="s">
        <v>1559</v>
      </c>
      <c r="B756" cm="1">
        <f t="array" ref="B756:C756">_xlfn.XLOOKUP(A756,'Main Data'!A753:A1752,'Main Data'!B753:C1752,"Data Not Found",0)</f>
        <v>32</v>
      </c>
      <c r="C756" t="str">
        <v>Male</v>
      </c>
      <c r="E756" s="6" t="s">
        <v>1559</v>
      </c>
      <c r="F756" cm="1">
        <f t="array" ref="F756:I756">VLOOKUP(E756,CHOOSE({1,2,3,4,5},'Main Data'!A753:A1752,'Main Data'!B753:B1752,'Main Data'!C753:C1752,'Main Data'!M753:M1752,'Main Data'!N753:N1752),{2,3,4,5},0)</f>
        <v>32</v>
      </c>
      <c r="G756" t="str">
        <v>Male</v>
      </c>
      <c r="H756" t="str">
        <v>France</v>
      </c>
      <c r="I756">
        <v>3.13</v>
      </c>
      <c r="L756" s="6" t="s">
        <v>1559</v>
      </c>
      <c r="M756" t="str" cm="1">
        <f t="array" ref="M756:O756">INDEX('Main Data'!A753:O1752,MATCH(L756,'Main Data'!A753:A1752,0),{3,7,14})</f>
        <v>Male</v>
      </c>
      <c r="N756">
        <v>134085.07</v>
      </c>
      <c r="O756">
        <v>3.13</v>
      </c>
    </row>
    <row r="757" spans="1:15" x14ac:dyDescent="0.3">
      <c r="A757" s="6" t="s">
        <v>1561</v>
      </c>
      <c r="B757" cm="1">
        <f t="array" ref="B757:C757">_xlfn.XLOOKUP(A757,'Main Data'!A754:A1753,'Main Data'!B754:C1753,"Data Not Found",0)</f>
        <v>34</v>
      </c>
      <c r="C757" t="str">
        <v>Male</v>
      </c>
      <c r="E757" s="6" t="s">
        <v>1561</v>
      </c>
      <c r="F757" cm="1">
        <f t="array" ref="F757:I757">VLOOKUP(E757,CHOOSE({1,2,3,4,5},'Main Data'!A754:A1753,'Main Data'!B754:B1753,'Main Data'!C754:C1753,'Main Data'!M754:M1753,'Main Data'!N754:N1753),{2,3,4,5},0)</f>
        <v>34</v>
      </c>
      <c r="G757" t="str">
        <v>Male</v>
      </c>
      <c r="H757" t="str">
        <v>UK</v>
      </c>
      <c r="I757">
        <v>1.73</v>
      </c>
      <c r="L757" s="6" t="s">
        <v>1561</v>
      </c>
      <c r="M757" t="str" cm="1">
        <f t="array" ref="M757:O757">INDEX('Main Data'!A754:O1753,MATCH(L757,'Main Data'!A754:A1753,0),{3,7,14})</f>
        <v>Male</v>
      </c>
      <c r="N757">
        <v>137779.9</v>
      </c>
      <c r="O757">
        <v>1.73</v>
      </c>
    </row>
    <row r="758" spans="1:15" x14ac:dyDescent="0.3">
      <c r="A758" s="6" t="s">
        <v>1563</v>
      </c>
      <c r="B758" cm="1">
        <f t="array" ref="B758:C758">_xlfn.XLOOKUP(A758,'Main Data'!A755:A1754,'Main Data'!B755:C1754,"Data Not Found",0)</f>
        <v>51</v>
      </c>
      <c r="C758" t="str">
        <v>Male</v>
      </c>
      <c r="E758" s="6" t="s">
        <v>1563</v>
      </c>
      <c r="F758" cm="1">
        <f t="array" ref="F758:I758">VLOOKUP(E758,CHOOSE({1,2,3,4,5},'Main Data'!A755:A1754,'Main Data'!B755:B1754,'Main Data'!C755:C1754,'Main Data'!M755:M1754,'Main Data'!N755:N1754),{2,3,4,5},0)</f>
        <v>51</v>
      </c>
      <c r="G758" t="str">
        <v>Male</v>
      </c>
      <c r="H758" t="str">
        <v>UAE</v>
      </c>
      <c r="I758">
        <v>3.3</v>
      </c>
      <c r="L758" s="6" t="s">
        <v>1563</v>
      </c>
      <c r="M758" t="str" cm="1">
        <f t="array" ref="M758:O758">INDEX('Main Data'!A755:O1754,MATCH(L758,'Main Data'!A755:A1754,0),{3,7,14})</f>
        <v>Male</v>
      </c>
      <c r="N758">
        <v>50661.46</v>
      </c>
      <c r="O758">
        <v>3.3</v>
      </c>
    </row>
    <row r="759" spans="1:15" x14ac:dyDescent="0.3">
      <c r="A759" s="6" t="s">
        <v>1565</v>
      </c>
      <c r="B759" cm="1">
        <f t="array" ref="B759:C759">_xlfn.XLOOKUP(A759,'Main Data'!A756:A1755,'Main Data'!B756:C1755,"Data Not Found",0)</f>
        <v>22</v>
      </c>
      <c r="C759" t="str">
        <v>Male</v>
      </c>
      <c r="E759" s="6" t="s">
        <v>1565</v>
      </c>
      <c r="F759" cm="1">
        <f t="array" ref="F759:I759">VLOOKUP(E759,CHOOSE({1,2,3,4,5},'Main Data'!A756:A1755,'Main Data'!B756:B1755,'Main Data'!C756:C1755,'Main Data'!M756:M1755,'Main Data'!N756:N1755),{2,3,4,5},0)</f>
        <v>22</v>
      </c>
      <c r="G759" t="str">
        <v>Male</v>
      </c>
      <c r="H759" t="str">
        <v>Japan</v>
      </c>
      <c r="I759">
        <v>4.38</v>
      </c>
      <c r="L759" s="6" t="s">
        <v>1565</v>
      </c>
      <c r="M759" t="str" cm="1">
        <f t="array" ref="M759:O759">INDEX('Main Data'!A756:O1755,MATCH(L759,'Main Data'!A756:A1755,0),{3,7,14})</f>
        <v>Male</v>
      </c>
      <c r="N759">
        <v>141839.85</v>
      </c>
      <c r="O759">
        <v>4.38</v>
      </c>
    </row>
    <row r="760" spans="1:15" x14ac:dyDescent="0.3">
      <c r="A760" s="6" t="s">
        <v>1567</v>
      </c>
      <c r="B760" cm="1">
        <f t="array" ref="B760:C760">_xlfn.XLOOKUP(A760,'Main Data'!A757:A1756,'Main Data'!B757:C1756,"Data Not Found",0)</f>
        <v>51</v>
      </c>
      <c r="C760" t="str">
        <v>Female</v>
      </c>
      <c r="E760" s="6" t="s">
        <v>1567</v>
      </c>
      <c r="F760" cm="1">
        <f t="array" ref="F760:I760">VLOOKUP(E760,CHOOSE({1,2,3,4,5},'Main Data'!A757:A1756,'Main Data'!B757:B1756,'Main Data'!C757:C1756,'Main Data'!M757:M1756,'Main Data'!N757:N1756),{2,3,4,5},0)</f>
        <v>51</v>
      </c>
      <c r="G760" t="str">
        <v>Female</v>
      </c>
      <c r="H760" t="str">
        <v>USA</v>
      </c>
      <c r="I760">
        <v>1.58</v>
      </c>
      <c r="L760" s="6" t="s">
        <v>1567</v>
      </c>
      <c r="M760" t="str" cm="1">
        <f t="array" ref="M760:O760">INDEX('Main Data'!A757:O1756,MATCH(L760,'Main Data'!A757:A1756,0),{3,7,14})</f>
        <v>Female</v>
      </c>
      <c r="N760">
        <v>177191.45</v>
      </c>
      <c r="O760">
        <v>1.58</v>
      </c>
    </row>
    <row r="761" spans="1:15" x14ac:dyDescent="0.3">
      <c r="A761" s="6" t="s">
        <v>1569</v>
      </c>
      <c r="B761" cm="1">
        <f t="array" ref="B761:C761">_xlfn.XLOOKUP(A761,'Main Data'!A758:A1757,'Main Data'!B758:C1757,"Data Not Found",0)</f>
        <v>48</v>
      </c>
      <c r="C761" t="str">
        <v>Female</v>
      </c>
      <c r="E761" s="6" t="s">
        <v>1569</v>
      </c>
      <c r="F761" cm="1">
        <f t="array" ref="F761:I761">VLOOKUP(E761,CHOOSE({1,2,3,4,5},'Main Data'!A758:A1757,'Main Data'!B758:B1757,'Main Data'!C758:C1757,'Main Data'!M758:M1757,'Main Data'!N758:N1757),{2,3,4,5},0)</f>
        <v>48</v>
      </c>
      <c r="G761" t="str">
        <v>Female</v>
      </c>
      <c r="H761" t="str">
        <v>France</v>
      </c>
      <c r="I761">
        <v>2.66</v>
      </c>
      <c r="L761" s="6" t="s">
        <v>1569</v>
      </c>
      <c r="M761" t="str" cm="1">
        <f t="array" ref="M761:O761">INDEX('Main Data'!A758:O1757,MATCH(L761,'Main Data'!A758:A1757,0),{3,7,14})</f>
        <v>Female</v>
      </c>
      <c r="N761">
        <v>136567.35999999999</v>
      </c>
      <c r="O761">
        <v>2.66</v>
      </c>
    </row>
    <row r="762" spans="1:15" x14ac:dyDescent="0.3">
      <c r="A762" s="6" t="s">
        <v>1571</v>
      </c>
      <c r="B762" cm="1">
        <f t="array" ref="B762:C762">_xlfn.XLOOKUP(A762,'Main Data'!A759:A1758,'Main Data'!B759:C1758,"Data Not Found",0)</f>
        <v>61</v>
      </c>
      <c r="C762" t="str">
        <v>Female</v>
      </c>
      <c r="E762" s="6" t="s">
        <v>1571</v>
      </c>
      <c r="F762" cm="1">
        <f t="array" ref="F762:I762">VLOOKUP(E762,CHOOSE({1,2,3,4,5},'Main Data'!A759:A1758,'Main Data'!B759:B1758,'Main Data'!C759:C1758,'Main Data'!M759:M1758,'Main Data'!N759:N1758),{2,3,4,5},0)</f>
        <v>61</v>
      </c>
      <c r="G762" t="str">
        <v>Female</v>
      </c>
      <c r="H762" t="str">
        <v>UK</v>
      </c>
      <c r="I762">
        <v>2.14</v>
      </c>
      <c r="L762" s="6" t="s">
        <v>1571</v>
      </c>
      <c r="M762" t="str" cm="1">
        <f t="array" ref="M762:O762">INDEX('Main Data'!A759:O1758,MATCH(L762,'Main Data'!A759:A1758,0),{3,7,14})</f>
        <v>Female</v>
      </c>
      <c r="N762">
        <v>77844.929999999993</v>
      </c>
      <c r="O762">
        <v>2.14</v>
      </c>
    </row>
    <row r="763" spans="1:15" x14ac:dyDescent="0.3">
      <c r="A763" s="6" t="s">
        <v>1573</v>
      </c>
      <c r="B763" cm="1">
        <f t="array" ref="B763:C763">_xlfn.XLOOKUP(A763,'Main Data'!A760:A1759,'Main Data'!B760:C1759,"Data Not Found",0)</f>
        <v>44</v>
      </c>
      <c r="C763" t="str">
        <v>Female</v>
      </c>
      <c r="E763" s="6" t="s">
        <v>1573</v>
      </c>
      <c r="F763" cm="1">
        <f t="array" ref="F763:I763">VLOOKUP(E763,CHOOSE({1,2,3,4,5},'Main Data'!A760:A1759,'Main Data'!B760:B1759,'Main Data'!C760:C1759,'Main Data'!M760:M1759,'Main Data'!N760:N1759),{2,3,4,5},0)</f>
        <v>44</v>
      </c>
      <c r="G763" t="str">
        <v>Female</v>
      </c>
      <c r="H763" t="str">
        <v>UAE</v>
      </c>
      <c r="I763">
        <v>2.0699999999999998</v>
      </c>
      <c r="L763" s="6" t="s">
        <v>1573</v>
      </c>
      <c r="M763" t="str" cm="1">
        <f t="array" ref="M763:O763">INDEX('Main Data'!A760:O1759,MATCH(L763,'Main Data'!A760:A1759,0),{3,7,14})</f>
        <v>Female</v>
      </c>
      <c r="N763">
        <v>132596.01999999999</v>
      </c>
      <c r="O763">
        <v>2.0699999999999998</v>
      </c>
    </row>
    <row r="764" spans="1:15" x14ac:dyDescent="0.3">
      <c r="A764" s="6" t="s">
        <v>1575</v>
      </c>
      <c r="B764" cm="1">
        <f t="array" ref="B764:C764">_xlfn.XLOOKUP(A764,'Main Data'!A761:A1760,'Main Data'!B761:C1760,"Data Not Found",0)</f>
        <v>41</v>
      </c>
      <c r="C764" t="str">
        <v>Other</v>
      </c>
      <c r="E764" s="6" t="s">
        <v>1575</v>
      </c>
      <c r="F764" cm="1">
        <f t="array" ref="F764:I764">VLOOKUP(E764,CHOOSE({1,2,3,4,5},'Main Data'!A761:A1760,'Main Data'!B761:B1760,'Main Data'!C761:C1760,'Main Data'!M761:M1760,'Main Data'!N761:N1760),{2,3,4,5},0)</f>
        <v>41</v>
      </c>
      <c r="G764" t="str">
        <v>Other</v>
      </c>
      <c r="H764" t="str">
        <v>Japan</v>
      </c>
      <c r="I764">
        <v>2.35</v>
      </c>
      <c r="L764" s="6" t="s">
        <v>1575</v>
      </c>
      <c r="M764" t="str" cm="1">
        <f t="array" ref="M764:O764">INDEX('Main Data'!A761:O1760,MATCH(L764,'Main Data'!A761:A1760,0),{3,7,14})</f>
        <v>Other</v>
      </c>
      <c r="N764">
        <v>154667.48000000001</v>
      </c>
      <c r="O764">
        <v>2.35</v>
      </c>
    </row>
    <row r="765" spans="1:15" x14ac:dyDescent="0.3">
      <c r="A765" s="6" t="s">
        <v>1577</v>
      </c>
      <c r="B765" cm="1">
        <f t="array" ref="B765:C765">_xlfn.XLOOKUP(A765,'Main Data'!A762:A1761,'Main Data'!B762:C1761,"Data Not Found",0)</f>
        <v>27</v>
      </c>
      <c r="C765" t="str">
        <v>Other</v>
      </c>
      <c r="E765" s="6" t="s">
        <v>1577</v>
      </c>
      <c r="F765" cm="1">
        <f t="array" ref="F765:I765">VLOOKUP(E765,CHOOSE({1,2,3,4,5},'Main Data'!A762:A1761,'Main Data'!B762:B1761,'Main Data'!C762:C1761,'Main Data'!M762:M1761,'Main Data'!N762:N1761),{2,3,4,5},0)</f>
        <v>27</v>
      </c>
      <c r="G765" t="str">
        <v>Other</v>
      </c>
      <c r="H765" t="str">
        <v>USA</v>
      </c>
      <c r="I765">
        <v>1.82</v>
      </c>
      <c r="L765" s="6" t="s">
        <v>1577</v>
      </c>
      <c r="M765" t="str" cm="1">
        <f t="array" ref="M765:O765">INDEX('Main Data'!A762:O1761,MATCH(L765,'Main Data'!A762:A1761,0),{3,7,14})</f>
        <v>Other</v>
      </c>
      <c r="N765">
        <v>152616.01999999999</v>
      </c>
      <c r="O765">
        <v>1.82</v>
      </c>
    </row>
    <row r="766" spans="1:15" x14ac:dyDescent="0.3">
      <c r="A766" s="6" t="s">
        <v>1579</v>
      </c>
      <c r="B766" cm="1">
        <f t="array" ref="B766:C766">_xlfn.XLOOKUP(A766,'Main Data'!A763:A1762,'Main Data'!B763:C1762,"Data Not Found",0)</f>
        <v>58</v>
      </c>
      <c r="C766" t="str">
        <v>Other</v>
      </c>
      <c r="E766" s="6" t="s">
        <v>1579</v>
      </c>
      <c r="F766" cm="1">
        <f t="array" ref="F766:I766">VLOOKUP(E766,CHOOSE({1,2,3,4,5},'Main Data'!A763:A1762,'Main Data'!B763:B1762,'Main Data'!C763:C1762,'Main Data'!M763:M1762,'Main Data'!N763:N1762),{2,3,4,5},0)</f>
        <v>58</v>
      </c>
      <c r="G766" t="str">
        <v>Other</v>
      </c>
      <c r="H766" t="str">
        <v>France</v>
      </c>
      <c r="I766">
        <v>2.95</v>
      </c>
      <c r="L766" s="6" t="s">
        <v>1579</v>
      </c>
      <c r="M766" t="str" cm="1">
        <f t="array" ref="M766:O766">INDEX('Main Data'!A763:O1762,MATCH(L766,'Main Data'!A763:A1762,0),{3,7,14})</f>
        <v>Other</v>
      </c>
      <c r="N766">
        <v>141817.72</v>
      </c>
      <c r="O766">
        <v>2.95</v>
      </c>
    </row>
    <row r="767" spans="1:15" x14ac:dyDescent="0.3">
      <c r="A767" s="6" t="s">
        <v>1581</v>
      </c>
      <c r="B767" cm="1">
        <f t="array" ref="B767:C767">_xlfn.XLOOKUP(A767,'Main Data'!A764:A1763,'Main Data'!B764:C1763,"Data Not Found",0)</f>
        <v>41</v>
      </c>
      <c r="C767" t="str">
        <v>Male</v>
      </c>
      <c r="E767" s="6" t="s">
        <v>1581</v>
      </c>
      <c r="F767" cm="1">
        <f t="array" ref="F767:I767">VLOOKUP(E767,CHOOSE({1,2,3,4,5},'Main Data'!A764:A1763,'Main Data'!B764:B1763,'Main Data'!C764:C1763,'Main Data'!M764:M1763,'Main Data'!N764:N1763),{2,3,4,5},0)</f>
        <v>41</v>
      </c>
      <c r="G767" t="str">
        <v>Male</v>
      </c>
      <c r="H767" t="str">
        <v>UK</v>
      </c>
      <c r="I767">
        <v>1.35</v>
      </c>
      <c r="L767" s="6" t="s">
        <v>1581</v>
      </c>
      <c r="M767" t="str" cm="1">
        <f t="array" ref="M767:O767">INDEX('Main Data'!A764:O1763,MATCH(L767,'Main Data'!A764:A1763,0),{3,7,14})</f>
        <v>Male</v>
      </c>
      <c r="N767">
        <v>107386.44</v>
      </c>
      <c r="O767">
        <v>1.35</v>
      </c>
    </row>
    <row r="768" spans="1:15" x14ac:dyDescent="0.3">
      <c r="A768" s="6" t="s">
        <v>1583</v>
      </c>
      <c r="B768" cm="1">
        <f t="array" ref="B768:C768">_xlfn.XLOOKUP(A768,'Main Data'!A765:A1764,'Main Data'!B765:C1764,"Data Not Found",0)</f>
        <v>58</v>
      </c>
      <c r="C768" t="str">
        <v>Female</v>
      </c>
      <c r="E768" s="6" t="s">
        <v>1583</v>
      </c>
      <c r="F768" cm="1">
        <f t="array" ref="F768:I768">VLOOKUP(E768,CHOOSE({1,2,3,4,5},'Main Data'!A765:A1764,'Main Data'!B765:B1764,'Main Data'!C765:C1764,'Main Data'!M765:M1764,'Main Data'!N765:N1764),{2,3,4,5},0)</f>
        <v>58</v>
      </c>
      <c r="G768" t="str">
        <v>Female</v>
      </c>
      <c r="H768" t="str">
        <v>UAE</v>
      </c>
      <c r="I768">
        <v>4.5199999999999996</v>
      </c>
      <c r="L768" s="6" t="s">
        <v>1583</v>
      </c>
      <c r="M768" t="str" cm="1">
        <f t="array" ref="M768:O768">INDEX('Main Data'!A765:O1764,MATCH(L768,'Main Data'!A765:A1764,0),{3,7,14})</f>
        <v>Female</v>
      </c>
      <c r="N768">
        <v>68212.17</v>
      </c>
      <c r="O768">
        <v>4.5199999999999996</v>
      </c>
    </row>
    <row r="769" spans="1:15" x14ac:dyDescent="0.3">
      <c r="A769" s="6" t="s">
        <v>1585</v>
      </c>
      <c r="B769" cm="1">
        <f t="array" ref="B769:C769">_xlfn.XLOOKUP(A769,'Main Data'!A766:A1765,'Main Data'!B766:C1765,"Data Not Found",0)</f>
        <v>27</v>
      </c>
      <c r="C769" t="str">
        <v>Female</v>
      </c>
      <c r="E769" s="6" t="s">
        <v>1585</v>
      </c>
      <c r="F769" cm="1">
        <f t="array" ref="F769:I769">VLOOKUP(E769,CHOOSE({1,2,3,4,5},'Main Data'!A766:A1765,'Main Data'!B766:B1765,'Main Data'!C766:C1765,'Main Data'!M766:M1765,'Main Data'!N766:N1765),{2,3,4,5},0)</f>
        <v>27</v>
      </c>
      <c r="G769" t="str">
        <v>Female</v>
      </c>
      <c r="H769" t="str">
        <v>Japan</v>
      </c>
      <c r="I769">
        <v>3.42</v>
      </c>
      <c r="L769" s="6" t="s">
        <v>1585</v>
      </c>
      <c r="M769" t="str" cm="1">
        <f t="array" ref="M769:O769">INDEX('Main Data'!A766:O1765,MATCH(L769,'Main Data'!A766:A1765,0),{3,7,14})</f>
        <v>Female</v>
      </c>
      <c r="N769">
        <v>60709.21</v>
      </c>
      <c r="O769">
        <v>3.42</v>
      </c>
    </row>
    <row r="770" spans="1:15" x14ac:dyDescent="0.3">
      <c r="A770" s="6" t="s">
        <v>1587</v>
      </c>
      <c r="B770" cm="1">
        <f t="array" ref="B770:C770">_xlfn.XLOOKUP(A770,'Main Data'!A767:A1766,'Main Data'!B767:C1766,"Data Not Found",0)</f>
        <v>50</v>
      </c>
      <c r="C770" t="str">
        <v>Female</v>
      </c>
      <c r="E770" s="6" t="s">
        <v>1587</v>
      </c>
      <c r="F770" cm="1">
        <f t="array" ref="F770:I770">VLOOKUP(E770,CHOOSE({1,2,3,4,5},'Main Data'!A767:A1766,'Main Data'!B767:B1766,'Main Data'!C767:C1766,'Main Data'!M767:M1766,'Main Data'!N767:N1766),{2,3,4,5},0)</f>
        <v>50</v>
      </c>
      <c r="G770" t="str">
        <v>Female</v>
      </c>
      <c r="H770" t="str">
        <v>USA</v>
      </c>
      <c r="I770">
        <v>4.62</v>
      </c>
      <c r="L770" s="6" t="s">
        <v>1587</v>
      </c>
      <c r="M770" t="str" cm="1">
        <f t="array" ref="M770:O770">INDEX('Main Data'!A767:O1766,MATCH(L770,'Main Data'!A767:A1766,0),{3,7,14})</f>
        <v>Female</v>
      </c>
      <c r="N770">
        <v>141725.93</v>
      </c>
      <c r="O770">
        <v>4.62</v>
      </c>
    </row>
    <row r="771" spans="1:15" x14ac:dyDescent="0.3">
      <c r="A771" s="6" t="s">
        <v>1589</v>
      </c>
      <c r="B771" cm="1">
        <f t="array" ref="B771:C771">_xlfn.XLOOKUP(A771,'Main Data'!A768:A1767,'Main Data'!B768:C1767,"Data Not Found",0)</f>
        <v>34</v>
      </c>
      <c r="C771" t="str">
        <v>Other</v>
      </c>
      <c r="E771" s="6" t="s">
        <v>1589</v>
      </c>
      <c r="F771" cm="1">
        <f t="array" ref="F771:I771">VLOOKUP(E771,CHOOSE({1,2,3,4,5},'Main Data'!A768:A1767,'Main Data'!B768:B1767,'Main Data'!C768:C1767,'Main Data'!M768:M1767,'Main Data'!N768:N1767),{2,3,4,5},0)</f>
        <v>34</v>
      </c>
      <c r="G771" t="str">
        <v>Other</v>
      </c>
      <c r="H771" t="str">
        <v>France</v>
      </c>
      <c r="I771">
        <v>1.61</v>
      </c>
      <c r="L771" s="6" t="s">
        <v>1589</v>
      </c>
      <c r="M771" t="str" cm="1">
        <f t="array" ref="M771:O771">INDEX('Main Data'!A768:O1767,MATCH(L771,'Main Data'!A768:A1767,0),{3,7,14})</f>
        <v>Other</v>
      </c>
      <c r="N771">
        <v>104378.84</v>
      </c>
      <c r="O771">
        <v>1.61</v>
      </c>
    </row>
    <row r="772" spans="1:15" x14ac:dyDescent="0.3">
      <c r="A772" s="6" t="s">
        <v>1591</v>
      </c>
      <c r="B772" cm="1">
        <f t="array" ref="B772:C772">_xlfn.XLOOKUP(A772,'Main Data'!A769:A1768,'Main Data'!B769:C1768,"Data Not Found",0)</f>
        <v>48</v>
      </c>
      <c r="C772" t="str">
        <v>Male</v>
      </c>
      <c r="E772" s="6" t="s">
        <v>1591</v>
      </c>
      <c r="F772" cm="1">
        <f t="array" ref="F772:I772">VLOOKUP(E772,CHOOSE({1,2,3,4,5},'Main Data'!A769:A1768,'Main Data'!B769:B1768,'Main Data'!C769:C1768,'Main Data'!M769:M1768,'Main Data'!N769:N1768),{2,3,4,5},0)</f>
        <v>48</v>
      </c>
      <c r="G772" t="str">
        <v>Male</v>
      </c>
      <c r="H772" t="str">
        <v>UK</v>
      </c>
      <c r="I772">
        <v>4.0999999999999996</v>
      </c>
      <c r="L772" s="6" t="s">
        <v>1591</v>
      </c>
      <c r="M772" t="str" cm="1">
        <f t="array" ref="M772:O772">INDEX('Main Data'!A769:O1768,MATCH(L772,'Main Data'!A769:A1768,0),{3,7,14})</f>
        <v>Male</v>
      </c>
      <c r="N772">
        <v>50308.51</v>
      </c>
      <c r="O772">
        <v>4.0999999999999996</v>
      </c>
    </row>
    <row r="773" spans="1:15" x14ac:dyDescent="0.3">
      <c r="A773" s="6" t="s">
        <v>1593</v>
      </c>
      <c r="B773" cm="1">
        <f t="array" ref="B773:C773">_xlfn.XLOOKUP(A773,'Main Data'!A770:A1769,'Main Data'!B770:C1769,"Data Not Found",0)</f>
        <v>41</v>
      </c>
      <c r="C773" t="str">
        <v>Male</v>
      </c>
      <c r="E773" s="6" t="s">
        <v>1593</v>
      </c>
      <c r="F773" cm="1">
        <f t="array" ref="F773:I773">VLOOKUP(E773,CHOOSE({1,2,3,4,5},'Main Data'!A770:A1769,'Main Data'!B770:B1769,'Main Data'!C770:C1769,'Main Data'!M770:M1769,'Main Data'!N770:N1769),{2,3,4,5},0)</f>
        <v>41</v>
      </c>
      <c r="G773" t="str">
        <v>Male</v>
      </c>
      <c r="H773" t="str">
        <v>UAE</v>
      </c>
      <c r="I773">
        <v>4.55</v>
      </c>
      <c r="L773" s="6" t="s">
        <v>1593</v>
      </c>
      <c r="M773" t="str" cm="1">
        <f t="array" ref="M773:O773">INDEX('Main Data'!A770:O1769,MATCH(L773,'Main Data'!A770:A1769,0),{3,7,14})</f>
        <v>Male</v>
      </c>
      <c r="N773">
        <v>72412.759999999995</v>
      </c>
      <c r="O773">
        <v>4.55</v>
      </c>
    </row>
    <row r="774" spans="1:15" x14ac:dyDescent="0.3">
      <c r="A774" s="6" t="s">
        <v>1595</v>
      </c>
      <c r="B774" cm="1">
        <f t="array" ref="B774:C774">_xlfn.XLOOKUP(A774,'Main Data'!A771:A1770,'Main Data'!B771:C1770,"Data Not Found",0)</f>
        <v>34</v>
      </c>
      <c r="C774" t="str">
        <v>Male</v>
      </c>
      <c r="E774" s="6" t="s">
        <v>1595</v>
      </c>
      <c r="F774" cm="1">
        <f t="array" ref="F774:I774">VLOOKUP(E774,CHOOSE({1,2,3,4,5},'Main Data'!A771:A1770,'Main Data'!B771:B1770,'Main Data'!C771:C1770,'Main Data'!M771:M1770,'Main Data'!N771:N1770),{2,3,4,5},0)</f>
        <v>34</v>
      </c>
      <c r="G774" t="str">
        <v>Male</v>
      </c>
      <c r="H774" t="str">
        <v>Japan</v>
      </c>
      <c r="I774">
        <v>2.2799999999999998</v>
      </c>
      <c r="L774" s="6" t="s">
        <v>1595</v>
      </c>
      <c r="M774" t="str" cm="1">
        <f t="array" ref="M774:O774">INDEX('Main Data'!A771:O1770,MATCH(L774,'Main Data'!A771:A1770,0),{3,7,14})</f>
        <v>Male</v>
      </c>
      <c r="N774">
        <v>154695.92000000001</v>
      </c>
      <c r="O774">
        <v>2.2799999999999998</v>
      </c>
    </row>
    <row r="775" spans="1:15" x14ac:dyDescent="0.3">
      <c r="A775" s="6" t="s">
        <v>1597</v>
      </c>
      <c r="B775" cm="1">
        <f t="array" ref="B775:C775">_xlfn.XLOOKUP(A775,'Main Data'!A772:A1771,'Main Data'!B772:C1771,"Data Not Found",0)</f>
        <v>60</v>
      </c>
      <c r="C775" t="str">
        <v>Other</v>
      </c>
      <c r="E775" s="6" t="s">
        <v>1597</v>
      </c>
      <c r="F775" cm="1">
        <f t="array" ref="F775:I775">VLOOKUP(E775,CHOOSE({1,2,3,4,5},'Main Data'!A772:A1771,'Main Data'!B772:B1771,'Main Data'!C772:C1771,'Main Data'!M772:M1771,'Main Data'!N772:N1771),{2,3,4,5},0)</f>
        <v>60</v>
      </c>
      <c r="G775" t="str">
        <v>Other</v>
      </c>
      <c r="H775" t="str">
        <v>USA</v>
      </c>
      <c r="I775">
        <v>4.3099999999999996</v>
      </c>
      <c r="L775" s="6" t="s">
        <v>1597</v>
      </c>
      <c r="M775" t="str" cm="1">
        <f t="array" ref="M775:O775">INDEX('Main Data'!A772:O1771,MATCH(L775,'Main Data'!A772:A1771,0),{3,7,14})</f>
        <v>Other</v>
      </c>
      <c r="N775">
        <v>163717.85999999999</v>
      </c>
      <c r="O775">
        <v>4.3099999999999996</v>
      </c>
    </row>
    <row r="776" spans="1:15" x14ac:dyDescent="0.3">
      <c r="A776" s="6" t="s">
        <v>1599</v>
      </c>
      <c r="B776" cm="1">
        <f t="array" ref="B776:C776">_xlfn.XLOOKUP(A776,'Main Data'!A773:A1772,'Main Data'!B773:C1772,"Data Not Found",0)</f>
        <v>29</v>
      </c>
      <c r="C776" t="str">
        <v>Female</v>
      </c>
      <c r="E776" s="6" t="s">
        <v>1599</v>
      </c>
      <c r="F776" cm="1">
        <f t="array" ref="F776:I776">VLOOKUP(E776,CHOOSE({1,2,3,4,5},'Main Data'!A773:A1772,'Main Data'!B773:B1772,'Main Data'!C773:C1772,'Main Data'!M773:M1772,'Main Data'!N773:N1772),{2,3,4,5},0)</f>
        <v>29</v>
      </c>
      <c r="G776" t="str">
        <v>Female</v>
      </c>
      <c r="H776" t="str">
        <v>France</v>
      </c>
      <c r="I776">
        <v>4.67</v>
      </c>
      <c r="L776" s="6" t="s">
        <v>1599</v>
      </c>
      <c r="M776" t="str" cm="1">
        <f t="array" ref="M776:O776">INDEX('Main Data'!A773:O1772,MATCH(L776,'Main Data'!A773:A1772,0),{3,7,14})</f>
        <v>Female</v>
      </c>
      <c r="N776">
        <v>137422.34</v>
      </c>
      <c r="O776">
        <v>4.67</v>
      </c>
    </row>
    <row r="777" spans="1:15" x14ac:dyDescent="0.3">
      <c r="A777" s="6" t="s">
        <v>1601</v>
      </c>
      <c r="B777" cm="1">
        <f t="array" ref="B777:C777">_xlfn.XLOOKUP(A777,'Main Data'!A774:A1773,'Main Data'!B774:C1773,"Data Not Found",0)</f>
        <v>38</v>
      </c>
      <c r="C777" t="str">
        <v>Other</v>
      </c>
      <c r="E777" s="6" t="s">
        <v>1601</v>
      </c>
      <c r="F777" cm="1">
        <f t="array" ref="F777:I777">VLOOKUP(E777,CHOOSE({1,2,3,4,5},'Main Data'!A774:A1773,'Main Data'!B774:B1773,'Main Data'!C774:C1773,'Main Data'!M774:M1773,'Main Data'!N774:N1773),{2,3,4,5},0)</f>
        <v>38</v>
      </c>
      <c r="G777" t="str">
        <v>Other</v>
      </c>
      <c r="H777" t="str">
        <v>UK</v>
      </c>
      <c r="I777">
        <v>3.8</v>
      </c>
      <c r="L777" s="6" t="s">
        <v>1601</v>
      </c>
      <c r="M777" t="str" cm="1">
        <f t="array" ref="M777:O777">INDEX('Main Data'!A774:O1773,MATCH(L777,'Main Data'!A774:A1773,0),{3,7,14})</f>
        <v>Other</v>
      </c>
      <c r="N777">
        <v>140755.16</v>
      </c>
      <c r="O777">
        <v>3.8</v>
      </c>
    </row>
    <row r="778" spans="1:15" x14ac:dyDescent="0.3">
      <c r="A778" s="6" t="s">
        <v>1603</v>
      </c>
      <c r="B778" cm="1">
        <f t="array" ref="B778:C778">_xlfn.XLOOKUP(A778,'Main Data'!A775:A1774,'Main Data'!B775:C1774,"Data Not Found",0)</f>
        <v>51</v>
      </c>
      <c r="C778" t="str">
        <v>Female</v>
      </c>
      <c r="E778" s="6" t="s">
        <v>1603</v>
      </c>
      <c r="F778" cm="1">
        <f t="array" ref="F778:I778">VLOOKUP(E778,CHOOSE({1,2,3,4,5},'Main Data'!A775:A1774,'Main Data'!B775:B1774,'Main Data'!C775:C1774,'Main Data'!M775:M1774,'Main Data'!N775:N1774),{2,3,4,5},0)</f>
        <v>51</v>
      </c>
      <c r="G778" t="str">
        <v>Female</v>
      </c>
      <c r="H778" t="str">
        <v>UAE</v>
      </c>
      <c r="I778">
        <v>2.3199999999999998</v>
      </c>
      <c r="L778" s="6" t="s">
        <v>1603</v>
      </c>
      <c r="M778" t="str" cm="1">
        <f t="array" ref="M778:O778">INDEX('Main Data'!A775:O1774,MATCH(L778,'Main Data'!A775:A1774,0),{3,7,14})</f>
        <v>Female</v>
      </c>
      <c r="N778">
        <v>91063.4</v>
      </c>
      <c r="O778">
        <v>2.3199999999999998</v>
      </c>
    </row>
    <row r="779" spans="1:15" x14ac:dyDescent="0.3">
      <c r="A779" s="6" t="s">
        <v>1605</v>
      </c>
      <c r="B779" cm="1">
        <f t="array" ref="B779:C779">_xlfn.XLOOKUP(A779,'Main Data'!A776:A1775,'Main Data'!B776:C1775,"Data Not Found",0)</f>
        <v>22</v>
      </c>
      <c r="C779" t="str">
        <v>Male</v>
      </c>
      <c r="E779" s="6" t="s">
        <v>1605</v>
      </c>
      <c r="F779" cm="1">
        <f t="array" ref="F779:I779">VLOOKUP(E779,CHOOSE({1,2,3,4,5},'Main Data'!A776:A1775,'Main Data'!B776:B1775,'Main Data'!C776:C1775,'Main Data'!M776:M1775,'Main Data'!N776:N1775),{2,3,4,5},0)</f>
        <v>22</v>
      </c>
      <c r="G779" t="str">
        <v>Male</v>
      </c>
      <c r="H779" t="str">
        <v>Japan</v>
      </c>
      <c r="I779">
        <v>3.38</v>
      </c>
      <c r="L779" s="6" t="s">
        <v>1605</v>
      </c>
      <c r="M779" t="str" cm="1">
        <f t="array" ref="M779:O779">INDEX('Main Data'!A776:O1775,MATCH(L779,'Main Data'!A776:A1775,0),{3,7,14})</f>
        <v>Male</v>
      </c>
      <c r="N779">
        <v>123283.18</v>
      </c>
      <c r="O779">
        <v>3.38</v>
      </c>
    </row>
    <row r="780" spans="1:15" x14ac:dyDescent="0.3">
      <c r="A780" s="6" t="s">
        <v>1607</v>
      </c>
      <c r="B780" cm="1">
        <f t="array" ref="B780:C780">_xlfn.XLOOKUP(A780,'Main Data'!A777:A1776,'Main Data'!B777:C1776,"Data Not Found",0)</f>
        <v>45</v>
      </c>
      <c r="C780" t="str">
        <v>Female</v>
      </c>
      <c r="E780" s="6" t="s">
        <v>1607</v>
      </c>
      <c r="F780" cm="1">
        <f t="array" ref="F780:I780">VLOOKUP(E780,CHOOSE({1,2,3,4,5},'Main Data'!A777:A1776,'Main Data'!B777:B1776,'Main Data'!C777:C1776,'Main Data'!M777:M1776,'Main Data'!N777:N1776),{2,3,4,5},0)</f>
        <v>45</v>
      </c>
      <c r="G780" t="str">
        <v>Female</v>
      </c>
      <c r="H780" t="str">
        <v>USA</v>
      </c>
      <c r="I780">
        <v>3.27</v>
      </c>
      <c r="L780" s="6" t="s">
        <v>1607</v>
      </c>
      <c r="M780" t="str" cm="1">
        <f t="array" ref="M780:O780">INDEX('Main Data'!A777:O1776,MATCH(L780,'Main Data'!A777:A1776,0),{3,7,14})</f>
        <v>Female</v>
      </c>
      <c r="N780">
        <v>190698.06</v>
      </c>
      <c r="O780">
        <v>3.27</v>
      </c>
    </row>
    <row r="781" spans="1:15" x14ac:dyDescent="0.3">
      <c r="A781" s="6" t="s">
        <v>1609</v>
      </c>
      <c r="B781" cm="1">
        <f t="array" ref="B781:C781">_xlfn.XLOOKUP(A781,'Main Data'!A778:A1777,'Main Data'!B778:C1777,"Data Not Found",0)</f>
        <v>37</v>
      </c>
      <c r="C781" t="str">
        <v>Male</v>
      </c>
      <c r="E781" s="6" t="s">
        <v>1609</v>
      </c>
      <c r="F781" cm="1">
        <f t="array" ref="F781:I781">VLOOKUP(E781,CHOOSE({1,2,3,4,5},'Main Data'!A778:A1777,'Main Data'!B778:B1777,'Main Data'!C778:C1777,'Main Data'!M778:M1777,'Main Data'!N778:N1777),{2,3,4,5},0)</f>
        <v>37</v>
      </c>
      <c r="G781" t="str">
        <v>Male</v>
      </c>
      <c r="H781" t="str">
        <v>France</v>
      </c>
      <c r="I781">
        <v>3.35</v>
      </c>
      <c r="L781" s="6" t="s">
        <v>1609</v>
      </c>
      <c r="M781" t="str" cm="1">
        <f t="array" ref="M781:O781">INDEX('Main Data'!A778:O1777,MATCH(L781,'Main Data'!A778:A1777,0),{3,7,14})</f>
        <v>Male</v>
      </c>
      <c r="N781">
        <v>107718.1</v>
      </c>
      <c r="O781">
        <v>3.35</v>
      </c>
    </row>
    <row r="782" spans="1:15" x14ac:dyDescent="0.3">
      <c r="A782" s="6" t="s">
        <v>1611</v>
      </c>
      <c r="B782" cm="1">
        <f t="array" ref="B782:C782">_xlfn.XLOOKUP(A782,'Main Data'!A779:A1778,'Main Data'!B779:C1778,"Data Not Found",0)</f>
        <v>32</v>
      </c>
      <c r="C782" t="str">
        <v>Male</v>
      </c>
      <c r="E782" s="6" t="s">
        <v>1611</v>
      </c>
      <c r="F782" cm="1">
        <f t="array" ref="F782:I782">VLOOKUP(E782,CHOOSE({1,2,3,4,5},'Main Data'!A779:A1778,'Main Data'!B779:B1778,'Main Data'!C779:C1778,'Main Data'!M779:M1778,'Main Data'!N779:N1778),{2,3,4,5},0)</f>
        <v>32</v>
      </c>
      <c r="G782" t="str">
        <v>Male</v>
      </c>
      <c r="H782" t="str">
        <v>UK</v>
      </c>
      <c r="I782">
        <v>3.04</v>
      </c>
      <c r="L782" s="6" t="s">
        <v>1611</v>
      </c>
      <c r="M782" t="str" cm="1">
        <f t="array" ref="M782:O782">INDEX('Main Data'!A779:O1778,MATCH(L782,'Main Data'!A779:A1778,0),{3,7,14})</f>
        <v>Male</v>
      </c>
      <c r="N782">
        <v>141496.26</v>
      </c>
      <c r="O782">
        <v>3.04</v>
      </c>
    </row>
    <row r="783" spans="1:15" x14ac:dyDescent="0.3">
      <c r="A783" s="6" t="s">
        <v>1613</v>
      </c>
      <c r="B783" cm="1">
        <f t="array" ref="B783:C783">_xlfn.XLOOKUP(A783,'Main Data'!A780:A1779,'Main Data'!B780:C1779,"Data Not Found",0)</f>
        <v>25</v>
      </c>
      <c r="C783" t="str">
        <v>Male</v>
      </c>
      <c r="E783" s="6" t="s">
        <v>1613</v>
      </c>
      <c r="F783" cm="1">
        <f t="array" ref="F783:I783">VLOOKUP(E783,CHOOSE({1,2,3,4,5},'Main Data'!A780:A1779,'Main Data'!B780:B1779,'Main Data'!C780:C1779,'Main Data'!M780:M1779,'Main Data'!N780:N1779),{2,3,4,5},0)</f>
        <v>25</v>
      </c>
      <c r="G783" t="str">
        <v>Male</v>
      </c>
      <c r="H783" t="str">
        <v>UAE</v>
      </c>
      <c r="I783">
        <v>3.08</v>
      </c>
      <c r="L783" s="6" t="s">
        <v>1613</v>
      </c>
      <c r="M783" t="str" cm="1">
        <f t="array" ref="M783:O783">INDEX('Main Data'!A780:O1779,MATCH(L783,'Main Data'!A780:A1779,0),{3,7,14})</f>
        <v>Male</v>
      </c>
      <c r="N783">
        <v>104793.29</v>
      </c>
      <c r="O783">
        <v>3.08</v>
      </c>
    </row>
    <row r="784" spans="1:15" x14ac:dyDescent="0.3">
      <c r="A784" s="6" t="s">
        <v>1615</v>
      </c>
      <c r="B784" cm="1">
        <f t="array" ref="B784:C784">_xlfn.XLOOKUP(A784,'Main Data'!A781:A1780,'Main Data'!B781:C1780,"Data Not Found",0)</f>
        <v>25</v>
      </c>
      <c r="C784" t="str">
        <v>Female</v>
      </c>
      <c r="E784" s="6" t="s">
        <v>1615</v>
      </c>
      <c r="F784" cm="1">
        <f t="array" ref="F784:I784">VLOOKUP(E784,CHOOSE({1,2,3,4,5},'Main Data'!A781:A1780,'Main Data'!B781:B1780,'Main Data'!C781:C1780,'Main Data'!M781:M1780,'Main Data'!N781:N1780),{2,3,4,5},0)</f>
        <v>25</v>
      </c>
      <c r="G784" t="str">
        <v>Female</v>
      </c>
      <c r="H784" t="str">
        <v>Japan</v>
      </c>
      <c r="I784">
        <v>1.68</v>
      </c>
      <c r="L784" s="6" t="s">
        <v>1615</v>
      </c>
      <c r="M784" t="str" cm="1">
        <f t="array" ref="M784:O784">INDEX('Main Data'!A781:O1780,MATCH(L784,'Main Data'!A781:A1780,0),{3,7,14})</f>
        <v>Female</v>
      </c>
      <c r="N784">
        <v>117477.05</v>
      </c>
      <c r="O784">
        <v>1.68</v>
      </c>
    </row>
    <row r="785" spans="1:15" x14ac:dyDescent="0.3">
      <c r="A785" s="6" t="s">
        <v>1617</v>
      </c>
      <c r="B785" cm="1">
        <f t="array" ref="B785:C785">_xlfn.XLOOKUP(A785,'Main Data'!A782:A1781,'Main Data'!B782:C1781,"Data Not Found",0)</f>
        <v>38</v>
      </c>
      <c r="C785" t="str">
        <v>Other</v>
      </c>
      <c r="E785" s="6" t="s">
        <v>1617</v>
      </c>
      <c r="F785" cm="1">
        <f t="array" ref="F785:I785">VLOOKUP(E785,CHOOSE({1,2,3,4,5},'Main Data'!A782:A1781,'Main Data'!B782:B1781,'Main Data'!C782:C1781,'Main Data'!M782:M1781,'Main Data'!N782:N1781),{2,3,4,5},0)</f>
        <v>38</v>
      </c>
      <c r="G785" t="str">
        <v>Other</v>
      </c>
      <c r="H785" t="str">
        <v>USA</v>
      </c>
      <c r="I785">
        <v>3.71</v>
      </c>
      <c r="L785" s="6" t="s">
        <v>1617</v>
      </c>
      <c r="M785" t="str" cm="1">
        <f t="array" ref="M785:O785">INDEX('Main Data'!A782:O1781,MATCH(L785,'Main Data'!A782:A1781,0),{3,7,14})</f>
        <v>Other</v>
      </c>
      <c r="N785">
        <v>167427.6</v>
      </c>
      <c r="O785">
        <v>3.71</v>
      </c>
    </row>
    <row r="786" spans="1:15" x14ac:dyDescent="0.3">
      <c r="A786" s="6" t="s">
        <v>1619</v>
      </c>
      <c r="B786" cm="1">
        <f t="array" ref="B786:C786">_xlfn.XLOOKUP(A786,'Main Data'!A783:A1782,'Main Data'!B783:C1782,"Data Not Found",0)</f>
        <v>31</v>
      </c>
      <c r="C786" t="str">
        <v>Male</v>
      </c>
      <c r="E786" s="6" t="s">
        <v>1619</v>
      </c>
      <c r="F786" cm="1">
        <f t="array" ref="F786:I786">VLOOKUP(E786,CHOOSE({1,2,3,4,5},'Main Data'!A783:A1782,'Main Data'!B783:B1782,'Main Data'!C783:C1782,'Main Data'!M783:M1782,'Main Data'!N783:N1782),{2,3,4,5},0)</f>
        <v>31</v>
      </c>
      <c r="G786" t="str">
        <v>Male</v>
      </c>
      <c r="H786" t="str">
        <v>France</v>
      </c>
      <c r="I786">
        <v>2.41</v>
      </c>
      <c r="L786" s="6" t="s">
        <v>1619</v>
      </c>
      <c r="M786" t="str" cm="1">
        <f t="array" ref="M786:O786">INDEX('Main Data'!A783:O1782,MATCH(L786,'Main Data'!A783:A1782,0),{3,7,14})</f>
        <v>Male</v>
      </c>
      <c r="N786">
        <v>108804.63</v>
      </c>
      <c r="O786">
        <v>2.41</v>
      </c>
    </row>
    <row r="787" spans="1:15" x14ac:dyDescent="0.3">
      <c r="A787" s="6" t="s">
        <v>1621</v>
      </c>
      <c r="B787" cm="1">
        <f t="array" ref="B787:C787">_xlfn.XLOOKUP(A787,'Main Data'!A784:A1783,'Main Data'!B784:C1783,"Data Not Found",0)</f>
        <v>42</v>
      </c>
      <c r="C787" t="str">
        <v>Female</v>
      </c>
      <c r="E787" s="6" t="s">
        <v>1621</v>
      </c>
      <c r="F787" cm="1">
        <f t="array" ref="F787:I787">VLOOKUP(E787,CHOOSE({1,2,3,4,5},'Main Data'!A784:A1783,'Main Data'!B784:B1783,'Main Data'!C784:C1783,'Main Data'!M784:M1783,'Main Data'!N784:N1783),{2,3,4,5},0)</f>
        <v>42</v>
      </c>
      <c r="G787" t="str">
        <v>Female</v>
      </c>
      <c r="H787" t="str">
        <v>UK</v>
      </c>
      <c r="I787">
        <v>3.41</v>
      </c>
      <c r="L787" s="6" t="s">
        <v>1621</v>
      </c>
      <c r="M787" t="str" cm="1">
        <f t="array" ref="M787:O787">INDEX('Main Data'!A784:O1783,MATCH(L787,'Main Data'!A784:A1783,0),{3,7,14})</f>
        <v>Female</v>
      </c>
      <c r="N787">
        <v>115623.33</v>
      </c>
      <c r="O787">
        <v>3.41</v>
      </c>
    </row>
    <row r="788" spans="1:15" x14ac:dyDescent="0.3">
      <c r="A788" s="6" t="s">
        <v>1623</v>
      </c>
      <c r="B788" cm="1">
        <f t="array" ref="B788:C788">_xlfn.XLOOKUP(A788,'Main Data'!A785:A1784,'Main Data'!B785:C1784,"Data Not Found",0)</f>
        <v>59</v>
      </c>
      <c r="C788" t="str">
        <v>Male</v>
      </c>
      <c r="E788" s="6" t="s">
        <v>1623</v>
      </c>
      <c r="F788" cm="1">
        <f t="array" ref="F788:I788">VLOOKUP(E788,CHOOSE({1,2,3,4,5},'Main Data'!A785:A1784,'Main Data'!B785:B1784,'Main Data'!C785:C1784,'Main Data'!M785:M1784,'Main Data'!N785:N1784),{2,3,4,5},0)</f>
        <v>59</v>
      </c>
      <c r="G788" t="str">
        <v>Male</v>
      </c>
      <c r="H788" t="str">
        <v>UAE</v>
      </c>
      <c r="I788">
        <v>2.19</v>
      </c>
      <c r="L788" s="6" t="s">
        <v>1623</v>
      </c>
      <c r="M788" t="str" cm="1">
        <f t="array" ref="M788:O788">INDEX('Main Data'!A785:O1784,MATCH(L788,'Main Data'!A785:A1784,0),{3,7,14})</f>
        <v>Male</v>
      </c>
      <c r="N788">
        <v>93067.7</v>
      </c>
      <c r="O788">
        <v>2.19</v>
      </c>
    </row>
    <row r="789" spans="1:15" x14ac:dyDescent="0.3">
      <c r="A789" s="6" t="s">
        <v>1625</v>
      </c>
      <c r="B789" cm="1">
        <f t="array" ref="B789:C789">_xlfn.XLOOKUP(A789,'Main Data'!A786:A1785,'Main Data'!B786:C1785,"Data Not Found",0)</f>
        <v>39</v>
      </c>
      <c r="C789" t="str">
        <v>Female</v>
      </c>
      <c r="E789" s="6" t="s">
        <v>1625</v>
      </c>
      <c r="F789" cm="1">
        <f t="array" ref="F789:I789">VLOOKUP(E789,CHOOSE({1,2,3,4,5},'Main Data'!A786:A1785,'Main Data'!B786:B1785,'Main Data'!C786:C1785,'Main Data'!M786:M1785,'Main Data'!N786:N1785),{2,3,4,5},0)</f>
        <v>39</v>
      </c>
      <c r="G789" t="str">
        <v>Female</v>
      </c>
      <c r="H789" t="str">
        <v>Japan</v>
      </c>
      <c r="I789">
        <v>3.82</v>
      </c>
      <c r="L789" s="6" t="s">
        <v>1625</v>
      </c>
      <c r="M789" t="str" cm="1">
        <f t="array" ref="M789:O789">INDEX('Main Data'!A786:O1785,MATCH(L789,'Main Data'!A786:A1785,0),{3,7,14})</f>
        <v>Female</v>
      </c>
      <c r="N789">
        <v>173338.15</v>
      </c>
      <c r="O789">
        <v>3.82</v>
      </c>
    </row>
    <row r="790" spans="1:15" x14ac:dyDescent="0.3">
      <c r="A790" s="6" t="s">
        <v>1627</v>
      </c>
      <c r="B790" cm="1">
        <f t="array" ref="B790:C790">_xlfn.XLOOKUP(A790,'Main Data'!A787:A1786,'Main Data'!B787:C1786,"Data Not Found",0)</f>
        <v>31</v>
      </c>
      <c r="C790" t="str">
        <v>Other</v>
      </c>
      <c r="E790" s="6" t="s">
        <v>1627</v>
      </c>
      <c r="F790" cm="1">
        <f t="array" ref="F790:I790">VLOOKUP(E790,CHOOSE({1,2,3,4,5},'Main Data'!A787:A1786,'Main Data'!B787:B1786,'Main Data'!C787:C1786,'Main Data'!M787:M1786,'Main Data'!N787:N1786),{2,3,4,5},0)</f>
        <v>31</v>
      </c>
      <c r="G790" t="str">
        <v>Other</v>
      </c>
      <c r="H790" t="str">
        <v>USA</v>
      </c>
      <c r="I790">
        <v>3.39</v>
      </c>
      <c r="L790" s="6" t="s">
        <v>1627</v>
      </c>
      <c r="M790" t="str" cm="1">
        <f t="array" ref="M790:O790">INDEX('Main Data'!A787:O1786,MATCH(L790,'Main Data'!A787:A1786,0),{3,7,14})</f>
        <v>Other</v>
      </c>
      <c r="N790">
        <v>95463.15</v>
      </c>
      <c r="O790">
        <v>3.39</v>
      </c>
    </row>
    <row r="791" spans="1:15" x14ac:dyDescent="0.3">
      <c r="A791" s="6" t="s">
        <v>1629</v>
      </c>
      <c r="B791" cm="1">
        <f t="array" ref="B791:C791">_xlfn.XLOOKUP(A791,'Main Data'!A788:A1787,'Main Data'!B788:C1787,"Data Not Found",0)</f>
        <v>37</v>
      </c>
      <c r="C791" t="str">
        <v>Male</v>
      </c>
      <c r="E791" s="6" t="s">
        <v>1629</v>
      </c>
      <c r="F791" cm="1">
        <f t="array" ref="F791:I791">VLOOKUP(E791,CHOOSE({1,2,3,4,5},'Main Data'!A788:A1787,'Main Data'!B788:B1787,'Main Data'!C788:C1787,'Main Data'!M788:M1787,'Main Data'!N788:N1787),{2,3,4,5},0)</f>
        <v>37</v>
      </c>
      <c r="G791" t="str">
        <v>Male</v>
      </c>
      <c r="H791" t="str">
        <v>France</v>
      </c>
      <c r="I791">
        <v>3.9</v>
      </c>
      <c r="L791" s="6" t="s">
        <v>1629</v>
      </c>
      <c r="M791" t="str" cm="1">
        <f t="array" ref="M791:O791">INDEX('Main Data'!A788:O1787,MATCH(L791,'Main Data'!A788:A1787,0),{3,7,14})</f>
        <v>Male</v>
      </c>
      <c r="N791">
        <v>159641.56</v>
      </c>
      <c r="O791">
        <v>3.9</v>
      </c>
    </row>
    <row r="792" spans="1:15" x14ac:dyDescent="0.3">
      <c r="A792" s="6" t="s">
        <v>1631</v>
      </c>
      <c r="B792" cm="1">
        <f t="array" ref="B792:C792">_xlfn.XLOOKUP(A792,'Main Data'!A789:A1788,'Main Data'!B789:C1788,"Data Not Found",0)</f>
        <v>60</v>
      </c>
      <c r="C792" t="str">
        <v>Male</v>
      </c>
      <c r="E792" s="6" t="s">
        <v>1631</v>
      </c>
      <c r="F792" cm="1">
        <f t="array" ref="F792:I792">VLOOKUP(E792,CHOOSE({1,2,3,4,5},'Main Data'!A789:A1788,'Main Data'!B789:B1788,'Main Data'!C789:C1788,'Main Data'!M789:M1788,'Main Data'!N789:N1788),{2,3,4,5},0)</f>
        <v>60</v>
      </c>
      <c r="G792" t="str">
        <v>Male</v>
      </c>
      <c r="H792" t="str">
        <v>UK</v>
      </c>
      <c r="I792">
        <v>3.99</v>
      </c>
      <c r="L792" s="6" t="s">
        <v>1631</v>
      </c>
      <c r="M792" t="str" cm="1">
        <f t="array" ref="M792:O792">INDEX('Main Data'!A789:O1788,MATCH(L792,'Main Data'!A789:A1788,0),{3,7,14})</f>
        <v>Male</v>
      </c>
      <c r="N792">
        <v>189137.4</v>
      </c>
      <c r="O792">
        <v>3.99</v>
      </c>
    </row>
    <row r="793" spans="1:15" x14ac:dyDescent="0.3">
      <c r="A793" s="6" t="s">
        <v>1633</v>
      </c>
      <c r="B793" cm="1">
        <f t="array" ref="B793:C793">_xlfn.XLOOKUP(A793,'Main Data'!A790:A1789,'Main Data'!B790:C1789,"Data Not Found",0)</f>
        <v>36</v>
      </c>
      <c r="C793" t="str">
        <v>Male</v>
      </c>
      <c r="E793" s="6" t="s">
        <v>1633</v>
      </c>
      <c r="F793" cm="1">
        <f t="array" ref="F793:I793">VLOOKUP(E793,CHOOSE({1,2,3,4,5},'Main Data'!A790:A1789,'Main Data'!B790:B1789,'Main Data'!C790:C1789,'Main Data'!M790:M1789,'Main Data'!N790:N1789),{2,3,4,5},0)</f>
        <v>36</v>
      </c>
      <c r="G793" t="str">
        <v>Male</v>
      </c>
      <c r="H793" t="str">
        <v>UAE</v>
      </c>
      <c r="I793">
        <v>3.91</v>
      </c>
      <c r="L793" s="6" t="s">
        <v>1633</v>
      </c>
      <c r="M793" t="str" cm="1">
        <f t="array" ref="M793:O793">INDEX('Main Data'!A790:O1789,MATCH(L793,'Main Data'!A790:A1789,0),{3,7,14})</f>
        <v>Male</v>
      </c>
      <c r="N793">
        <v>165298.79999999999</v>
      </c>
      <c r="O793">
        <v>3.91</v>
      </c>
    </row>
    <row r="794" spans="1:15" x14ac:dyDescent="0.3">
      <c r="A794" s="6" t="s">
        <v>1635</v>
      </c>
      <c r="B794" cm="1">
        <f t="array" ref="B794:C794">_xlfn.XLOOKUP(A794,'Main Data'!A791:A1790,'Main Data'!B791:C1790,"Data Not Found",0)</f>
        <v>55</v>
      </c>
      <c r="C794" t="str">
        <v>Other</v>
      </c>
      <c r="E794" s="6" t="s">
        <v>1635</v>
      </c>
      <c r="F794" cm="1">
        <f t="array" ref="F794:I794">VLOOKUP(E794,CHOOSE({1,2,3,4,5},'Main Data'!A791:A1790,'Main Data'!B791:B1790,'Main Data'!C791:C1790,'Main Data'!M791:M1790,'Main Data'!N791:N1790),{2,3,4,5},0)</f>
        <v>55</v>
      </c>
      <c r="G794" t="str">
        <v>Other</v>
      </c>
      <c r="H794" t="str">
        <v>Japan</v>
      </c>
      <c r="I794">
        <v>4.49</v>
      </c>
      <c r="L794" s="6" t="s">
        <v>1635</v>
      </c>
      <c r="M794" t="str" cm="1">
        <f t="array" ref="M794:O794">INDEX('Main Data'!A791:O1790,MATCH(L794,'Main Data'!A791:A1790,0),{3,7,14})</f>
        <v>Other</v>
      </c>
      <c r="N794">
        <v>180449.3</v>
      </c>
      <c r="O794">
        <v>4.49</v>
      </c>
    </row>
    <row r="795" spans="1:15" x14ac:dyDescent="0.3">
      <c r="A795" s="6" t="s">
        <v>1637</v>
      </c>
      <c r="B795" cm="1">
        <f t="array" ref="B795:C795">_xlfn.XLOOKUP(A795,'Main Data'!A792:A1791,'Main Data'!B792:C1791,"Data Not Found",0)</f>
        <v>26</v>
      </c>
      <c r="C795" t="str">
        <v>Female</v>
      </c>
      <c r="E795" s="6" t="s">
        <v>1637</v>
      </c>
      <c r="F795" cm="1">
        <f t="array" ref="F795:I795">VLOOKUP(E795,CHOOSE({1,2,3,4,5},'Main Data'!A792:A1791,'Main Data'!B792:B1791,'Main Data'!C792:C1791,'Main Data'!M792:M1791,'Main Data'!N792:N1791),{2,3,4,5},0)</f>
        <v>26</v>
      </c>
      <c r="G795" t="str">
        <v>Female</v>
      </c>
      <c r="H795" t="str">
        <v>USA</v>
      </c>
      <c r="I795">
        <v>4.8499999999999996</v>
      </c>
      <c r="L795" s="6" t="s">
        <v>1637</v>
      </c>
      <c r="M795" t="str" cm="1">
        <f t="array" ref="M795:O795">INDEX('Main Data'!A792:O1791,MATCH(L795,'Main Data'!A792:A1791,0),{3,7,14})</f>
        <v>Female</v>
      </c>
      <c r="N795">
        <v>71260.58</v>
      </c>
      <c r="O795">
        <v>4.8499999999999996</v>
      </c>
    </row>
    <row r="796" spans="1:15" x14ac:dyDescent="0.3">
      <c r="A796" s="6" t="s">
        <v>1639</v>
      </c>
      <c r="B796" cm="1">
        <f t="array" ref="B796:C796">_xlfn.XLOOKUP(A796,'Main Data'!A793:A1792,'Main Data'!B793:C1792,"Data Not Found",0)</f>
        <v>38</v>
      </c>
      <c r="C796" t="str">
        <v>Male</v>
      </c>
      <c r="E796" s="6" t="s">
        <v>1639</v>
      </c>
      <c r="F796" cm="1">
        <f t="array" ref="F796:I796">VLOOKUP(E796,CHOOSE({1,2,3,4,5},'Main Data'!A793:A1792,'Main Data'!B793:B1792,'Main Data'!C793:C1792,'Main Data'!M793:M1792,'Main Data'!N793:N1792),{2,3,4,5},0)</f>
        <v>38</v>
      </c>
      <c r="G796" t="str">
        <v>Male</v>
      </c>
      <c r="H796" t="str">
        <v>France</v>
      </c>
      <c r="I796">
        <v>2.87</v>
      </c>
      <c r="L796" s="6" t="s">
        <v>1639</v>
      </c>
      <c r="M796" t="str" cm="1">
        <f t="array" ref="M796:O796">INDEX('Main Data'!A793:O1792,MATCH(L796,'Main Data'!A793:A1792,0),{3,7,14})</f>
        <v>Male</v>
      </c>
      <c r="N796">
        <v>110385.22</v>
      </c>
      <c r="O796">
        <v>2.87</v>
      </c>
    </row>
    <row r="797" spans="1:15" x14ac:dyDescent="0.3">
      <c r="A797" s="6" t="s">
        <v>1641</v>
      </c>
      <c r="B797" cm="1">
        <f t="array" ref="B797:C797">_xlfn.XLOOKUP(A797,'Main Data'!A794:A1793,'Main Data'!B794:C1793,"Data Not Found",0)</f>
        <v>58</v>
      </c>
      <c r="C797" t="str">
        <v>Male</v>
      </c>
      <c r="E797" s="6" t="s">
        <v>1641</v>
      </c>
      <c r="F797" cm="1">
        <f t="array" ref="F797:I797">VLOOKUP(E797,CHOOSE({1,2,3,4,5},'Main Data'!A794:A1793,'Main Data'!B794:B1793,'Main Data'!C794:C1793,'Main Data'!M794:M1793,'Main Data'!N794:N1793),{2,3,4,5},0)</f>
        <v>58</v>
      </c>
      <c r="G797" t="str">
        <v>Male</v>
      </c>
      <c r="H797" t="str">
        <v>UK</v>
      </c>
      <c r="I797">
        <v>2.09</v>
      </c>
      <c r="L797" s="6" t="s">
        <v>1641</v>
      </c>
      <c r="M797" t="str" cm="1">
        <f t="array" ref="M797:O797">INDEX('Main Data'!A794:O1793,MATCH(L797,'Main Data'!A794:A1793,0),{3,7,14})</f>
        <v>Male</v>
      </c>
      <c r="N797">
        <v>53845.26</v>
      </c>
      <c r="O797">
        <v>2.09</v>
      </c>
    </row>
    <row r="798" spans="1:15" x14ac:dyDescent="0.3">
      <c r="A798" s="6" t="s">
        <v>37</v>
      </c>
      <c r="B798" cm="1">
        <f t="array" ref="B798:C798">_xlfn.XLOOKUP(A798,'Main Data'!A795:A1794,'Main Data'!B795:C1794,"Data Not Found",0)</f>
        <v>29</v>
      </c>
      <c r="C798" t="str">
        <v>Other</v>
      </c>
      <c r="E798" s="6" t="s">
        <v>37</v>
      </c>
      <c r="F798" cm="1">
        <f t="array" ref="F798:I798">VLOOKUP(E798,CHOOSE({1,2,3,4,5},'Main Data'!A795:A1794,'Main Data'!B795:B1794,'Main Data'!C795:C1794,'Main Data'!M795:M1794,'Main Data'!N795:N1794),{2,3,4,5},0)</f>
        <v>29</v>
      </c>
      <c r="G798" t="str">
        <v>Other</v>
      </c>
      <c r="H798" t="str">
        <v>UAE</v>
      </c>
      <c r="I798">
        <v>3.01</v>
      </c>
      <c r="L798" s="6" t="s">
        <v>37</v>
      </c>
      <c r="M798" t="str" cm="1">
        <f t="array" ref="M798:O798">INDEX('Main Data'!A795:O1794,MATCH(L798,'Main Data'!A795:A1794,0),{3,7,14})</f>
        <v>Other</v>
      </c>
      <c r="N798">
        <v>128392.58</v>
      </c>
      <c r="O798">
        <v>3.01</v>
      </c>
    </row>
    <row r="799" spans="1:15" x14ac:dyDescent="0.3">
      <c r="A799" s="6" t="s">
        <v>1644</v>
      </c>
      <c r="B799" cm="1">
        <f t="array" ref="B799:C799">_xlfn.XLOOKUP(A799,'Main Data'!A796:A1795,'Main Data'!B796:C1795,"Data Not Found",0)</f>
        <v>45</v>
      </c>
      <c r="C799" t="str">
        <v>Female</v>
      </c>
      <c r="E799" s="6" t="s">
        <v>1644</v>
      </c>
      <c r="F799" cm="1">
        <f t="array" ref="F799:I799">VLOOKUP(E799,CHOOSE({1,2,3,4,5},'Main Data'!A796:A1795,'Main Data'!B796:B1795,'Main Data'!C796:C1795,'Main Data'!M796:M1795,'Main Data'!N796:N1795),{2,3,4,5},0)</f>
        <v>45</v>
      </c>
      <c r="G799" t="str">
        <v>Female</v>
      </c>
      <c r="H799" t="str">
        <v>Japan</v>
      </c>
      <c r="I799">
        <v>1.34</v>
      </c>
      <c r="L799" s="6" t="s">
        <v>1644</v>
      </c>
      <c r="M799" t="str" cm="1">
        <f t="array" ref="M799:O799">INDEX('Main Data'!A796:O1795,MATCH(L799,'Main Data'!A796:A1795,0),{3,7,14})</f>
        <v>Female</v>
      </c>
      <c r="N799">
        <v>199808.81</v>
      </c>
      <c r="O799">
        <v>1.34</v>
      </c>
    </row>
    <row r="800" spans="1:15" x14ac:dyDescent="0.3">
      <c r="A800" s="6" t="s">
        <v>1646</v>
      </c>
      <c r="B800" cm="1">
        <f t="array" ref="B800:C800">_xlfn.XLOOKUP(A800,'Main Data'!A797:A1796,'Main Data'!B797:C1796,"Data Not Found",0)</f>
        <v>49</v>
      </c>
      <c r="C800" t="str">
        <v>Other</v>
      </c>
      <c r="E800" s="6" t="s">
        <v>1646</v>
      </c>
      <c r="F800" cm="1">
        <f t="array" ref="F800:I800">VLOOKUP(E800,CHOOSE({1,2,3,4,5},'Main Data'!A797:A1796,'Main Data'!B797:B1796,'Main Data'!C797:C1796,'Main Data'!M797:M1796,'Main Data'!N797:N1796),{2,3,4,5},0)</f>
        <v>49</v>
      </c>
      <c r="G800" t="str">
        <v>Other</v>
      </c>
      <c r="H800" t="str">
        <v>USA</v>
      </c>
      <c r="I800">
        <v>2.36</v>
      </c>
      <c r="L800" s="6" t="s">
        <v>1646</v>
      </c>
      <c r="M800" t="str" cm="1">
        <f t="array" ref="M800:O800">INDEX('Main Data'!A797:O1796,MATCH(L800,'Main Data'!A797:A1796,0),{3,7,14})</f>
        <v>Other</v>
      </c>
      <c r="N800">
        <v>130773.99</v>
      </c>
      <c r="O800">
        <v>2.36</v>
      </c>
    </row>
    <row r="801" spans="1:15" x14ac:dyDescent="0.3">
      <c r="A801" s="6" t="s">
        <v>1648</v>
      </c>
      <c r="B801" cm="1">
        <f t="array" ref="B801:C801">_xlfn.XLOOKUP(A801,'Main Data'!A798:A1797,'Main Data'!B798:C1797,"Data Not Found",0)</f>
        <v>29</v>
      </c>
      <c r="C801" t="str">
        <v>Other</v>
      </c>
      <c r="E801" s="6" t="s">
        <v>1648</v>
      </c>
      <c r="F801" cm="1">
        <f t="array" ref="F801:I801">VLOOKUP(E801,CHOOSE({1,2,3,4,5},'Main Data'!A798:A1797,'Main Data'!B798:B1797,'Main Data'!C798:C1797,'Main Data'!M798:M1797,'Main Data'!N798:N1797),{2,3,4,5},0)</f>
        <v>29</v>
      </c>
      <c r="G801" t="str">
        <v>Other</v>
      </c>
      <c r="H801" t="str">
        <v>France</v>
      </c>
      <c r="I801">
        <v>2.2599999999999998</v>
      </c>
      <c r="L801" s="6" t="s">
        <v>1648</v>
      </c>
      <c r="M801" t="str" cm="1">
        <f t="array" ref="M801:O801">INDEX('Main Data'!A798:O1797,MATCH(L801,'Main Data'!A798:A1797,0),{3,7,14})</f>
        <v>Other</v>
      </c>
      <c r="N801">
        <v>179251.24</v>
      </c>
      <c r="O801">
        <v>2.2599999999999998</v>
      </c>
    </row>
    <row r="802" spans="1:15" x14ac:dyDescent="0.3">
      <c r="A802" s="6" t="s">
        <v>1650</v>
      </c>
      <c r="B802" cm="1">
        <f t="array" ref="B802:C802">_xlfn.XLOOKUP(A802,'Main Data'!A799:A1798,'Main Data'!B799:C1798,"Data Not Found",0)</f>
        <v>44</v>
      </c>
      <c r="C802" t="str">
        <v>Male</v>
      </c>
      <c r="E802" s="6" t="s">
        <v>1650</v>
      </c>
      <c r="F802" cm="1">
        <f t="array" ref="F802:I802">VLOOKUP(E802,CHOOSE({1,2,3,4,5},'Main Data'!A799:A1798,'Main Data'!B799:B1798,'Main Data'!C799:C1798,'Main Data'!M799:M1798,'Main Data'!N799:N1798),{2,3,4,5},0)</f>
        <v>44</v>
      </c>
      <c r="G802" t="str">
        <v>Male</v>
      </c>
      <c r="H802" t="str">
        <v>UK</v>
      </c>
      <c r="I802">
        <v>3.38</v>
      </c>
      <c r="L802" s="6" t="s">
        <v>1650</v>
      </c>
      <c r="M802" t="str" cm="1">
        <f t="array" ref="M802:O802">INDEX('Main Data'!A799:O1798,MATCH(L802,'Main Data'!A799:A1798,0),{3,7,14})</f>
        <v>Male</v>
      </c>
      <c r="N802">
        <v>198472.68</v>
      </c>
      <c r="O802">
        <v>3.38</v>
      </c>
    </row>
    <row r="803" spans="1:15" x14ac:dyDescent="0.3">
      <c r="A803" s="6" t="s">
        <v>1652</v>
      </c>
      <c r="B803" cm="1">
        <f t="array" ref="B803:C803">_xlfn.XLOOKUP(A803,'Main Data'!A800:A1799,'Main Data'!B800:C1799,"Data Not Found",0)</f>
        <v>56</v>
      </c>
      <c r="C803" t="str">
        <v>Female</v>
      </c>
      <c r="E803" s="6" t="s">
        <v>1652</v>
      </c>
      <c r="F803" cm="1">
        <f t="array" ref="F803:I803">VLOOKUP(E803,CHOOSE({1,2,3,4,5},'Main Data'!A800:A1799,'Main Data'!B800:B1799,'Main Data'!C800:C1799,'Main Data'!M800:M1799,'Main Data'!N800:N1799),{2,3,4,5},0)</f>
        <v>56</v>
      </c>
      <c r="G803" t="str">
        <v>Female</v>
      </c>
      <c r="H803" t="str">
        <v>UAE</v>
      </c>
      <c r="I803">
        <v>2.31</v>
      </c>
      <c r="L803" s="6" t="s">
        <v>1652</v>
      </c>
      <c r="M803" t="str" cm="1">
        <f t="array" ref="M803:O803">INDEX('Main Data'!A800:O1799,MATCH(L803,'Main Data'!A800:A1799,0),{3,7,14})</f>
        <v>Female</v>
      </c>
      <c r="N803">
        <v>99713.69</v>
      </c>
      <c r="O803">
        <v>2.31</v>
      </c>
    </row>
    <row r="804" spans="1:15" x14ac:dyDescent="0.3">
      <c r="A804" s="6" t="s">
        <v>1654</v>
      </c>
      <c r="B804" cm="1">
        <f t="array" ref="B804:C804">_xlfn.XLOOKUP(A804,'Main Data'!A801:A1800,'Main Data'!B801:C1800,"Data Not Found",0)</f>
        <v>52</v>
      </c>
      <c r="C804" t="str">
        <v>Male</v>
      </c>
      <c r="E804" s="6" t="s">
        <v>1654</v>
      </c>
      <c r="F804" cm="1">
        <f t="array" ref="F804:I804">VLOOKUP(E804,CHOOSE({1,2,3,4,5},'Main Data'!A801:A1800,'Main Data'!B801:B1800,'Main Data'!C801:C1800,'Main Data'!M801:M1800,'Main Data'!N801:N1800),{2,3,4,5},0)</f>
        <v>52</v>
      </c>
      <c r="G804" t="str">
        <v>Male</v>
      </c>
      <c r="H804" t="str">
        <v>Japan</v>
      </c>
      <c r="I804">
        <v>3.71</v>
      </c>
      <c r="L804" s="6" t="s">
        <v>1654</v>
      </c>
      <c r="M804" t="str" cm="1">
        <f t="array" ref="M804:O804">INDEX('Main Data'!A801:O1800,MATCH(L804,'Main Data'!A801:A1800,0),{3,7,14})</f>
        <v>Male</v>
      </c>
      <c r="N804">
        <v>114221.6</v>
      </c>
      <c r="O804">
        <v>3.71</v>
      </c>
    </row>
    <row r="805" spans="1:15" x14ac:dyDescent="0.3">
      <c r="A805" s="6" t="s">
        <v>1656</v>
      </c>
      <c r="B805" cm="1">
        <f t="array" ref="B805:C805">_xlfn.XLOOKUP(A805,'Main Data'!A802:A1801,'Main Data'!B802:C1801,"Data Not Found",0)</f>
        <v>38</v>
      </c>
      <c r="C805" t="str">
        <v>Male</v>
      </c>
      <c r="E805" s="6" t="s">
        <v>1656</v>
      </c>
      <c r="F805" cm="1">
        <f t="array" ref="F805:I805">VLOOKUP(E805,CHOOSE({1,2,3,4,5},'Main Data'!A802:A1801,'Main Data'!B802:B1801,'Main Data'!C802:C1801,'Main Data'!M802:M1801,'Main Data'!N802:N1801),{2,3,4,5},0)</f>
        <v>38</v>
      </c>
      <c r="G805" t="str">
        <v>Male</v>
      </c>
      <c r="H805" t="str">
        <v>USA</v>
      </c>
      <c r="I805">
        <v>2.96</v>
      </c>
      <c r="L805" s="6" t="s">
        <v>1656</v>
      </c>
      <c r="M805" t="str" cm="1">
        <f t="array" ref="M805:O805">INDEX('Main Data'!A802:O1801,MATCH(L805,'Main Data'!A802:A1801,0),{3,7,14})</f>
        <v>Male</v>
      </c>
      <c r="N805">
        <v>132015.03</v>
      </c>
      <c r="O805">
        <v>2.96</v>
      </c>
    </row>
    <row r="806" spans="1:15" x14ac:dyDescent="0.3">
      <c r="A806" s="6" t="s">
        <v>1658</v>
      </c>
      <c r="B806" cm="1">
        <f t="array" ref="B806:C806">_xlfn.XLOOKUP(A806,'Main Data'!A803:A1802,'Main Data'!B803:C1802,"Data Not Found",0)</f>
        <v>49</v>
      </c>
      <c r="C806" t="str">
        <v>Other</v>
      </c>
      <c r="E806" s="6" t="s">
        <v>1658</v>
      </c>
      <c r="F806" cm="1">
        <f t="array" ref="F806:I806">VLOOKUP(E806,CHOOSE({1,2,3,4,5},'Main Data'!A803:A1802,'Main Data'!B803:B1802,'Main Data'!C803:C1802,'Main Data'!M803:M1802,'Main Data'!N803:N1802),{2,3,4,5},0)</f>
        <v>49</v>
      </c>
      <c r="G806" t="str">
        <v>Other</v>
      </c>
      <c r="H806" t="str">
        <v>France</v>
      </c>
      <c r="I806">
        <v>4.58</v>
      </c>
      <c r="L806" s="6" t="s">
        <v>1658</v>
      </c>
      <c r="M806" t="str" cm="1">
        <f t="array" ref="M806:O806">INDEX('Main Data'!A803:O1802,MATCH(L806,'Main Data'!A803:A1802,0),{3,7,14})</f>
        <v>Other</v>
      </c>
      <c r="N806">
        <v>159541.03</v>
      </c>
      <c r="O806">
        <v>4.58</v>
      </c>
    </row>
    <row r="807" spans="1:15" x14ac:dyDescent="0.3">
      <c r="A807" s="6" t="s">
        <v>1660</v>
      </c>
      <c r="B807" cm="1">
        <f t="array" ref="B807:C807">_xlfn.XLOOKUP(A807,'Main Data'!A804:A1803,'Main Data'!B804:C1803,"Data Not Found",0)</f>
        <v>33</v>
      </c>
      <c r="C807" t="str">
        <v>Other</v>
      </c>
      <c r="E807" s="6" t="s">
        <v>1660</v>
      </c>
      <c r="F807" cm="1">
        <f t="array" ref="F807:I807">VLOOKUP(E807,CHOOSE({1,2,3,4,5},'Main Data'!A804:A1803,'Main Data'!B804:B1803,'Main Data'!C804:C1803,'Main Data'!M804:M1803,'Main Data'!N804:N1803),{2,3,4,5},0)</f>
        <v>33</v>
      </c>
      <c r="G807" t="str">
        <v>Other</v>
      </c>
      <c r="H807" t="str">
        <v>UK</v>
      </c>
      <c r="I807">
        <v>1.49</v>
      </c>
      <c r="L807" s="6" t="s">
        <v>1660</v>
      </c>
      <c r="M807" t="str" cm="1">
        <f t="array" ref="M807:O807">INDEX('Main Data'!A804:O1803,MATCH(L807,'Main Data'!A804:A1803,0),{3,7,14})</f>
        <v>Other</v>
      </c>
      <c r="N807">
        <v>126465.81</v>
      </c>
      <c r="O807">
        <v>1.49</v>
      </c>
    </row>
    <row r="808" spans="1:15" x14ac:dyDescent="0.3">
      <c r="A808" s="6" t="s">
        <v>1662</v>
      </c>
      <c r="B808" cm="1">
        <f t="array" ref="B808:C808">_xlfn.XLOOKUP(A808,'Main Data'!A805:A1804,'Main Data'!B805:C1804,"Data Not Found",0)</f>
        <v>45</v>
      </c>
      <c r="C808" t="str">
        <v>Male</v>
      </c>
      <c r="E808" s="6" t="s">
        <v>1662</v>
      </c>
      <c r="F808" cm="1">
        <f t="array" ref="F808:I808">VLOOKUP(E808,CHOOSE({1,2,3,4,5},'Main Data'!A805:A1804,'Main Data'!B805:B1804,'Main Data'!C805:C1804,'Main Data'!M805:M1804,'Main Data'!N805:N1804),{2,3,4,5},0)</f>
        <v>45</v>
      </c>
      <c r="G808" t="str">
        <v>Male</v>
      </c>
      <c r="H808" t="str">
        <v>UAE</v>
      </c>
      <c r="I808">
        <v>1.04</v>
      </c>
      <c r="L808" s="6" t="s">
        <v>1662</v>
      </c>
      <c r="M808" t="str" cm="1">
        <f t="array" ref="M808:O808">INDEX('Main Data'!A805:O1804,MATCH(L808,'Main Data'!A805:A1804,0),{3,7,14})</f>
        <v>Male</v>
      </c>
      <c r="N808">
        <v>77713.69</v>
      </c>
      <c r="O808">
        <v>1.04</v>
      </c>
    </row>
    <row r="809" spans="1:15" x14ac:dyDescent="0.3">
      <c r="A809" s="6" t="s">
        <v>1664</v>
      </c>
      <c r="B809" cm="1">
        <f t="array" ref="B809:C809">_xlfn.XLOOKUP(A809,'Main Data'!A806:A1805,'Main Data'!B806:C1805,"Data Not Found",0)</f>
        <v>36</v>
      </c>
      <c r="C809" t="str">
        <v>Other</v>
      </c>
      <c r="E809" s="6" t="s">
        <v>1664</v>
      </c>
      <c r="F809" cm="1">
        <f t="array" ref="F809:I809">VLOOKUP(E809,CHOOSE({1,2,3,4,5},'Main Data'!A806:A1805,'Main Data'!B806:B1805,'Main Data'!C806:C1805,'Main Data'!M806:M1805,'Main Data'!N806:N1805),{2,3,4,5},0)</f>
        <v>36</v>
      </c>
      <c r="G809" t="str">
        <v>Other</v>
      </c>
      <c r="H809" t="str">
        <v>Japan</v>
      </c>
      <c r="I809">
        <v>2.89</v>
      </c>
      <c r="L809" s="6" t="s">
        <v>1664</v>
      </c>
      <c r="M809" t="str" cm="1">
        <f t="array" ref="M809:O809">INDEX('Main Data'!A806:O1805,MATCH(L809,'Main Data'!A806:A1805,0),{3,7,14})</f>
        <v>Other</v>
      </c>
      <c r="N809">
        <v>125341.25</v>
      </c>
      <c r="O809">
        <v>2.89</v>
      </c>
    </row>
    <row r="810" spans="1:15" x14ac:dyDescent="0.3">
      <c r="A810" s="6" t="s">
        <v>1666</v>
      </c>
      <c r="B810" cm="1">
        <f t="array" ref="B810:C810">_xlfn.XLOOKUP(A810,'Main Data'!A807:A1806,'Main Data'!B807:C1806,"Data Not Found",0)</f>
        <v>61</v>
      </c>
      <c r="C810" t="str">
        <v>Other</v>
      </c>
      <c r="E810" s="6" t="s">
        <v>1666</v>
      </c>
      <c r="F810" cm="1">
        <f t="array" ref="F810:I810">VLOOKUP(E810,CHOOSE({1,2,3,4,5},'Main Data'!A807:A1806,'Main Data'!B807:B1806,'Main Data'!C807:C1806,'Main Data'!M807:M1806,'Main Data'!N807:N1806),{2,3,4,5},0)</f>
        <v>61</v>
      </c>
      <c r="G810" t="str">
        <v>Other</v>
      </c>
      <c r="H810" t="str">
        <v>USA</v>
      </c>
      <c r="I810">
        <v>2.04</v>
      </c>
      <c r="L810" s="6" t="s">
        <v>1666</v>
      </c>
      <c r="M810" t="str" cm="1">
        <f t="array" ref="M810:O810">INDEX('Main Data'!A807:O1806,MATCH(L810,'Main Data'!A807:A1806,0),{3,7,14})</f>
        <v>Other</v>
      </c>
      <c r="N810">
        <v>158181.76000000001</v>
      </c>
      <c r="O810">
        <v>2.04</v>
      </c>
    </row>
    <row r="811" spans="1:15" x14ac:dyDescent="0.3">
      <c r="A811" s="6" t="s">
        <v>1668</v>
      </c>
      <c r="B811" cm="1">
        <f t="array" ref="B811:C811">_xlfn.XLOOKUP(A811,'Main Data'!A808:A1807,'Main Data'!B808:C1807,"Data Not Found",0)</f>
        <v>52</v>
      </c>
      <c r="C811" t="str">
        <v>Female</v>
      </c>
      <c r="E811" s="6" t="s">
        <v>1668</v>
      </c>
      <c r="F811" cm="1">
        <f t="array" ref="F811:I811">VLOOKUP(E811,CHOOSE({1,2,3,4,5},'Main Data'!A808:A1807,'Main Data'!B808:B1807,'Main Data'!C808:C1807,'Main Data'!M808:M1807,'Main Data'!N808:N1807),{2,3,4,5},0)</f>
        <v>52</v>
      </c>
      <c r="G811" t="str">
        <v>Female</v>
      </c>
      <c r="H811" t="str">
        <v>France</v>
      </c>
      <c r="I811">
        <v>2.7</v>
      </c>
      <c r="L811" s="6" t="s">
        <v>1668</v>
      </c>
      <c r="M811" t="str" cm="1">
        <f t="array" ref="M811:O811">INDEX('Main Data'!A808:O1807,MATCH(L811,'Main Data'!A808:A1807,0),{3,7,14})</f>
        <v>Female</v>
      </c>
      <c r="N811">
        <v>162964.46</v>
      </c>
      <c r="O811">
        <v>2.7</v>
      </c>
    </row>
    <row r="812" spans="1:15" x14ac:dyDescent="0.3">
      <c r="A812" s="6" t="s">
        <v>1670</v>
      </c>
      <c r="B812" cm="1">
        <f t="array" ref="B812:C812">_xlfn.XLOOKUP(A812,'Main Data'!A809:A1808,'Main Data'!B809:C1808,"Data Not Found",0)</f>
        <v>48</v>
      </c>
      <c r="C812" t="str">
        <v>Male</v>
      </c>
      <c r="E812" s="6" t="s">
        <v>1670</v>
      </c>
      <c r="F812" cm="1">
        <f t="array" ref="F812:I812">VLOOKUP(E812,CHOOSE({1,2,3,4,5},'Main Data'!A809:A1808,'Main Data'!B809:B1808,'Main Data'!C809:C1808,'Main Data'!M809:M1808,'Main Data'!N809:N1808),{2,3,4,5},0)</f>
        <v>48</v>
      </c>
      <c r="G812" t="str">
        <v>Male</v>
      </c>
      <c r="H812" t="str">
        <v>UK</v>
      </c>
      <c r="I812">
        <v>4.93</v>
      </c>
      <c r="L812" s="6" t="s">
        <v>1670</v>
      </c>
      <c r="M812" t="str" cm="1">
        <f t="array" ref="M812:O812">INDEX('Main Data'!A809:O1808,MATCH(L812,'Main Data'!A809:A1808,0),{3,7,14})</f>
        <v>Male</v>
      </c>
      <c r="N812">
        <v>112839.82</v>
      </c>
      <c r="O812">
        <v>4.93</v>
      </c>
    </row>
    <row r="813" spans="1:15" x14ac:dyDescent="0.3">
      <c r="A813" s="6" t="s">
        <v>1672</v>
      </c>
      <c r="B813" cm="1">
        <f t="array" ref="B813:C813">_xlfn.XLOOKUP(A813,'Main Data'!A810:A1809,'Main Data'!B810:C1809,"Data Not Found",0)</f>
        <v>56</v>
      </c>
      <c r="C813" t="str">
        <v>Male</v>
      </c>
      <c r="E813" s="6" t="s">
        <v>1672</v>
      </c>
      <c r="F813" cm="1">
        <f t="array" ref="F813:I813">VLOOKUP(E813,CHOOSE({1,2,3,4,5},'Main Data'!A810:A1809,'Main Data'!B810:B1809,'Main Data'!C810:C1809,'Main Data'!M810:M1809,'Main Data'!N810:N1809),{2,3,4,5},0)</f>
        <v>56</v>
      </c>
      <c r="G813" t="str">
        <v>Male</v>
      </c>
      <c r="H813" t="str">
        <v>UAE</v>
      </c>
      <c r="I813">
        <v>4.7300000000000004</v>
      </c>
      <c r="L813" s="6" t="s">
        <v>1672</v>
      </c>
      <c r="M813" t="str" cm="1">
        <f t="array" ref="M813:O813">INDEX('Main Data'!A810:O1809,MATCH(L813,'Main Data'!A810:A1809,0),{3,7,14})</f>
        <v>Male</v>
      </c>
      <c r="N813">
        <v>141230.51999999999</v>
      </c>
      <c r="O813">
        <v>4.7300000000000004</v>
      </c>
    </row>
    <row r="814" spans="1:15" x14ac:dyDescent="0.3">
      <c r="A814" s="6" t="s">
        <v>1674</v>
      </c>
      <c r="B814" cm="1">
        <f t="array" ref="B814:C814">_xlfn.XLOOKUP(A814,'Main Data'!A811:A1810,'Main Data'!B811:C1810,"Data Not Found",0)</f>
        <v>39</v>
      </c>
      <c r="C814" t="str">
        <v>Female</v>
      </c>
      <c r="E814" s="6" t="s">
        <v>1674</v>
      </c>
      <c r="F814" cm="1">
        <f t="array" ref="F814:I814">VLOOKUP(E814,CHOOSE({1,2,3,4,5},'Main Data'!A811:A1810,'Main Data'!B811:B1810,'Main Data'!C811:C1810,'Main Data'!M811:M1810,'Main Data'!N811:N1810),{2,3,4,5},0)</f>
        <v>39</v>
      </c>
      <c r="G814" t="str">
        <v>Female</v>
      </c>
      <c r="H814" t="str">
        <v>Japan</v>
      </c>
      <c r="I814">
        <v>2.4500000000000002</v>
      </c>
      <c r="L814" s="6" t="s">
        <v>1674</v>
      </c>
      <c r="M814" t="str" cm="1">
        <f t="array" ref="M814:O814">INDEX('Main Data'!A811:O1810,MATCH(L814,'Main Data'!A811:A1810,0),{3,7,14})</f>
        <v>Female</v>
      </c>
      <c r="N814">
        <v>198982.61</v>
      </c>
      <c r="O814">
        <v>2.4500000000000002</v>
      </c>
    </row>
    <row r="815" spans="1:15" x14ac:dyDescent="0.3">
      <c r="A815" s="6" t="s">
        <v>1676</v>
      </c>
      <c r="B815" cm="1">
        <f t="array" ref="B815:C815">_xlfn.XLOOKUP(A815,'Main Data'!A812:A1811,'Main Data'!B812:C1811,"Data Not Found",0)</f>
        <v>57</v>
      </c>
      <c r="C815" t="str">
        <v>Other</v>
      </c>
      <c r="E815" s="6" t="s">
        <v>1676</v>
      </c>
      <c r="F815" cm="1">
        <f t="array" ref="F815:I815">VLOOKUP(E815,CHOOSE({1,2,3,4,5},'Main Data'!A812:A1811,'Main Data'!B812:B1811,'Main Data'!C812:C1811,'Main Data'!M812:M1811,'Main Data'!N812:N1811),{2,3,4,5},0)</f>
        <v>57</v>
      </c>
      <c r="G815" t="str">
        <v>Other</v>
      </c>
      <c r="H815" t="str">
        <v>USA</v>
      </c>
      <c r="I815">
        <v>3.75</v>
      </c>
      <c r="L815" s="6" t="s">
        <v>1676</v>
      </c>
      <c r="M815" t="str" cm="1">
        <f t="array" ref="M815:O815">INDEX('Main Data'!A812:O1811,MATCH(L815,'Main Data'!A812:A1811,0),{3,7,14})</f>
        <v>Other</v>
      </c>
      <c r="N815">
        <v>100783.52</v>
      </c>
      <c r="O815">
        <v>3.75</v>
      </c>
    </row>
    <row r="816" spans="1:15" x14ac:dyDescent="0.3">
      <c r="A816" s="6" t="s">
        <v>1678</v>
      </c>
      <c r="B816" cm="1">
        <f t="array" ref="B816:C816">_xlfn.XLOOKUP(A816,'Main Data'!A813:A1812,'Main Data'!B813:C1812,"Data Not Found",0)</f>
        <v>29</v>
      </c>
      <c r="C816" t="str">
        <v>Female</v>
      </c>
      <c r="E816" s="6" t="s">
        <v>1678</v>
      </c>
      <c r="F816" cm="1">
        <f t="array" ref="F816:I816">VLOOKUP(E816,CHOOSE({1,2,3,4,5},'Main Data'!A813:A1812,'Main Data'!B813:B1812,'Main Data'!C813:C1812,'Main Data'!M813:M1812,'Main Data'!N813:N1812),{2,3,4,5},0)</f>
        <v>29</v>
      </c>
      <c r="G816" t="str">
        <v>Female</v>
      </c>
      <c r="H816" t="str">
        <v>France</v>
      </c>
      <c r="I816">
        <v>2.34</v>
      </c>
      <c r="L816" s="6" t="s">
        <v>1678</v>
      </c>
      <c r="M816" t="str" cm="1">
        <f t="array" ref="M816:O816">INDEX('Main Data'!A813:O1812,MATCH(L816,'Main Data'!A813:A1812,0),{3,7,14})</f>
        <v>Female</v>
      </c>
      <c r="N816">
        <v>66625.66</v>
      </c>
      <c r="O816">
        <v>2.34</v>
      </c>
    </row>
    <row r="817" spans="1:15" x14ac:dyDescent="0.3">
      <c r="A817" s="6" t="s">
        <v>1680</v>
      </c>
      <c r="B817" cm="1">
        <f t="array" ref="B817:C817">_xlfn.XLOOKUP(A817,'Main Data'!A814:A1813,'Main Data'!B814:C1813,"Data Not Found",0)</f>
        <v>59</v>
      </c>
      <c r="C817" t="str">
        <v>Female</v>
      </c>
      <c r="E817" s="6" t="s">
        <v>1680</v>
      </c>
      <c r="F817" cm="1">
        <f t="array" ref="F817:I817">VLOOKUP(E817,CHOOSE({1,2,3,4,5},'Main Data'!A814:A1813,'Main Data'!B814:B1813,'Main Data'!C814:C1813,'Main Data'!M814:M1813,'Main Data'!N814:N1813),{2,3,4,5},0)</f>
        <v>59</v>
      </c>
      <c r="G817" t="str">
        <v>Female</v>
      </c>
      <c r="H817" t="str">
        <v>UK</v>
      </c>
      <c r="I817">
        <v>2.65</v>
      </c>
      <c r="L817" s="6" t="s">
        <v>1680</v>
      </c>
      <c r="M817" t="str" cm="1">
        <f t="array" ref="M817:O817">INDEX('Main Data'!A814:O1813,MATCH(L817,'Main Data'!A814:A1813,0),{3,7,14})</f>
        <v>Female</v>
      </c>
      <c r="N817">
        <v>71166.95</v>
      </c>
      <c r="O817">
        <v>2.65</v>
      </c>
    </row>
    <row r="818" spans="1:15" x14ac:dyDescent="0.3">
      <c r="A818" s="6" t="s">
        <v>1682</v>
      </c>
      <c r="B818" cm="1">
        <f t="array" ref="B818:C818">_xlfn.XLOOKUP(A818,'Main Data'!A815:A1814,'Main Data'!B815:C1814,"Data Not Found",0)</f>
        <v>26</v>
      </c>
      <c r="C818" t="str">
        <v>Female</v>
      </c>
      <c r="E818" s="6" t="s">
        <v>1682</v>
      </c>
      <c r="F818" cm="1">
        <f t="array" ref="F818:I818">VLOOKUP(E818,CHOOSE({1,2,3,4,5},'Main Data'!A815:A1814,'Main Data'!B815:B1814,'Main Data'!C815:C1814,'Main Data'!M815:M1814,'Main Data'!N815:N1814),{2,3,4,5},0)</f>
        <v>26</v>
      </c>
      <c r="G818" t="str">
        <v>Female</v>
      </c>
      <c r="H818" t="str">
        <v>UAE</v>
      </c>
      <c r="I818">
        <v>1.23</v>
      </c>
      <c r="L818" s="6" t="s">
        <v>1682</v>
      </c>
      <c r="M818" t="str" cm="1">
        <f t="array" ref="M818:O818">INDEX('Main Data'!A815:O1814,MATCH(L818,'Main Data'!A815:A1814,0),{3,7,14})</f>
        <v>Female</v>
      </c>
      <c r="N818">
        <v>171161.69</v>
      </c>
      <c r="O818">
        <v>1.23</v>
      </c>
    </row>
    <row r="819" spans="1:15" x14ac:dyDescent="0.3">
      <c r="A819" s="6" t="s">
        <v>1684</v>
      </c>
      <c r="B819" cm="1">
        <f t="array" ref="B819:C819">_xlfn.XLOOKUP(A819,'Main Data'!A816:A1815,'Main Data'!B816:C1815,"Data Not Found",0)</f>
        <v>35</v>
      </c>
      <c r="C819" t="str">
        <v>Other</v>
      </c>
      <c r="E819" s="6" t="s">
        <v>1684</v>
      </c>
      <c r="F819" cm="1">
        <f t="array" ref="F819:I819">VLOOKUP(E819,CHOOSE({1,2,3,4,5},'Main Data'!A816:A1815,'Main Data'!B816:B1815,'Main Data'!C816:C1815,'Main Data'!M816:M1815,'Main Data'!N816:N1815),{2,3,4,5},0)</f>
        <v>35</v>
      </c>
      <c r="G819" t="str">
        <v>Other</v>
      </c>
      <c r="H819" t="str">
        <v>Japan</v>
      </c>
      <c r="I819">
        <v>1.52</v>
      </c>
      <c r="L819" s="6" t="s">
        <v>1684</v>
      </c>
      <c r="M819" t="str" cm="1">
        <f t="array" ref="M819:O819">INDEX('Main Data'!A816:O1815,MATCH(L819,'Main Data'!A816:A1815,0),{3,7,14})</f>
        <v>Other</v>
      </c>
      <c r="N819">
        <v>145790.29999999999</v>
      </c>
      <c r="O819">
        <v>1.52</v>
      </c>
    </row>
    <row r="820" spans="1:15" x14ac:dyDescent="0.3">
      <c r="A820" s="6" t="s">
        <v>1686</v>
      </c>
      <c r="B820" cm="1">
        <f t="array" ref="B820:C820">_xlfn.XLOOKUP(A820,'Main Data'!A817:A1816,'Main Data'!B817:C1816,"Data Not Found",0)</f>
        <v>59</v>
      </c>
      <c r="C820" t="str">
        <v>Female</v>
      </c>
      <c r="E820" s="6" t="s">
        <v>1686</v>
      </c>
      <c r="F820" cm="1">
        <f t="array" ref="F820:I820">VLOOKUP(E820,CHOOSE({1,2,3,4,5},'Main Data'!A817:A1816,'Main Data'!B817:B1816,'Main Data'!C817:C1816,'Main Data'!M817:M1816,'Main Data'!N817:N1816),{2,3,4,5},0)</f>
        <v>59</v>
      </c>
      <c r="G820" t="str">
        <v>Female</v>
      </c>
      <c r="H820" t="str">
        <v>USA</v>
      </c>
      <c r="I820">
        <v>4.07</v>
      </c>
      <c r="L820" s="6" t="s">
        <v>1686</v>
      </c>
      <c r="M820" t="str" cm="1">
        <f t="array" ref="M820:O820">INDEX('Main Data'!A817:O1816,MATCH(L820,'Main Data'!A817:A1816,0),{3,7,14})</f>
        <v>Female</v>
      </c>
      <c r="N820">
        <v>104991.42</v>
      </c>
      <c r="O820">
        <v>4.07</v>
      </c>
    </row>
    <row r="821" spans="1:15" x14ac:dyDescent="0.3">
      <c r="A821" s="6" t="s">
        <v>1688</v>
      </c>
      <c r="B821" cm="1">
        <f t="array" ref="B821:C821">_xlfn.XLOOKUP(A821,'Main Data'!A818:A1817,'Main Data'!B818:C1817,"Data Not Found",0)</f>
        <v>41</v>
      </c>
      <c r="C821" t="str">
        <v>Male</v>
      </c>
      <c r="E821" s="6" t="s">
        <v>1688</v>
      </c>
      <c r="F821" cm="1">
        <f t="array" ref="F821:I821">VLOOKUP(E821,CHOOSE({1,2,3,4,5},'Main Data'!A818:A1817,'Main Data'!B818:B1817,'Main Data'!C818:C1817,'Main Data'!M818:M1817,'Main Data'!N818:N1817),{2,3,4,5},0)</f>
        <v>41</v>
      </c>
      <c r="G821" t="str">
        <v>Male</v>
      </c>
      <c r="H821" t="str">
        <v>France</v>
      </c>
      <c r="I821">
        <v>4.8899999999999997</v>
      </c>
      <c r="L821" s="6" t="s">
        <v>1688</v>
      </c>
      <c r="M821" t="str" cm="1">
        <f t="array" ref="M821:O821">INDEX('Main Data'!A818:O1817,MATCH(L821,'Main Data'!A818:A1817,0),{3,7,14})</f>
        <v>Male</v>
      </c>
      <c r="N821">
        <v>57932.82</v>
      </c>
      <c r="O821">
        <v>4.8899999999999997</v>
      </c>
    </row>
    <row r="822" spans="1:15" x14ac:dyDescent="0.3">
      <c r="A822" s="6" t="s">
        <v>1690</v>
      </c>
      <c r="B822" cm="1">
        <f t="array" ref="B822:C822">_xlfn.XLOOKUP(A822,'Main Data'!A819:A1818,'Main Data'!B819:C1818,"Data Not Found",0)</f>
        <v>30</v>
      </c>
      <c r="C822" t="str">
        <v>Other</v>
      </c>
      <c r="E822" s="6" t="s">
        <v>1690</v>
      </c>
      <c r="F822" cm="1">
        <f t="array" ref="F822:I822">VLOOKUP(E822,CHOOSE({1,2,3,4,5},'Main Data'!A819:A1818,'Main Data'!B819:B1818,'Main Data'!C819:C1818,'Main Data'!M819:M1818,'Main Data'!N819:N1818),{2,3,4,5},0)</f>
        <v>30</v>
      </c>
      <c r="G822" t="str">
        <v>Other</v>
      </c>
      <c r="H822" t="str">
        <v>UK</v>
      </c>
      <c r="I822">
        <v>4.08</v>
      </c>
      <c r="L822" s="6" t="s">
        <v>1690</v>
      </c>
      <c r="M822" t="str" cm="1">
        <f t="array" ref="M822:O822">INDEX('Main Data'!A819:O1818,MATCH(L822,'Main Data'!A819:A1818,0),{3,7,14})</f>
        <v>Other</v>
      </c>
      <c r="N822">
        <v>64660.35</v>
      </c>
      <c r="O822">
        <v>4.08</v>
      </c>
    </row>
    <row r="823" spans="1:15" x14ac:dyDescent="0.3">
      <c r="A823" s="6" t="s">
        <v>1692</v>
      </c>
      <c r="B823" cm="1">
        <f t="array" ref="B823:C823">_xlfn.XLOOKUP(A823,'Main Data'!A820:A1819,'Main Data'!B820:C1819,"Data Not Found",0)</f>
        <v>54</v>
      </c>
      <c r="C823" t="str">
        <v>Female</v>
      </c>
      <c r="E823" s="6" t="s">
        <v>1692</v>
      </c>
      <c r="F823" cm="1">
        <f t="array" ref="F823:I823">VLOOKUP(E823,CHOOSE({1,2,3,4,5},'Main Data'!A820:A1819,'Main Data'!B820:B1819,'Main Data'!C820:C1819,'Main Data'!M820:M1819,'Main Data'!N820:N1819),{2,3,4,5},0)</f>
        <v>54</v>
      </c>
      <c r="G823" t="str">
        <v>Female</v>
      </c>
      <c r="H823" t="str">
        <v>UAE</v>
      </c>
      <c r="I823">
        <v>4.67</v>
      </c>
      <c r="L823" s="6" t="s">
        <v>1692</v>
      </c>
      <c r="M823" t="str" cm="1">
        <f t="array" ref="M823:O823">INDEX('Main Data'!A820:O1819,MATCH(L823,'Main Data'!A820:A1819,0),{3,7,14})</f>
        <v>Female</v>
      </c>
      <c r="N823">
        <v>136928.73000000001</v>
      </c>
      <c r="O823">
        <v>4.67</v>
      </c>
    </row>
    <row r="824" spans="1:15" x14ac:dyDescent="0.3">
      <c r="A824" s="6" t="s">
        <v>1694</v>
      </c>
      <c r="B824" cm="1">
        <f t="array" ref="B824:C824">_xlfn.XLOOKUP(A824,'Main Data'!A821:A1820,'Main Data'!B821:C1820,"Data Not Found",0)</f>
        <v>39</v>
      </c>
      <c r="C824" t="str">
        <v>Female</v>
      </c>
      <c r="E824" s="6" t="s">
        <v>1694</v>
      </c>
      <c r="F824" cm="1">
        <f t="array" ref="F824:I824">VLOOKUP(E824,CHOOSE({1,2,3,4,5},'Main Data'!A821:A1820,'Main Data'!B821:B1820,'Main Data'!C821:C1820,'Main Data'!M821:M1820,'Main Data'!N821:N1820),{2,3,4,5},0)</f>
        <v>39</v>
      </c>
      <c r="G824" t="str">
        <v>Female</v>
      </c>
      <c r="H824" t="str">
        <v>Japan</v>
      </c>
      <c r="I824">
        <v>2.2400000000000002</v>
      </c>
      <c r="L824" s="6" t="s">
        <v>1694</v>
      </c>
      <c r="M824" t="str" cm="1">
        <f t="array" ref="M824:O824">INDEX('Main Data'!A821:O1820,MATCH(L824,'Main Data'!A821:A1820,0),{3,7,14})</f>
        <v>Female</v>
      </c>
      <c r="N824">
        <v>135534.20000000001</v>
      </c>
      <c r="O824">
        <v>2.2400000000000002</v>
      </c>
    </row>
    <row r="825" spans="1:15" x14ac:dyDescent="0.3">
      <c r="A825" s="6" t="s">
        <v>1696</v>
      </c>
      <c r="B825" cm="1">
        <f t="array" ref="B825:C825">_xlfn.XLOOKUP(A825,'Main Data'!A822:A1821,'Main Data'!B822:C1821,"Data Not Found",0)</f>
        <v>27</v>
      </c>
      <c r="C825" t="str">
        <v>Female</v>
      </c>
      <c r="E825" s="6" t="s">
        <v>1696</v>
      </c>
      <c r="F825" cm="1">
        <f t="array" ref="F825:I825">VLOOKUP(E825,CHOOSE({1,2,3,4,5},'Main Data'!A822:A1821,'Main Data'!B822:B1821,'Main Data'!C822:C1821,'Main Data'!M822:M1821,'Main Data'!N822:N1821),{2,3,4,5},0)</f>
        <v>27</v>
      </c>
      <c r="G825" t="str">
        <v>Female</v>
      </c>
      <c r="H825" t="str">
        <v>USA</v>
      </c>
      <c r="I825">
        <v>2.5</v>
      </c>
      <c r="L825" s="6" t="s">
        <v>1696</v>
      </c>
      <c r="M825" t="str" cm="1">
        <f t="array" ref="M825:O825">INDEX('Main Data'!A822:O1821,MATCH(L825,'Main Data'!A822:A1821,0),{3,7,14})</f>
        <v>Female</v>
      </c>
      <c r="N825">
        <v>133844.43</v>
      </c>
      <c r="O825">
        <v>2.5</v>
      </c>
    </row>
    <row r="826" spans="1:15" x14ac:dyDescent="0.3">
      <c r="A826" s="6" t="s">
        <v>1698</v>
      </c>
      <c r="B826" cm="1">
        <f t="array" ref="B826:C826">_xlfn.XLOOKUP(A826,'Main Data'!A823:A1822,'Main Data'!B823:C1822,"Data Not Found",0)</f>
        <v>58</v>
      </c>
      <c r="C826" t="str">
        <v>Female</v>
      </c>
      <c r="E826" s="6" t="s">
        <v>1698</v>
      </c>
      <c r="F826" cm="1">
        <f t="array" ref="F826:I826">VLOOKUP(E826,CHOOSE({1,2,3,4,5},'Main Data'!A823:A1822,'Main Data'!B823:B1822,'Main Data'!C823:C1822,'Main Data'!M823:M1822,'Main Data'!N823:N1822),{2,3,4,5},0)</f>
        <v>58</v>
      </c>
      <c r="G826" t="str">
        <v>Female</v>
      </c>
      <c r="H826" t="str">
        <v>France</v>
      </c>
      <c r="I826">
        <v>1.23</v>
      </c>
      <c r="L826" s="6" t="s">
        <v>1698</v>
      </c>
      <c r="M826" t="str" cm="1">
        <f t="array" ref="M826:O826">INDEX('Main Data'!A823:O1822,MATCH(L826,'Main Data'!A823:A1822,0),{3,7,14})</f>
        <v>Female</v>
      </c>
      <c r="N826">
        <v>152259.98000000001</v>
      </c>
      <c r="O826">
        <v>1.23</v>
      </c>
    </row>
    <row r="827" spans="1:15" x14ac:dyDescent="0.3">
      <c r="A827" s="6" t="s">
        <v>1700</v>
      </c>
      <c r="B827" cm="1">
        <f t="array" ref="B827:C827">_xlfn.XLOOKUP(A827,'Main Data'!A824:A1823,'Main Data'!B824:C1823,"Data Not Found",0)</f>
        <v>23</v>
      </c>
      <c r="C827" t="str">
        <v>Female</v>
      </c>
      <c r="E827" s="6" t="s">
        <v>1700</v>
      </c>
      <c r="F827" cm="1">
        <f t="array" ref="F827:I827">VLOOKUP(E827,CHOOSE({1,2,3,4,5},'Main Data'!A824:A1823,'Main Data'!B824:B1823,'Main Data'!C824:C1823,'Main Data'!M824:M1823,'Main Data'!N824:N1823),{2,3,4,5},0)</f>
        <v>23</v>
      </c>
      <c r="G827" t="str">
        <v>Female</v>
      </c>
      <c r="H827" t="str">
        <v>UK</v>
      </c>
      <c r="I827">
        <v>1.23</v>
      </c>
      <c r="L827" s="6" t="s">
        <v>1700</v>
      </c>
      <c r="M827" t="str" cm="1">
        <f t="array" ref="M827:O827">INDEX('Main Data'!A824:O1823,MATCH(L827,'Main Data'!A824:A1823,0),{3,7,14})</f>
        <v>Female</v>
      </c>
      <c r="N827">
        <v>178040.22</v>
      </c>
      <c r="O827">
        <v>1.23</v>
      </c>
    </row>
    <row r="828" spans="1:15" x14ac:dyDescent="0.3">
      <c r="A828" s="6" t="s">
        <v>1702</v>
      </c>
      <c r="B828" cm="1">
        <f t="array" ref="B828:C828">_xlfn.XLOOKUP(A828,'Main Data'!A825:A1824,'Main Data'!B825:C1824,"Data Not Found",0)</f>
        <v>51</v>
      </c>
      <c r="C828" t="str">
        <v>Female</v>
      </c>
      <c r="E828" s="6" t="s">
        <v>1702</v>
      </c>
      <c r="F828" cm="1">
        <f t="array" ref="F828:I828">VLOOKUP(E828,CHOOSE({1,2,3,4,5},'Main Data'!A825:A1824,'Main Data'!B825:B1824,'Main Data'!C825:C1824,'Main Data'!M825:M1824,'Main Data'!N825:N1824),{2,3,4,5},0)</f>
        <v>51</v>
      </c>
      <c r="G828" t="str">
        <v>Female</v>
      </c>
      <c r="H828" t="str">
        <v>UAE</v>
      </c>
      <c r="I828">
        <v>4.8099999999999996</v>
      </c>
      <c r="L828" s="6" t="s">
        <v>1702</v>
      </c>
      <c r="M828" t="str" cm="1">
        <f t="array" ref="M828:O828">INDEX('Main Data'!A825:O1824,MATCH(L828,'Main Data'!A825:A1824,0),{3,7,14})</f>
        <v>Female</v>
      </c>
      <c r="N828">
        <v>131249.35</v>
      </c>
      <c r="O828">
        <v>4.8099999999999996</v>
      </c>
    </row>
    <row r="829" spans="1:15" x14ac:dyDescent="0.3">
      <c r="A829" s="6" t="s">
        <v>1704</v>
      </c>
      <c r="B829" cm="1">
        <f t="array" ref="B829:C829">_xlfn.XLOOKUP(A829,'Main Data'!A826:A1825,'Main Data'!B826:C1825,"Data Not Found",0)</f>
        <v>27</v>
      </c>
      <c r="C829" t="str">
        <v>Male</v>
      </c>
      <c r="E829" s="6" t="s">
        <v>1704</v>
      </c>
      <c r="F829" cm="1">
        <f t="array" ref="F829:I829">VLOOKUP(E829,CHOOSE({1,2,3,4,5},'Main Data'!A826:A1825,'Main Data'!B826:B1825,'Main Data'!C826:C1825,'Main Data'!M826:M1825,'Main Data'!N826:N1825),{2,3,4,5},0)</f>
        <v>27</v>
      </c>
      <c r="G829" t="str">
        <v>Male</v>
      </c>
      <c r="H829" t="str">
        <v>Japan</v>
      </c>
      <c r="I829">
        <v>1.86</v>
      </c>
      <c r="L829" s="6" t="s">
        <v>1704</v>
      </c>
      <c r="M829" t="str" cm="1">
        <f t="array" ref="M829:O829">INDEX('Main Data'!A826:O1825,MATCH(L829,'Main Data'!A826:A1825,0),{3,7,14})</f>
        <v>Male</v>
      </c>
      <c r="N829">
        <v>120444.94</v>
      </c>
      <c r="O829">
        <v>1.86</v>
      </c>
    </row>
    <row r="830" spans="1:15" x14ac:dyDescent="0.3">
      <c r="A830" s="6" t="s">
        <v>1706</v>
      </c>
      <c r="B830" cm="1">
        <f t="array" ref="B830:C830">_xlfn.XLOOKUP(A830,'Main Data'!A827:A1826,'Main Data'!B827:C1826,"Data Not Found",0)</f>
        <v>38</v>
      </c>
      <c r="C830" t="str">
        <v>Other</v>
      </c>
      <c r="E830" s="6" t="s">
        <v>1706</v>
      </c>
      <c r="F830" cm="1">
        <f t="array" ref="F830:I830">VLOOKUP(E830,CHOOSE({1,2,3,4,5},'Main Data'!A827:A1826,'Main Data'!B827:B1826,'Main Data'!C827:C1826,'Main Data'!M827:M1826,'Main Data'!N827:N1826),{2,3,4,5},0)</f>
        <v>38</v>
      </c>
      <c r="G830" t="str">
        <v>Other</v>
      </c>
      <c r="H830" t="str">
        <v>USA</v>
      </c>
      <c r="I830">
        <v>1.91</v>
      </c>
      <c r="L830" s="6" t="s">
        <v>1706</v>
      </c>
      <c r="M830" t="str" cm="1">
        <f t="array" ref="M830:O830">INDEX('Main Data'!A827:O1826,MATCH(L830,'Main Data'!A827:A1826,0),{3,7,14})</f>
        <v>Other</v>
      </c>
      <c r="N830">
        <v>183281.73</v>
      </c>
      <c r="O830">
        <v>1.91</v>
      </c>
    </row>
    <row r="831" spans="1:15" x14ac:dyDescent="0.3">
      <c r="A831" s="6" t="s">
        <v>1708</v>
      </c>
      <c r="B831" cm="1">
        <f t="array" ref="B831:C831">_xlfn.XLOOKUP(A831,'Main Data'!A828:A1827,'Main Data'!B828:C1827,"Data Not Found",0)</f>
        <v>60</v>
      </c>
      <c r="C831" t="str">
        <v>Male</v>
      </c>
      <c r="E831" s="6" t="s">
        <v>1708</v>
      </c>
      <c r="F831" cm="1">
        <f t="array" ref="F831:I831">VLOOKUP(E831,CHOOSE({1,2,3,4,5},'Main Data'!A828:A1827,'Main Data'!B828:B1827,'Main Data'!C828:C1827,'Main Data'!M828:M1827,'Main Data'!N828:N1827),{2,3,4,5},0)</f>
        <v>60</v>
      </c>
      <c r="G831" t="str">
        <v>Male</v>
      </c>
      <c r="H831" t="str">
        <v>France</v>
      </c>
      <c r="I831">
        <v>2.0699999999999998</v>
      </c>
      <c r="L831" s="6" t="s">
        <v>1708</v>
      </c>
      <c r="M831" t="str" cm="1">
        <f t="array" ref="M831:O831">INDEX('Main Data'!A828:O1827,MATCH(L831,'Main Data'!A828:A1827,0),{3,7,14})</f>
        <v>Male</v>
      </c>
      <c r="N831">
        <v>168358.21</v>
      </c>
      <c r="O831">
        <v>2.0699999999999998</v>
      </c>
    </row>
    <row r="832" spans="1:15" x14ac:dyDescent="0.3">
      <c r="A832" s="6" t="s">
        <v>1710</v>
      </c>
      <c r="B832" cm="1">
        <f t="array" ref="B832:C832">_xlfn.XLOOKUP(A832,'Main Data'!A829:A1828,'Main Data'!B829:C1828,"Data Not Found",0)</f>
        <v>62</v>
      </c>
      <c r="C832" t="str">
        <v>Female</v>
      </c>
      <c r="E832" s="6" t="s">
        <v>1710</v>
      </c>
      <c r="F832" cm="1">
        <f t="array" ref="F832:I832">VLOOKUP(E832,CHOOSE({1,2,3,4,5},'Main Data'!A829:A1828,'Main Data'!B829:B1828,'Main Data'!C829:C1828,'Main Data'!M829:M1828,'Main Data'!N829:N1828),{2,3,4,5},0)</f>
        <v>62</v>
      </c>
      <c r="G832" t="str">
        <v>Female</v>
      </c>
      <c r="H832" t="str">
        <v>UK</v>
      </c>
      <c r="I832">
        <v>2.2400000000000002</v>
      </c>
      <c r="L832" s="6" t="s">
        <v>1710</v>
      </c>
      <c r="M832" t="str" cm="1">
        <f t="array" ref="M832:O832">INDEX('Main Data'!A829:O1828,MATCH(L832,'Main Data'!A829:A1828,0),{3,7,14})</f>
        <v>Female</v>
      </c>
      <c r="N832">
        <v>126325.16</v>
      </c>
      <c r="O832">
        <v>2.2400000000000002</v>
      </c>
    </row>
    <row r="833" spans="1:15" x14ac:dyDescent="0.3">
      <c r="A833" s="6" t="s">
        <v>1712</v>
      </c>
      <c r="B833" cm="1">
        <f t="array" ref="B833:C833">_xlfn.XLOOKUP(A833,'Main Data'!A830:A1829,'Main Data'!B830:C1829,"Data Not Found",0)</f>
        <v>44</v>
      </c>
      <c r="C833" t="str">
        <v>Female</v>
      </c>
      <c r="E833" s="6" t="s">
        <v>1712</v>
      </c>
      <c r="F833" cm="1">
        <f t="array" ref="F833:I833">VLOOKUP(E833,CHOOSE({1,2,3,4,5},'Main Data'!A830:A1829,'Main Data'!B830:B1829,'Main Data'!C830:C1829,'Main Data'!M830:M1829,'Main Data'!N830:N1829),{2,3,4,5},0)</f>
        <v>44</v>
      </c>
      <c r="G833" t="str">
        <v>Female</v>
      </c>
      <c r="H833" t="str">
        <v>UAE</v>
      </c>
      <c r="I833">
        <v>2.98</v>
      </c>
      <c r="L833" s="6" t="s">
        <v>1712</v>
      </c>
      <c r="M833" t="str" cm="1">
        <f t="array" ref="M833:O833">INDEX('Main Data'!A830:O1829,MATCH(L833,'Main Data'!A830:A1829,0),{3,7,14})</f>
        <v>Female</v>
      </c>
      <c r="N833">
        <v>61769.96</v>
      </c>
      <c r="O833">
        <v>2.98</v>
      </c>
    </row>
    <row r="834" spans="1:15" x14ac:dyDescent="0.3">
      <c r="A834" s="6" t="s">
        <v>1714</v>
      </c>
      <c r="B834" cm="1">
        <f t="array" ref="B834:C834">_xlfn.XLOOKUP(A834,'Main Data'!A831:A1830,'Main Data'!B831:C1830,"Data Not Found",0)</f>
        <v>52</v>
      </c>
      <c r="C834" t="str">
        <v>Female</v>
      </c>
      <c r="E834" s="6" t="s">
        <v>1714</v>
      </c>
      <c r="F834" cm="1">
        <f t="array" ref="F834:I834">VLOOKUP(E834,CHOOSE({1,2,3,4,5},'Main Data'!A831:A1830,'Main Data'!B831:B1830,'Main Data'!C831:C1830,'Main Data'!M831:M1830,'Main Data'!N831:N1830),{2,3,4,5},0)</f>
        <v>52</v>
      </c>
      <c r="G834" t="str">
        <v>Female</v>
      </c>
      <c r="H834" t="str">
        <v>Japan</v>
      </c>
      <c r="I834">
        <v>2.61</v>
      </c>
      <c r="L834" s="6" t="s">
        <v>1714</v>
      </c>
      <c r="M834" t="str" cm="1">
        <f t="array" ref="M834:O834">INDEX('Main Data'!A831:O1830,MATCH(L834,'Main Data'!A831:A1830,0),{3,7,14})</f>
        <v>Female</v>
      </c>
      <c r="N834">
        <v>93874.52</v>
      </c>
      <c r="O834">
        <v>2.61</v>
      </c>
    </row>
    <row r="835" spans="1:15" x14ac:dyDescent="0.3">
      <c r="A835" s="6" t="s">
        <v>1716</v>
      </c>
      <c r="B835" cm="1">
        <f t="array" ref="B835:C835">_xlfn.XLOOKUP(A835,'Main Data'!A832:A1831,'Main Data'!B832:C1831,"Data Not Found",0)</f>
        <v>41</v>
      </c>
      <c r="C835" t="str">
        <v>Male</v>
      </c>
      <c r="E835" s="6" t="s">
        <v>1716</v>
      </c>
      <c r="F835" cm="1">
        <f t="array" ref="F835:I835">VLOOKUP(E835,CHOOSE({1,2,3,4,5},'Main Data'!A832:A1831,'Main Data'!B832:B1831,'Main Data'!C832:C1831,'Main Data'!M832:M1831,'Main Data'!N832:N1831),{2,3,4,5},0)</f>
        <v>41</v>
      </c>
      <c r="G835" t="str">
        <v>Male</v>
      </c>
      <c r="H835" t="str">
        <v>USA</v>
      </c>
      <c r="I835">
        <v>1.21</v>
      </c>
      <c r="L835" s="6" t="s">
        <v>1716</v>
      </c>
      <c r="M835" t="str" cm="1">
        <f t="array" ref="M835:O835">INDEX('Main Data'!A832:O1831,MATCH(L835,'Main Data'!A832:A1831,0),{3,7,14})</f>
        <v>Male</v>
      </c>
      <c r="N835">
        <v>178825.68</v>
      </c>
      <c r="O835">
        <v>1.21</v>
      </c>
    </row>
    <row r="836" spans="1:15" x14ac:dyDescent="0.3">
      <c r="A836" s="6" t="s">
        <v>1718</v>
      </c>
      <c r="B836" cm="1">
        <f t="array" ref="B836:C836">_xlfn.XLOOKUP(A836,'Main Data'!A833:A1832,'Main Data'!B833:C1832,"Data Not Found",0)</f>
        <v>26</v>
      </c>
      <c r="C836" t="str">
        <v>Female</v>
      </c>
      <c r="E836" s="6" t="s">
        <v>1718</v>
      </c>
      <c r="F836" cm="1">
        <f t="array" ref="F836:I836">VLOOKUP(E836,CHOOSE({1,2,3,4,5},'Main Data'!A833:A1832,'Main Data'!B833:B1832,'Main Data'!C833:C1832,'Main Data'!M833:M1832,'Main Data'!N833:N1832),{2,3,4,5},0)</f>
        <v>26</v>
      </c>
      <c r="G836" t="str">
        <v>Female</v>
      </c>
      <c r="H836" t="str">
        <v>France</v>
      </c>
      <c r="I836">
        <v>2.17</v>
      </c>
      <c r="L836" s="6" t="s">
        <v>1718</v>
      </c>
      <c r="M836" t="str" cm="1">
        <f t="array" ref="M836:O836">INDEX('Main Data'!A833:O1832,MATCH(L836,'Main Data'!A833:A1832,0),{3,7,14})</f>
        <v>Female</v>
      </c>
      <c r="N836">
        <v>142726.57999999999</v>
      </c>
      <c r="O836">
        <v>2.17</v>
      </c>
    </row>
    <row r="837" spans="1:15" x14ac:dyDescent="0.3">
      <c r="A837" s="6" t="s">
        <v>1720</v>
      </c>
      <c r="B837" cm="1">
        <f t="array" ref="B837:C837">_xlfn.XLOOKUP(A837,'Main Data'!A834:A1833,'Main Data'!B834:C1833,"Data Not Found",0)</f>
        <v>42</v>
      </c>
      <c r="C837" t="str">
        <v>Male</v>
      </c>
      <c r="E837" s="6" t="s">
        <v>1720</v>
      </c>
      <c r="F837" cm="1">
        <f t="array" ref="F837:I837">VLOOKUP(E837,CHOOSE({1,2,3,4,5},'Main Data'!A834:A1833,'Main Data'!B834:B1833,'Main Data'!C834:C1833,'Main Data'!M834:M1833,'Main Data'!N834:N1833),{2,3,4,5},0)</f>
        <v>42</v>
      </c>
      <c r="G837" t="str">
        <v>Male</v>
      </c>
      <c r="H837" t="str">
        <v>UK</v>
      </c>
      <c r="I837">
        <v>2.9</v>
      </c>
      <c r="L837" s="6" t="s">
        <v>1720</v>
      </c>
      <c r="M837" t="str" cm="1">
        <f t="array" ref="M837:O837">INDEX('Main Data'!A834:O1833,MATCH(L837,'Main Data'!A834:A1833,0),{3,7,14})</f>
        <v>Male</v>
      </c>
      <c r="N837">
        <v>57824.72</v>
      </c>
      <c r="O837">
        <v>2.9</v>
      </c>
    </row>
    <row r="838" spans="1:15" x14ac:dyDescent="0.3">
      <c r="A838" s="6" t="s">
        <v>1722</v>
      </c>
      <c r="B838" cm="1">
        <f t="array" ref="B838:C838">_xlfn.XLOOKUP(A838,'Main Data'!A835:A1834,'Main Data'!B835:C1834,"Data Not Found",0)</f>
        <v>64</v>
      </c>
      <c r="C838" t="str">
        <v>Other</v>
      </c>
      <c r="E838" s="6" t="s">
        <v>1722</v>
      </c>
      <c r="F838" cm="1">
        <f t="array" ref="F838:I838">VLOOKUP(E838,CHOOSE({1,2,3,4,5},'Main Data'!A835:A1834,'Main Data'!B835:B1834,'Main Data'!C835:C1834,'Main Data'!M835:M1834,'Main Data'!N835:N1834),{2,3,4,5},0)</f>
        <v>64</v>
      </c>
      <c r="G838" t="str">
        <v>Other</v>
      </c>
      <c r="H838" t="str">
        <v>UAE</v>
      </c>
      <c r="I838">
        <v>4.34</v>
      </c>
      <c r="L838" s="6" t="s">
        <v>1722</v>
      </c>
      <c r="M838" t="str" cm="1">
        <f t="array" ref="M838:O838">INDEX('Main Data'!A835:O1834,MATCH(L838,'Main Data'!A835:A1834,0),{3,7,14})</f>
        <v>Other</v>
      </c>
      <c r="N838">
        <v>162477.54</v>
      </c>
      <c r="O838">
        <v>4.34</v>
      </c>
    </row>
    <row r="839" spans="1:15" x14ac:dyDescent="0.3">
      <c r="A839" s="6" t="s">
        <v>1724</v>
      </c>
      <c r="B839" cm="1">
        <f t="array" ref="B839:C839">_xlfn.XLOOKUP(A839,'Main Data'!A836:A1835,'Main Data'!B836:C1835,"Data Not Found",0)</f>
        <v>32</v>
      </c>
      <c r="C839" t="str">
        <v>Male</v>
      </c>
      <c r="E839" s="6" t="s">
        <v>1724</v>
      </c>
      <c r="F839" cm="1">
        <f t="array" ref="F839:I839">VLOOKUP(E839,CHOOSE({1,2,3,4,5},'Main Data'!A836:A1835,'Main Data'!B836:B1835,'Main Data'!C836:C1835,'Main Data'!M836:M1835,'Main Data'!N836:N1835),{2,3,4,5},0)</f>
        <v>32</v>
      </c>
      <c r="G839" t="str">
        <v>Male</v>
      </c>
      <c r="H839" t="str">
        <v>Japan</v>
      </c>
      <c r="I839">
        <v>4.91</v>
      </c>
      <c r="L839" s="6" t="s">
        <v>1724</v>
      </c>
      <c r="M839" t="str" cm="1">
        <f t="array" ref="M839:O839">INDEX('Main Data'!A836:O1835,MATCH(L839,'Main Data'!A836:A1835,0),{3,7,14})</f>
        <v>Male</v>
      </c>
      <c r="N839">
        <v>120237.87</v>
      </c>
      <c r="O839">
        <v>4.91</v>
      </c>
    </row>
    <row r="840" spans="1:15" x14ac:dyDescent="0.3">
      <c r="A840" s="6" t="s">
        <v>1726</v>
      </c>
      <c r="B840" cm="1">
        <f t="array" ref="B840:C840">_xlfn.XLOOKUP(A840,'Main Data'!A837:A1836,'Main Data'!B837:C1836,"Data Not Found",0)</f>
        <v>25</v>
      </c>
      <c r="C840" t="str">
        <v>Male</v>
      </c>
      <c r="E840" s="6" t="s">
        <v>1726</v>
      </c>
      <c r="F840" cm="1">
        <f t="array" ref="F840:I840">VLOOKUP(E840,CHOOSE({1,2,3,4,5},'Main Data'!A837:A1836,'Main Data'!B837:B1836,'Main Data'!C837:C1836,'Main Data'!M837:M1836,'Main Data'!N837:N1836),{2,3,4,5},0)</f>
        <v>25</v>
      </c>
      <c r="G840" t="str">
        <v>Male</v>
      </c>
      <c r="H840" t="str">
        <v>USA</v>
      </c>
      <c r="I840">
        <v>1.52</v>
      </c>
      <c r="L840" s="6" t="s">
        <v>1726</v>
      </c>
      <c r="M840" t="str" cm="1">
        <f t="array" ref="M840:O840">INDEX('Main Data'!A837:O1836,MATCH(L840,'Main Data'!A837:A1836,0),{3,7,14})</f>
        <v>Male</v>
      </c>
      <c r="N840">
        <v>52055.09</v>
      </c>
      <c r="O840">
        <v>1.52</v>
      </c>
    </row>
    <row r="841" spans="1:15" x14ac:dyDescent="0.3">
      <c r="A841" s="6" t="s">
        <v>1728</v>
      </c>
      <c r="B841" cm="1">
        <f t="array" ref="B841:C841">_xlfn.XLOOKUP(A841,'Main Data'!A838:A1837,'Main Data'!B838:C1837,"Data Not Found",0)</f>
        <v>44</v>
      </c>
      <c r="C841" t="str">
        <v>Other</v>
      </c>
      <c r="E841" s="6" t="s">
        <v>1728</v>
      </c>
      <c r="F841" cm="1">
        <f t="array" ref="F841:I841">VLOOKUP(E841,CHOOSE({1,2,3,4,5},'Main Data'!A838:A1837,'Main Data'!B838:B1837,'Main Data'!C838:C1837,'Main Data'!M838:M1837,'Main Data'!N838:N1837),{2,3,4,5},0)</f>
        <v>44</v>
      </c>
      <c r="G841" t="str">
        <v>Other</v>
      </c>
      <c r="H841" t="str">
        <v>France</v>
      </c>
      <c r="I841">
        <v>2.23</v>
      </c>
      <c r="L841" s="6" t="s">
        <v>1728</v>
      </c>
      <c r="M841" t="str" cm="1">
        <f t="array" ref="M841:O841">INDEX('Main Data'!A838:O1837,MATCH(L841,'Main Data'!A838:A1837,0),{3,7,14})</f>
        <v>Other</v>
      </c>
      <c r="N841">
        <v>148144.89000000001</v>
      </c>
      <c r="O841">
        <v>2.23</v>
      </c>
    </row>
    <row r="842" spans="1:15" x14ac:dyDescent="0.3">
      <c r="A842" s="6" t="s">
        <v>1730</v>
      </c>
      <c r="B842" cm="1">
        <f t="array" ref="B842:C842">_xlfn.XLOOKUP(A842,'Main Data'!A839:A1838,'Main Data'!B839:C1838,"Data Not Found",0)</f>
        <v>59</v>
      </c>
      <c r="C842" t="str">
        <v>Female</v>
      </c>
      <c r="E842" s="6" t="s">
        <v>1730</v>
      </c>
      <c r="F842" cm="1">
        <f t="array" ref="F842:I842">VLOOKUP(E842,CHOOSE({1,2,3,4,5},'Main Data'!A839:A1838,'Main Data'!B839:B1838,'Main Data'!C839:C1838,'Main Data'!M839:M1838,'Main Data'!N839:N1838),{2,3,4,5},0)</f>
        <v>59</v>
      </c>
      <c r="G842" t="str">
        <v>Female</v>
      </c>
      <c r="H842" t="str">
        <v>UK</v>
      </c>
      <c r="I842">
        <v>1.17</v>
      </c>
      <c r="L842" s="6" t="s">
        <v>1730</v>
      </c>
      <c r="M842" t="str" cm="1">
        <f t="array" ref="M842:O842">INDEX('Main Data'!A839:O1838,MATCH(L842,'Main Data'!A839:A1838,0),{3,7,14})</f>
        <v>Female</v>
      </c>
      <c r="N842">
        <v>77894.19</v>
      </c>
      <c r="O842">
        <v>1.17</v>
      </c>
    </row>
    <row r="843" spans="1:15" x14ac:dyDescent="0.3">
      <c r="A843" s="6" t="s">
        <v>1732</v>
      </c>
      <c r="B843" cm="1">
        <f t="array" ref="B843:C843">_xlfn.XLOOKUP(A843,'Main Data'!A840:A1839,'Main Data'!B840:C1839,"Data Not Found",0)</f>
        <v>51</v>
      </c>
      <c r="C843" t="str">
        <v>Male</v>
      </c>
      <c r="E843" s="6" t="s">
        <v>1732</v>
      </c>
      <c r="F843" cm="1">
        <f t="array" ref="F843:I843">VLOOKUP(E843,CHOOSE({1,2,3,4,5},'Main Data'!A840:A1839,'Main Data'!B840:B1839,'Main Data'!C840:C1839,'Main Data'!M840:M1839,'Main Data'!N840:N1839),{2,3,4,5},0)</f>
        <v>51</v>
      </c>
      <c r="G843" t="str">
        <v>Male</v>
      </c>
      <c r="H843" t="str">
        <v>UAE</v>
      </c>
      <c r="I843">
        <v>1.7</v>
      </c>
      <c r="L843" s="6" t="s">
        <v>1732</v>
      </c>
      <c r="M843" t="str" cm="1">
        <f t="array" ref="M843:O843">INDEX('Main Data'!A840:O1839,MATCH(L843,'Main Data'!A840:A1839,0),{3,7,14})</f>
        <v>Male</v>
      </c>
      <c r="N843">
        <v>63343.78</v>
      </c>
      <c r="O843">
        <v>1.7</v>
      </c>
    </row>
    <row r="844" spans="1:15" x14ac:dyDescent="0.3">
      <c r="A844" s="6" t="s">
        <v>1734</v>
      </c>
      <c r="B844" cm="1">
        <f t="array" ref="B844:C844">_xlfn.XLOOKUP(A844,'Main Data'!A841:A1840,'Main Data'!B841:C1840,"Data Not Found",0)</f>
        <v>63</v>
      </c>
      <c r="C844" t="str">
        <v>Other</v>
      </c>
      <c r="E844" s="6" t="s">
        <v>1734</v>
      </c>
      <c r="F844" cm="1">
        <f t="array" ref="F844:I844">VLOOKUP(E844,CHOOSE({1,2,3,4,5},'Main Data'!A841:A1840,'Main Data'!B841:B1840,'Main Data'!C841:C1840,'Main Data'!M841:M1840,'Main Data'!N841:N1840),{2,3,4,5},0)</f>
        <v>63</v>
      </c>
      <c r="G844" t="str">
        <v>Other</v>
      </c>
      <c r="H844" t="str">
        <v>Japan</v>
      </c>
      <c r="I844">
        <v>3.88</v>
      </c>
      <c r="L844" s="6" t="s">
        <v>1734</v>
      </c>
      <c r="M844" t="str" cm="1">
        <f t="array" ref="M844:O844">INDEX('Main Data'!A841:O1840,MATCH(L844,'Main Data'!A841:A1840,0),{3,7,14})</f>
        <v>Other</v>
      </c>
      <c r="N844">
        <v>89498.75</v>
      </c>
      <c r="O844">
        <v>3.88</v>
      </c>
    </row>
    <row r="845" spans="1:15" x14ac:dyDescent="0.3">
      <c r="A845" s="6" t="s">
        <v>1736</v>
      </c>
      <c r="B845" cm="1">
        <f t="array" ref="B845:C845">_xlfn.XLOOKUP(A845,'Main Data'!A842:A1841,'Main Data'!B842:C1841,"Data Not Found",0)</f>
        <v>62</v>
      </c>
      <c r="C845" t="str">
        <v>Male</v>
      </c>
      <c r="E845" s="6" t="s">
        <v>1736</v>
      </c>
      <c r="F845" cm="1">
        <f t="array" ref="F845:I845">VLOOKUP(E845,CHOOSE({1,2,3,4,5},'Main Data'!A842:A1841,'Main Data'!B842:B1841,'Main Data'!C842:C1841,'Main Data'!M842:M1841,'Main Data'!N842:N1841),{2,3,4,5},0)</f>
        <v>62</v>
      </c>
      <c r="G845" t="str">
        <v>Male</v>
      </c>
      <c r="H845" t="str">
        <v>USA</v>
      </c>
      <c r="I845">
        <v>4.29</v>
      </c>
      <c r="L845" s="6" t="s">
        <v>1736</v>
      </c>
      <c r="M845" t="str" cm="1">
        <f t="array" ref="M845:O845">INDEX('Main Data'!A842:O1841,MATCH(L845,'Main Data'!A842:A1841,0),{3,7,14})</f>
        <v>Male</v>
      </c>
      <c r="N845">
        <v>84517.759999999995</v>
      </c>
      <c r="O845">
        <v>4.29</v>
      </c>
    </row>
    <row r="846" spans="1:15" x14ac:dyDescent="0.3">
      <c r="A846" s="6" t="s">
        <v>1738</v>
      </c>
      <c r="B846" cm="1">
        <f t="array" ref="B846:C846">_xlfn.XLOOKUP(A846,'Main Data'!A843:A1842,'Main Data'!B843:C1842,"Data Not Found",0)</f>
        <v>39</v>
      </c>
      <c r="C846" t="str">
        <v>Male</v>
      </c>
      <c r="E846" s="6" t="s">
        <v>1738</v>
      </c>
      <c r="F846" cm="1">
        <f t="array" ref="F846:I846">VLOOKUP(E846,CHOOSE({1,2,3,4,5},'Main Data'!A843:A1842,'Main Data'!B843:B1842,'Main Data'!C843:C1842,'Main Data'!M843:M1842,'Main Data'!N843:N1842),{2,3,4,5},0)</f>
        <v>39</v>
      </c>
      <c r="G846" t="str">
        <v>Male</v>
      </c>
      <c r="H846" t="str">
        <v>France</v>
      </c>
      <c r="I846">
        <v>1.3</v>
      </c>
      <c r="L846" s="6" t="s">
        <v>1738</v>
      </c>
      <c r="M846" t="str" cm="1">
        <f t="array" ref="M846:O846">INDEX('Main Data'!A843:O1842,MATCH(L846,'Main Data'!A843:A1842,0),{3,7,14})</f>
        <v>Male</v>
      </c>
      <c r="N846">
        <v>159450.92000000001</v>
      </c>
      <c r="O846">
        <v>1.3</v>
      </c>
    </row>
    <row r="847" spans="1:15" x14ac:dyDescent="0.3">
      <c r="A847" s="6" t="s">
        <v>1740</v>
      </c>
      <c r="B847" cm="1">
        <f t="array" ref="B847:C847">_xlfn.XLOOKUP(A847,'Main Data'!A844:A1843,'Main Data'!B844:C1843,"Data Not Found",0)</f>
        <v>62</v>
      </c>
      <c r="C847" t="str">
        <v>Other</v>
      </c>
      <c r="E847" s="6" t="s">
        <v>1740</v>
      </c>
      <c r="F847" cm="1">
        <f t="array" ref="F847:I847">VLOOKUP(E847,CHOOSE({1,2,3,4,5},'Main Data'!A844:A1843,'Main Data'!B844:B1843,'Main Data'!C844:C1843,'Main Data'!M844:M1843,'Main Data'!N844:N1843),{2,3,4,5},0)</f>
        <v>62</v>
      </c>
      <c r="G847" t="str">
        <v>Other</v>
      </c>
      <c r="H847" t="str">
        <v>UK</v>
      </c>
      <c r="I847">
        <v>3.94</v>
      </c>
      <c r="L847" s="6" t="s">
        <v>1740</v>
      </c>
      <c r="M847" t="str" cm="1">
        <f t="array" ref="M847:O847">INDEX('Main Data'!A844:O1843,MATCH(L847,'Main Data'!A844:A1843,0),{3,7,14})</f>
        <v>Other</v>
      </c>
      <c r="N847">
        <v>177201.14</v>
      </c>
      <c r="O847">
        <v>3.94</v>
      </c>
    </row>
    <row r="848" spans="1:15" x14ac:dyDescent="0.3">
      <c r="A848" s="6" t="s">
        <v>1742</v>
      </c>
      <c r="B848" cm="1">
        <f t="array" ref="B848:C848">_xlfn.XLOOKUP(A848,'Main Data'!A845:A1844,'Main Data'!B845:C1844,"Data Not Found",0)</f>
        <v>64</v>
      </c>
      <c r="C848" t="str">
        <v>Male</v>
      </c>
      <c r="E848" s="6" t="s">
        <v>1742</v>
      </c>
      <c r="F848" cm="1">
        <f t="array" ref="F848:I848">VLOOKUP(E848,CHOOSE({1,2,3,4,5},'Main Data'!A845:A1844,'Main Data'!B845:B1844,'Main Data'!C845:C1844,'Main Data'!M845:M1844,'Main Data'!N845:N1844),{2,3,4,5},0)</f>
        <v>64</v>
      </c>
      <c r="G848" t="str">
        <v>Male</v>
      </c>
      <c r="H848" t="str">
        <v>UAE</v>
      </c>
      <c r="I848">
        <v>2.68</v>
      </c>
      <c r="L848" s="6" t="s">
        <v>1742</v>
      </c>
      <c r="M848" t="str" cm="1">
        <f t="array" ref="M848:O848">INDEX('Main Data'!A845:O1844,MATCH(L848,'Main Data'!A845:A1844,0),{3,7,14})</f>
        <v>Male</v>
      </c>
      <c r="N848">
        <v>130090.45</v>
      </c>
      <c r="O848">
        <v>2.68</v>
      </c>
    </row>
    <row r="849" spans="1:15" x14ac:dyDescent="0.3">
      <c r="A849" s="6" t="s">
        <v>1744</v>
      </c>
      <c r="B849" cm="1">
        <f t="array" ref="B849:C849">_xlfn.XLOOKUP(A849,'Main Data'!A846:A1845,'Main Data'!B846:C1845,"Data Not Found",0)</f>
        <v>52</v>
      </c>
      <c r="C849" t="str">
        <v>Other</v>
      </c>
      <c r="E849" s="6" t="s">
        <v>1744</v>
      </c>
      <c r="F849" cm="1">
        <f t="array" ref="F849:I849">VLOOKUP(E849,CHOOSE({1,2,3,4,5},'Main Data'!A846:A1845,'Main Data'!B846:B1845,'Main Data'!C846:C1845,'Main Data'!M846:M1845,'Main Data'!N846:N1845),{2,3,4,5},0)</f>
        <v>52</v>
      </c>
      <c r="G849" t="str">
        <v>Other</v>
      </c>
      <c r="H849" t="str">
        <v>Japan</v>
      </c>
      <c r="I849">
        <v>2.59</v>
      </c>
      <c r="L849" s="6" t="s">
        <v>1744</v>
      </c>
      <c r="M849" t="str" cm="1">
        <f t="array" ref="M849:O849">INDEX('Main Data'!A846:O1845,MATCH(L849,'Main Data'!A846:A1845,0),{3,7,14})</f>
        <v>Other</v>
      </c>
      <c r="N849">
        <v>100934.97</v>
      </c>
      <c r="O849">
        <v>2.59</v>
      </c>
    </row>
    <row r="850" spans="1:15" x14ac:dyDescent="0.3">
      <c r="A850" s="6" t="s">
        <v>1746</v>
      </c>
      <c r="B850" cm="1">
        <f t="array" ref="B850:C850">_xlfn.XLOOKUP(A850,'Main Data'!A847:A1846,'Main Data'!B847:C1846,"Data Not Found",0)</f>
        <v>51</v>
      </c>
      <c r="C850" t="str">
        <v>Male</v>
      </c>
      <c r="E850" s="6" t="s">
        <v>1746</v>
      </c>
      <c r="F850" cm="1">
        <f t="array" ref="F850:I850">VLOOKUP(E850,CHOOSE({1,2,3,4,5},'Main Data'!A847:A1846,'Main Data'!B847:B1846,'Main Data'!C847:C1846,'Main Data'!M847:M1846,'Main Data'!N847:N1846),{2,3,4,5},0)</f>
        <v>51</v>
      </c>
      <c r="G850" t="str">
        <v>Male</v>
      </c>
      <c r="H850" t="str">
        <v>USA</v>
      </c>
      <c r="I850">
        <v>4.95</v>
      </c>
      <c r="L850" s="6" t="s">
        <v>1746</v>
      </c>
      <c r="M850" t="str" cm="1">
        <f t="array" ref="M850:O850">INDEX('Main Data'!A847:O1846,MATCH(L850,'Main Data'!A847:A1846,0),{3,7,14})</f>
        <v>Male</v>
      </c>
      <c r="N850">
        <v>163114.59</v>
      </c>
      <c r="O850">
        <v>4.95</v>
      </c>
    </row>
    <row r="851" spans="1:15" x14ac:dyDescent="0.3">
      <c r="A851" s="6" t="s">
        <v>1748</v>
      </c>
      <c r="B851" cm="1">
        <f t="array" ref="B851:C851">_xlfn.XLOOKUP(A851,'Main Data'!A848:A1847,'Main Data'!B848:C1847,"Data Not Found",0)</f>
        <v>55</v>
      </c>
      <c r="C851" t="str">
        <v>Female</v>
      </c>
      <c r="E851" s="6" t="s">
        <v>1748</v>
      </c>
      <c r="F851" cm="1">
        <f t="array" ref="F851:I851">VLOOKUP(E851,CHOOSE({1,2,3,4,5},'Main Data'!A848:A1847,'Main Data'!B848:B1847,'Main Data'!C848:C1847,'Main Data'!M848:M1847,'Main Data'!N848:N1847),{2,3,4,5},0)</f>
        <v>55</v>
      </c>
      <c r="G851" t="str">
        <v>Female</v>
      </c>
      <c r="H851" t="str">
        <v>France</v>
      </c>
      <c r="I851">
        <v>2.4700000000000002</v>
      </c>
      <c r="L851" s="6" t="s">
        <v>1748</v>
      </c>
      <c r="M851" t="str" cm="1">
        <f t="array" ref="M851:O851">INDEX('Main Data'!A848:O1847,MATCH(L851,'Main Data'!A848:A1847,0),{3,7,14})</f>
        <v>Female</v>
      </c>
      <c r="N851">
        <v>164303.79999999999</v>
      </c>
      <c r="O851">
        <v>2.4700000000000002</v>
      </c>
    </row>
    <row r="852" spans="1:15" x14ac:dyDescent="0.3">
      <c r="A852" s="6" t="s">
        <v>1750</v>
      </c>
      <c r="B852" cm="1">
        <f t="array" ref="B852:C852">_xlfn.XLOOKUP(A852,'Main Data'!A849:A1848,'Main Data'!B849:C1848,"Data Not Found",0)</f>
        <v>52</v>
      </c>
      <c r="C852" t="str">
        <v>Other</v>
      </c>
      <c r="E852" s="6" t="s">
        <v>1750</v>
      </c>
      <c r="F852" cm="1">
        <f t="array" ref="F852:I852">VLOOKUP(E852,CHOOSE({1,2,3,4,5},'Main Data'!A849:A1848,'Main Data'!B849:B1848,'Main Data'!C849:C1848,'Main Data'!M849:M1848,'Main Data'!N849:N1848),{2,3,4,5},0)</f>
        <v>52</v>
      </c>
      <c r="G852" t="str">
        <v>Other</v>
      </c>
      <c r="H852" t="str">
        <v>UK</v>
      </c>
      <c r="I852">
        <v>1.4</v>
      </c>
      <c r="L852" s="6" t="s">
        <v>1750</v>
      </c>
      <c r="M852" t="str" cm="1">
        <f t="array" ref="M852:O852">INDEX('Main Data'!A849:O1848,MATCH(L852,'Main Data'!A849:A1848,0),{3,7,14})</f>
        <v>Other</v>
      </c>
      <c r="N852">
        <v>91866.87</v>
      </c>
      <c r="O852">
        <v>1.4</v>
      </c>
    </row>
    <row r="853" spans="1:15" x14ac:dyDescent="0.3">
      <c r="A853" s="6" t="s">
        <v>1752</v>
      </c>
      <c r="B853" cm="1">
        <f t="array" ref="B853:C853">_xlfn.XLOOKUP(A853,'Main Data'!A850:A1849,'Main Data'!B850:C1849,"Data Not Found",0)</f>
        <v>59</v>
      </c>
      <c r="C853" t="str">
        <v>Female</v>
      </c>
      <c r="E853" s="6" t="s">
        <v>1752</v>
      </c>
      <c r="F853" cm="1">
        <f t="array" ref="F853:I853">VLOOKUP(E853,CHOOSE({1,2,3,4,5},'Main Data'!A850:A1849,'Main Data'!B850:B1849,'Main Data'!C850:C1849,'Main Data'!M850:M1849,'Main Data'!N850:N1849),{2,3,4,5},0)</f>
        <v>59</v>
      </c>
      <c r="G853" t="str">
        <v>Female</v>
      </c>
      <c r="H853" t="str">
        <v>UAE</v>
      </c>
      <c r="I853">
        <v>1.75</v>
      </c>
      <c r="L853" s="6" t="s">
        <v>1752</v>
      </c>
      <c r="M853" t="str" cm="1">
        <f t="array" ref="M853:O853">INDEX('Main Data'!A850:O1849,MATCH(L853,'Main Data'!A850:A1849,0),{3,7,14})</f>
        <v>Female</v>
      </c>
      <c r="N853">
        <v>55525.42</v>
      </c>
      <c r="O853">
        <v>1.75</v>
      </c>
    </row>
    <row r="854" spans="1:15" x14ac:dyDescent="0.3">
      <c r="A854" s="6" t="s">
        <v>1754</v>
      </c>
      <c r="B854" cm="1">
        <f t="array" ref="B854:C854">_xlfn.XLOOKUP(A854,'Main Data'!A851:A1850,'Main Data'!B851:C1850,"Data Not Found",0)</f>
        <v>46</v>
      </c>
      <c r="C854" t="str">
        <v>Male</v>
      </c>
      <c r="E854" s="6" t="s">
        <v>1754</v>
      </c>
      <c r="F854" cm="1">
        <f t="array" ref="F854:I854">VLOOKUP(E854,CHOOSE({1,2,3,4,5},'Main Data'!A851:A1850,'Main Data'!B851:B1850,'Main Data'!C851:C1850,'Main Data'!M851:M1850,'Main Data'!N851:N1850),{2,3,4,5},0)</f>
        <v>46</v>
      </c>
      <c r="G854" t="str">
        <v>Male</v>
      </c>
      <c r="H854" t="str">
        <v>Japan</v>
      </c>
      <c r="I854">
        <v>3.51</v>
      </c>
      <c r="L854" s="6" t="s">
        <v>1754</v>
      </c>
      <c r="M854" t="str" cm="1">
        <f t="array" ref="M854:O854">INDEX('Main Data'!A851:O1850,MATCH(L854,'Main Data'!A851:A1850,0),{3,7,14})</f>
        <v>Male</v>
      </c>
      <c r="N854">
        <v>178265.86</v>
      </c>
      <c r="O854">
        <v>3.51</v>
      </c>
    </row>
    <row r="855" spans="1:15" x14ac:dyDescent="0.3">
      <c r="A855" s="6" t="s">
        <v>1756</v>
      </c>
      <c r="B855" cm="1">
        <f t="array" ref="B855:C855">_xlfn.XLOOKUP(A855,'Main Data'!A852:A1851,'Main Data'!B852:C1851,"Data Not Found",0)</f>
        <v>38</v>
      </c>
      <c r="C855" t="str">
        <v>Female</v>
      </c>
      <c r="E855" s="6" t="s">
        <v>1756</v>
      </c>
      <c r="F855" cm="1">
        <f t="array" ref="F855:I855">VLOOKUP(E855,CHOOSE({1,2,3,4,5},'Main Data'!A852:A1851,'Main Data'!B852:B1851,'Main Data'!C852:C1851,'Main Data'!M852:M1851,'Main Data'!N852:N1851),{2,3,4,5},0)</f>
        <v>38</v>
      </c>
      <c r="G855" t="str">
        <v>Female</v>
      </c>
      <c r="H855" t="str">
        <v>USA</v>
      </c>
      <c r="I855">
        <v>3.94</v>
      </c>
      <c r="L855" s="6" t="s">
        <v>1756</v>
      </c>
      <c r="M855" t="str" cm="1">
        <f t="array" ref="M855:O855">INDEX('Main Data'!A852:O1851,MATCH(L855,'Main Data'!A852:A1851,0),{3,7,14})</f>
        <v>Female</v>
      </c>
      <c r="N855">
        <v>62914.79</v>
      </c>
      <c r="O855">
        <v>3.94</v>
      </c>
    </row>
    <row r="856" spans="1:15" x14ac:dyDescent="0.3">
      <c r="A856" s="6" t="s">
        <v>1758</v>
      </c>
      <c r="B856" cm="1">
        <f t="array" ref="B856:C856">_xlfn.XLOOKUP(A856,'Main Data'!A853:A1852,'Main Data'!B853:C1852,"Data Not Found",0)</f>
        <v>57</v>
      </c>
      <c r="C856" t="str">
        <v>Other</v>
      </c>
      <c r="E856" s="6" t="s">
        <v>1758</v>
      </c>
      <c r="F856" cm="1">
        <f t="array" ref="F856:I856">VLOOKUP(E856,CHOOSE({1,2,3,4,5},'Main Data'!A853:A1852,'Main Data'!B853:B1852,'Main Data'!C853:C1852,'Main Data'!M853:M1852,'Main Data'!N853:N1852),{2,3,4,5},0)</f>
        <v>57</v>
      </c>
      <c r="G856" t="str">
        <v>Other</v>
      </c>
      <c r="H856" t="str">
        <v>France</v>
      </c>
      <c r="I856">
        <v>3.46</v>
      </c>
      <c r="L856" s="6" t="s">
        <v>1758</v>
      </c>
      <c r="M856" t="str" cm="1">
        <f t="array" ref="M856:O856">INDEX('Main Data'!A853:O1852,MATCH(L856,'Main Data'!A853:A1852,0),{3,7,14})</f>
        <v>Other</v>
      </c>
      <c r="N856">
        <v>116353.74</v>
      </c>
      <c r="O856">
        <v>3.46</v>
      </c>
    </row>
    <row r="857" spans="1:15" x14ac:dyDescent="0.3">
      <c r="A857" s="6" t="s">
        <v>1760</v>
      </c>
      <c r="B857" cm="1">
        <f t="array" ref="B857:C857">_xlfn.XLOOKUP(A857,'Main Data'!A854:A1853,'Main Data'!B854:C1853,"Data Not Found",0)</f>
        <v>61</v>
      </c>
      <c r="C857" t="str">
        <v>Male</v>
      </c>
      <c r="E857" s="6" t="s">
        <v>1760</v>
      </c>
      <c r="F857" cm="1">
        <f t="array" ref="F857:I857">VLOOKUP(E857,CHOOSE({1,2,3,4,5},'Main Data'!A854:A1853,'Main Data'!B854:B1853,'Main Data'!C854:C1853,'Main Data'!M854:M1853,'Main Data'!N854:N1853),{2,3,4,5},0)</f>
        <v>61</v>
      </c>
      <c r="G857" t="str">
        <v>Male</v>
      </c>
      <c r="H857" t="str">
        <v>UK</v>
      </c>
      <c r="I857">
        <v>4.0199999999999996</v>
      </c>
      <c r="L857" s="6" t="s">
        <v>1760</v>
      </c>
      <c r="M857" t="str" cm="1">
        <f t="array" ref="M857:O857">INDEX('Main Data'!A854:O1853,MATCH(L857,'Main Data'!A854:A1853,0),{3,7,14})</f>
        <v>Male</v>
      </c>
      <c r="N857">
        <v>114631.21</v>
      </c>
      <c r="O857">
        <v>4.0199999999999996</v>
      </c>
    </row>
    <row r="858" spans="1:15" x14ac:dyDescent="0.3">
      <c r="A858" s="6" t="s">
        <v>1762</v>
      </c>
      <c r="B858" cm="1">
        <f t="array" ref="B858:C858">_xlfn.XLOOKUP(A858,'Main Data'!A855:A1854,'Main Data'!B855:C1854,"Data Not Found",0)</f>
        <v>51</v>
      </c>
      <c r="C858" t="str">
        <v>Other</v>
      </c>
      <c r="E858" s="6" t="s">
        <v>1762</v>
      </c>
      <c r="F858" cm="1">
        <f t="array" ref="F858:I858">VLOOKUP(E858,CHOOSE({1,2,3,4,5},'Main Data'!A855:A1854,'Main Data'!B855:B1854,'Main Data'!C855:C1854,'Main Data'!M855:M1854,'Main Data'!N855:N1854),{2,3,4,5},0)</f>
        <v>51</v>
      </c>
      <c r="G858" t="str">
        <v>Other</v>
      </c>
      <c r="H858" t="str">
        <v>UAE</v>
      </c>
      <c r="I858">
        <v>3.01</v>
      </c>
      <c r="L858" s="6" t="s">
        <v>1762</v>
      </c>
      <c r="M858" t="str" cm="1">
        <f t="array" ref="M858:O858">INDEX('Main Data'!A855:O1854,MATCH(L858,'Main Data'!A855:A1854,0),{3,7,14})</f>
        <v>Other</v>
      </c>
      <c r="N858">
        <v>106970.71</v>
      </c>
      <c r="O858">
        <v>3.01</v>
      </c>
    </row>
    <row r="859" spans="1:15" x14ac:dyDescent="0.3">
      <c r="A859" s="6" t="s">
        <v>1764</v>
      </c>
      <c r="B859" cm="1">
        <f t="array" ref="B859:C859">_xlfn.XLOOKUP(A859,'Main Data'!A856:A1855,'Main Data'!B856:C1855,"Data Not Found",0)</f>
        <v>23</v>
      </c>
      <c r="C859" t="str">
        <v>Male</v>
      </c>
      <c r="E859" s="6" t="s">
        <v>1764</v>
      </c>
      <c r="F859" cm="1">
        <f t="array" ref="F859:I859">VLOOKUP(E859,CHOOSE({1,2,3,4,5},'Main Data'!A856:A1855,'Main Data'!B856:B1855,'Main Data'!C856:C1855,'Main Data'!M856:M1855,'Main Data'!N856:N1855),{2,3,4,5},0)</f>
        <v>23</v>
      </c>
      <c r="G859" t="str">
        <v>Male</v>
      </c>
      <c r="H859" t="str">
        <v>Japan</v>
      </c>
      <c r="I859">
        <v>3.54</v>
      </c>
      <c r="L859" s="6" t="s">
        <v>1764</v>
      </c>
      <c r="M859" t="str" cm="1">
        <f t="array" ref="M859:O859">INDEX('Main Data'!A856:O1855,MATCH(L859,'Main Data'!A856:A1855,0),{3,7,14})</f>
        <v>Male</v>
      </c>
      <c r="N859">
        <v>105845.15</v>
      </c>
      <c r="O859">
        <v>3.54</v>
      </c>
    </row>
    <row r="860" spans="1:15" x14ac:dyDescent="0.3">
      <c r="A860" s="6" t="s">
        <v>1766</v>
      </c>
      <c r="B860" cm="1">
        <f t="array" ref="B860:C860">_xlfn.XLOOKUP(A860,'Main Data'!A857:A1856,'Main Data'!B857:C1856,"Data Not Found",0)</f>
        <v>45</v>
      </c>
      <c r="C860" t="str">
        <v>Female</v>
      </c>
      <c r="E860" s="6" t="s">
        <v>1766</v>
      </c>
      <c r="F860" cm="1">
        <f t="array" ref="F860:I860">VLOOKUP(E860,CHOOSE({1,2,3,4,5},'Main Data'!A857:A1856,'Main Data'!B857:B1856,'Main Data'!C857:C1856,'Main Data'!M857:M1856,'Main Data'!N857:N1856),{2,3,4,5},0)</f>
        <v>45</v>
      </c>
      <c r="G860" t="str">
        <v>Female</v>
      </c>
      <c r="H860" t="str">
        <v>USA</v>
      </c>
      <c r="I860">
        <v>1.01</v>
      </c>
      <c r="L860" s="6" t="s">
        <v>1766</v>
      </c>
      <c r="M860" t="str" cm="1">
        <f t="array" ref="M860:O860">INDEX('Main Data'!A857:O1856,MATCH(L860,'Main Data'!A857:A1856,0),{3,7,14})</f>
        <v>Female</v>
      </c>
      <c r="N860">
        <v>171312.66</v>
      </c>
      <c r="O860">
        <v>1.01</v>
      </c>
    </row>
    <row r="861" spans="1:15" x14ac:dyDescent="0.3">
      <c r="A861" s="6" t="s">
        <v>1768</v>
      </c>
      <c r="B861" cm="1">
        <f t="array" ref="B861:C861">_xlfn.XLOOKUP(A861,'Main Data'!A858:A1857,'Main Data'!B858:C1857,"Data Not Found",0)</f>
        <v>30</v>
      </c>
      <c r="C861" t="str">
        <v>Female</v>
      </c>
      <c r="E861" s="6" t="s">
        <v>1768</v>
      </c>
      <c r="F861" cm="1">
        <f t="array" ref="F861:I861">VLOOKUP(E861,CHOOSE({1,2,3,4,5},'Main Data'!A858:A1857,'Main Data'!B858:B1857,'Main Data'!C858:C1857,'Main Data'!M858:M1857,'Main Data'!N858:N1857),{2,3,4,5},0)</f>
        <v>30</v>
      </c>
      <c r="G861" t="str">
        <v>Female</v>
      </c>
      <c r="H861" t="str">
        <v>France</v>
      </c>
      <c r="I861">
        <v>1.1000000000000001</v>
      </c>
      <c r="L861" s="6" t="s">
        <v>1768</v>
      </c>
      <c r="M861" t="str" cm="1">
        <f t="array" ref="M861:O861">INDEX('Main Data'!A858:O1857,MATCH(L861,'Main Data'!A858:A1857,0),{3,7,14})</f>
        <v>Female</v>
      </c>
      <c r="N861">
        <v>58341.03</v>
      </c>
      <c r="O861">
        <v>1.1000000000000001</v>
      </c>
    </row>
    <row r="862" spans="1:15" x14ac:dyDescent="0.3">
      <c r="A862" s="6" t="s">
        <v>1770</v>
      </c>
      <c r="B862" cm="1">
        <f t="array" ref="B862:C862">_xlfn.XLOOKUP(A862,'Main Data'!A859:A1858,'Main Data'!B859:C1858,"Data Not Found",0)</f>
        <v>22</v>
      </c>
      <c r="C862" t="str">
        <v>Other</v>
      </c>
      <c r="E862" s="6" t="s">
        <v>1770</v>
      </c>
      <c r="F862" cm="1">
        <f t="array" ref="F862:I862">VLOOKUP(E862,CHOOSE({1,2,3,4,5},'Main Data'!A859:A1858,'Main Data'!B859:B1858,'Main Data'!C859:C1858,'Main Data'!M859:M1858,'Main Data'!N859:N1858),{2,3,4,5},0)</f>
        <v>22</v>
      </c>
      <c r="G862" t="str">
        <v>Other</v>
      </c>
      <c r="H862" t="str">
        <v>UK</v>
      </c>
      <c r="I862">
        <v>2.34</v>
      </c>
      <c r="L862" s="6" t="s">
        <v>1770</v>
      </c>
      <c r="M862" t="str" cm="1">
        <f t="array" ref="M862:O862">INDEX('Main Data'!A859:O1858,MATCH(L862,'Main Data'!A859:A1858,0),{3,7,14})</f>
        <v>Other</v>
      </c>
      <c r="N862">
        <v>176387.28</v>
      </c>
      <c r="O862">
        <v>2.34</v>
      </c>
    </row>
    <row r="863" spans="1:15" x14ac:dyDescent="0.3">
      <c r="A863" s="6" t="s">
        <v>1772</v>
      </c>
      <c r="B863" cm="1">
        <f t="array" ref="B863:C863">_xlfn.XLOOKUP(A863,'Main Data'!A860:A1859,'Main Data'!B860:C1859,"Data Not Found",0)</f>
        <v>45</v>
      </c>
      <c r="C863" t="str">
        <v>Other</v>
      </c>
      <c r="E863" s="6" t="s">
        <v>1772</v>
      </c>
      <c r="F863" cm="1">
        <f t="array" ref="F863:I863">VLOOKUP(E863,CHOOSE({1,2,3,4,5},'Main Data'!A860:A1859,'Main Data'!B860:B1859,'Main Data'!C860:C1859,'Main Data'!M860:M1859,'Main Data'!N860:N1859),{2,3,4,5},0)</f>
        <v>45</v>
      </c>
      <c r="G863" t="str">
        <v>Other</v>
      </c>
      <c r="H863" t="str">
        <v>UAE</v>
      </c>
      <c r="I863">
        <v>2.0699999999999998</v>
      </c>
      <c r="L863" s="6" t="s">
        <v>1772</v>
      </c>
      <c r="M863" t="str" cm="1">
        <f t="array" ref="M863:O863">INDEX('Main Data'!A860:O1859,MATCH(L863,'Main Data'!A860:A1859,0),{3,7,14})</f>
        <v>Other</v>
      </c>
      <c r="N863">
        <v>181097.3</v>
      </c>
      <c r="O863">
        <v>2.0699999999999998</v>
      </c>
    </row>
    <row r="864" spans="1:15" x14ac:dyDescent="0.3">
      <c r="A864" s="6" t="s">
        <v>1774</v>
      </c>
      <c r="B864" cm="1">
        <f t="array" ref="B864:C864">_xlfn.XLOOKUP(A864,'Main Data'!A861:A1860,'Main Data'!B861:C1860,"Data Not Found",0)</f>
        <v>59</v>
      </c>
      <c r="C864" t="str">
        <v>Male</v>
      </c>
      <c r="E864" s="6" t="s">
        <v>1774</v>
      </c>
      <c r="F864" cm="1">
        <f t="array" ref="F864:I864">VLOOKUP(E864,CHOOSE({1,2,3,4,5},'Main Data'!A861:A1860,'Main Data'!B861:B1860,'Main Data'!C861:C1860,'Main Data'!M861:M1860,'Main Data'!N861:N1860),{2,3,4,5},0)</f>
        <v>59</v>
      </c>
      <c r="G864" t="str">
        <v>Male</v>
      </c>
      <c r="H864" t="str">
        <v>Japan</v>
      </c>
      <c r="I864">
        <v>2.65</v>
      </c>
      <c r="L864" s="6" t="s">
        <v>1774</v>
      </c>
      <c r="M864" t="str" cm="1">
        <f t="array" ref="M864:O864">INDEX('Main Data'!A861:O1860,MATCH(L864,'Main Data'!A861:A1860,0),{3,7,14})</f>
        <v>Male</v>
      </c>
      <c r="N864">
        <v>163590.92000000001</v>
      </c>
      <c r="O864">
        <v>2.65</v>
      </c>
    </row>
    <row r="865" spans="1:15" x14ac:dyDescent="0.3">
      <c r="A865" s="6" t="s">
        <v>1776</v>
      </c>
      <c r="B865" cm="1">
        <f t="array" ref="B865:C865">_xlfn.XLOOKUP(A865,'Main Data'!A862:A1861,'Main Data'!B862:C1861,"Data Not Found",0)</f>
        <v>48</v>
      </c>
      <c r="C865" t="str">
        <v>Other</v>
      </c>
      <c r="E865" s="6" t="s">
        <v>1776</v>
      </c>
      <c r="F865" cm="1">
        <f t="array" ref="F865:I865">VLOOKUP(E865,CHOOSE({1,2,3,4,5},'Main Data'!A862:A1861,'Main Data'!B862:B1861,'Main Data'!C862:C1861,'Main Data'!M862:M1861,'Main Data'!N862:N1861),{2,3,4,5},0)</f>
        <v>48</v>
      </c>
      <c r="G865" t="str">
        <v>Other</v>
      </c>
      <c r="H865" t="str">
        <v>USA</v>
      </c>
      <c r="I865">
        <v>3.08</v>
      </c>
      <c r="L865" s="6" t="s">
        <v>1776</v>
      </c>
      <c r="M865" t="str" cm="1">
        <f t="array" ref="M865:O865">INDEX('Main Data'!A862:O1861,MATCH(L865,'Main Data'!A862:A1861,0),{3,7,14})</f>
        <v>Other</v>
      </c>
      <c r="N865">
        <v>145321.82999999999</v>
      </c>
      <c r="O865">
        <v>3.08</v>
      </c>
    </row>
    <row r="866" spans="1:15" x14ac:dyDescent="0.3">
      <c r="A866" s="6" t="s">
        <v>1778</v>
      </c>
      <c r="B866" cm="1">
        <f t="array" ref="B866:C866">_xlfn.XLOOKUP(A866,'Main Data'!A863:A1862,'Main Data'!B863:C1862,"Data Not Found",0)</f>
        <v>47</v>
      </c>
      <c r="C866" t="str">
        <v>Other</v>
      </c>
      <c r="E866" s="6" t="s">
        <v>1778</v>
      </c>
      <c r="F866" cm="1">
        <f t="array" ref="F866:I866">VLOOKUP(E866,CHOOSE({1,2,3,4,5},'Main Data'!A863:A1862,'Main Data'!B863:B1862,'Main Data'!C863:C1862,'Main Data'!M863:M1862,'Main Data'!N863:N1862),{2,3,4,5},0)</f>
        <v>47</v>
      </c>
      <c r="G866" t="str">
        <v>Other</v>
      </c>
      <c r="H866" t="str">
        <v>France</v>
      </c>
      <c r="I866">
        <v>1.76</v>
      </c>
      <c r="L866" s="6" t="s">
        <v>1778</v>
      </c>
      <c r="M866" t="str" cm="1">
        <f t="array" ref="M866:O866">INDEX('Main Data'!A863:O1862,MATCH(L866,'Main Data'!A863:A1862,0),{3,7,14})</f>
        <v>Other</v>
      </c>
      <c r="N866">
        <v>156035.82</v>
      </c>
      <c r="O866">
        <v>1.76</v>
      </c>
    </row>
    <row r="867" spans="1:15" x14ac:dyDescent="0.3">
      <c r="A867" s="6" t="s">
        <v>1780</v>
      </c>
      <c r="B867" cm="1">
        <f t="array" ref="B867:C867">_xlfn.XLOOKUP(A867,'Main Data'!A864:A1863,'Main Data'!B864:C1863,"Data Not Found",0)</f>
        <v>47</v>
      </c>
      <c r="C867" t="str">
        <v>Female</v>
      </c>
      <c r="E867" s="6" t="s">
        <v>1780</v>
      </c>
      <c r="F867" cm="1">
        <f t="array" ref="F867:I867">VLOOKUP(E867,CHOOSE({1,2,3,4,5},'Main Data'!A864:A1863,'Main Data'!B864:B1863,'Main Data'!C864:C1863,'Main Data'!M864:M1863,'Main Data'!N864:N1863),{2,3,4,5},0)</f>
        <v>47</v>
      </c>
      <c r="G867" t="str">
        <v>Female</v>
      </c>
      <c r="H867" t="str">
        <v>UK</v>
      </c>
      <c r="I867">
        <v>4.5199999999999996</v>
      </c>
      <c r="L867" s="6" t="s">
        <v>1780</v>
      </c>
      <c r="M867" t="str" cm="1">
        <f t="array" ref="M867:O867">INDEX('Main Data'!A864:O1863,MATCH(L867,'Main Data'!A864:A1863,0),{3,7,14})</f>
        <v>Female</v>
      </c>
      <c r="N867">
        <v>150672.26999999999</v>
      </c>
      <c r="O867">
        <v>4.5199999999999996</v>
      </c>
    </row>
    <row r="868" spans="1:15" x14ac:dyDescent="0.3">
      <c r="A868" s="6" t="s">
        <v>1782</v>
      </c>
      <c r="B868" cm="1">
        <f t="array" ref="B868:C868">_xlfn.XLOOKUP(A868,'Main Data'!A865:A1864,'Main Data'!B865:C1864,"Data Not Found",0)</f>
        <v>28</v>
      </c>
      <c r="C868" t="str">
        <v>Other</v>
      </c>
      <c r="E868" s="6" t="s">
        <v>1782</v>
      </c>
      <c r="F868" cm="1">
        <f t="array" ref="F868:I868">VLOOKUP(E868,CHOOSE({1,2,3,4,5},'Main Data'!A865:A1864,'Main Data'!B865:B1864,'Main Data'!C865:C1864,'Main Data'!M865:M1864,'Main Data'!N865:N1864),{2,3,4,5},0)</f>
        <v>28</v>
      </c>
      <c r="G868" t="str">
        <v>Other</v>
      </c>
      <c r="H868" t="str">
        <v>UAE</v>
      </c>
      <c r="I868">
        <v>2.76</v>
      </c>
      <c r="L868" s="6" t="s">
        <v>1782</v>
      </c>
      <c r="M868" t="str" cm="1">
        <f t="array" ref="M868:O868">INDEX('Main Data'!A865:O1864,MATCH(L868,'Main Data'!A865:A1864,0),{3,7,14})</f>
        <v>Other</v>
      </c>
      <c r="N868">
        <v>154618.39000000001</v>
      </c>
      <c r="O868">
        <v>2.76</v>
      </c>
    </row>
    <row r="869" spans="1:15" x14ac:dyDescent="0.3">
      <c r="A869" s="6" t="s">
        <v>1784</v>
      </c>
      <c r="B869" cm="1">
        <f t="array" ref="B869:C869">_xlfn.XLOOKUP(A869,'Main Data'!A866:A1865,'Main Data'!B866:C1865,"Data Not Found",0)</f>
        <v>46</v>
      </c>
      <c r="C869" t="str">
        <v>Other</v>
      </c>
      <c r="E869" s="6" t="s">
        <v>1784</v>
      </c>
      <c r="F869" cm="1">
        <f t="array" ref="F869:I869">VLOOKUP(E869,CHOOSE({1,2,3,4,5},'Main Data'!A866:A1865,'Main Data'!B866:B1865,'Main Data'!C866:C1865,'Main Data'!M866:M1865,'Main Data'!N866:N1865),{2,3,4,5},0)</f>
        <v>46</v>
      </c>
      <c r="G869" t="str">
        <v>Other</v>
      </c>
      <c r="H869" t="str">
        <v>Japan</v>
      </c>
      <c r="I869">
        <v>2.96</v>
      </c>
      <c r="L869" s="6" t="s">
        <v>1784</v>
      </c>
      <c r="M869" t="str" cm="1">
        <f t="array" ref="M869:O869">INDEX('Main Data'!A866:O1865,MATCH(L869,'Main Data'!A866:A1865,0),{3,7,14})</f>
        <v>Other</v>
      </c>
      <c r="N869">
        <v>134842.67000000001</v>
      </c>
      <c r="O869">
        <v>2.96</v>
      </c>
    </row>
    <row r="870" spans="1:15" x14ac:dyDescent="0.3">
      <c r="A870" s="6" t="s">
        <v>1786</v>
      </c>
      <c r="B870" cm="1">
        <f t="array" ref="B870:C870">_xlfn.XLOOKUP(A870,'Main Data'!A867:A1866,'Main Data'!B867:C1866,"Data Not Found",0)</f>
        <v>37</v>
      </c>
      <c r="C870" t="str">
        <v>Male</v>
      </c>
      <c r="E870" s="6" t="s">
        <v>1786</v>
      </c>
      <c r="F870" cm="1">
        <f t="array" ref="F870:I870">VLOOKUP(E870,CHOOSE({1,2,3,4,5},'Main Data'!A867:A1866,'Main Data'!B867:B1866,'Main Data'!C867:C1866,'Main Data'!M867:M1866,'Main Data'!N867:N1866),{2,3,4,5},0)</f>
        <v>37</v>
      </c>
      <c r="G870" t="str">
        <v>Male</v>
      </c>
      <c r="H870" t="str">
        <v>USA</v>
      </c>
      <c r="I870">
        <v>1.35</v>
      </c>
      <c r="L870" s="6" t="s">
        <v>1786</v>
      </c>
      <c r="M870" t="str" cm="1">
        <f t="array" ref="M870:O870">INDEX('Main Data'!A867:O1866,MATCH(L870,'Main Data'!A867:A1866,0),{3,7,14})</f>
        <v>Male</v>
      </c>
      <c r="N870">
        <v>99548.75</v>
      </c>
      <c r="O870">
        <v>1.35</v>
      </c>
    </row>
    <row r="871" spans="1:15" x14ac:dyDescent="0.3">
      <c r="A871" s="6" t="s">
        <v>1788</v>
      </c>
      <c r="B871" cm="1">
        <f t="array" ref="B871:C871">_xlfn.XLOOKUP(A871,'Main Data'!A868:A1867,'Main Data'!B868:C1867,"Data Not Found",0)</f>
        <v>59</v>
      </c>
      <c r="C871" t="str">
        <v>Female</v>
      </c>
      <c r="E871" s="6" t="s">
        <v>1788</v>
      </c>
      <c r="F871" cm="1">
        <f t="array" ref="F871:I871">VLOOKUP(E871,CHOOSE({1,2,3,4,5},'Main Data'!A868:A1867,'Main Data'!B868:B1867,'Main Data'!C868:C1867,'Main Data'!M868:M1867,'Main Data'!N868:N1867),{2,3,4,5},0)</f>
        <v>59</v>
      </c>
      <c r="G871" t="str">
        <v>Female</v>
      </c>
      <c r="H871" t="str">
        <v>France</v>
      </c>
      <c r="I871">
        <v>1.99</v>
      </c>
      <c r="L871" s="6" t="s">
        <v>1788</v>
      </c>
      <c r="M871" t="str" cm="1">
        <f t="array" ref="M871:O871">INDEX('Main Data'!A868:O1867,MATCH(L871,'Main Data'!A868:A1867,0),{3,7,14})</f>
        <v>Female</v>
      </c>
      <c r="N871">
        <v>196144.01</v>
      </c>
      <c r="O871">
        <v>1.99</v>
      </c>
    </row>
    <row r="872" spans="1:15" x14ac:dyDescent="0.3">
      <c r="A872" s="6" t="s">
        <v>1790</v>
      </c>
      <c r="B872" cm="1">
        <f t="array" ref="B872:C872">_xlfn.XLOOKUP(A872,'Main Data'!A869:A1868,'Main Data'!B869:C1868,"Data Not Found",0)</f>
        <v>63</v>
      </c>
      <c r="C872" t="str">
        <v>Female</v>
      </c>
      <c r="E872" s="6" t="s">
        <v>1790</v>
      </c>
      <c r="F872" cm="1">
        <f t="array" ref="F872:I872">VLOOKUP(E872,CHOOSE({1,2,3,4,5},'Main Data'!A869:A1868,'Main Data'!B869:B1868,'Main Data'!C869:C1868,'Main Data'!M869:M1868,'Main Data'!N869:N1868),{2,3,4,5},0)</f>
        <v>63</v>
      </c>
      <c r="G872" t="str">
        <v>Female</v>
      </c>
      <c r="H872" t="str">
        <v>UK</v>
      </c>
      <c r="I872">
        <v>4.17</v>
      </c>
      <c r="L872" s="6" t="s">
        <v>1790</v>
      </c>
      <c r="M872" t="str" cm="1">
        <f t="array" ref="M872:O872">INDEX('Main Data'!A869:O1868,MATCH(L872,'Main Data'!A869:A1868,0),{3,7,14})</f>
        <v>Female</v>
      </c>
      <c r="N872">
        <v>138349.20000000001</v>
      </c>
      <c r="O872">
        <v>4.17</v>
      </c>
    </row>
    <row r="873" spans="1:15" x14ac:dyDescent="0.3">
      <c r="A873" s="6" t="s">
        <v>1792</v>
      </c>
      <c r="B873" cm="1">
        <f t="array" ref="B873:C873">_xlfn.XLOOKUP(A873,'Main Data'!A870:A1869,'Main Data'!B870:C1869,"Data Not Found",0)</f>
        <v>39</v>
      </c>
      <c r="C873" t="str">
        <v>Male</v>
      </c>
      <c r="E873" s="6" t="s">
        <v>1792</v>
      </c>
      <c r="F873" cm="1">
        <f t="array" ref="F873:I873">VLOOKUP(E873,CHOOSE({1,2,3,4,5},'Main Data'!A870:A1869,'Main Data'!B870:B1869,'Main Data'!C870:C1869,'Main Data'!M870:M1869,'Main Data'!N870:N1869),{2,3,4,5},0)</f>
        <v>39</v>
      </c>
      <c r="G873" t="str">
        <v>Male</v>
      </c>
      <c r="H873" t="str">
        <v>UAE</v>
      </c>
      <c r="I873">
        <v>2.95</v>
      </c>
      <c r="L873" s="6" t="s">
        <v>1792</v>
      </c>
      <c r="M873" t="str" cm="1">
        <f t="array" ref="M873:O873">INDEX('Main Data'!A870:O1869,MATCH(L873,'Main Data'!A870:A1869,0),{3,7,14})</f>
        <v>Male</v>
      </c>
      <c r="N873">
        <v>92001.43</v>
      </c>
      <c r="O873">
        <v>2.95</v>
      </c>
    </row>
    <row r="874" spans="1:15" x14ac:dyDescent="0.3">
      <c r="A874" s="6" t="s">
        <v>1794</v>
      </c>
      <c r="B874" cm="1">
        <f t="array" ref="B874:C874">_xlfn.XLOOKUP(A874,'Main Data'!A871:A1870,'Main Data'!B871:C1870,"Data Not Found",0)</f>
        <v>38</v>
      </c>
      <c r="C874" t="str">
        <v>Female</v>
      </c>
      <c r="E874" s="6" t="s">
        <v>1794</v>
      </c>
      <c r="F874" cm="1">
        <f t="array" ref="F874:I874">VLOOKUP(E874,CHOOSE({1,2,3,4,5},'Main Data'!A871:A1870,'Main Data'!B871:B1870,'Main Data'!C871:C1870,'Main Data'!M871:M1870,'Main Data'!N871:N1870),{2,3,4,5},0)</f>
        <v>38</v>
      </c>
      <c r="G874" t="str">
        <v>Female</v>
      </c>
      <c r="H874" t="str">
        <v>Japan</v>
      </c>
      <c r="I874">
        <v>2.0299999999999998</v>
      </c>
      <c r="L874" s="6" t="s">
        <v>1794</v>
      </c>
      <c r="M874" t="str" cm="1">
        <f t="array" ref="M874:O874">INDEX('Main Data'!A871:O1870,MATCH(L874,'Main Data'!A871:A1870,0),{3,7,14})</f>
        <v>Female</v>
      </c>
      <c r="N874">
        <v>144647.49</v>
      </c>
      <c r="O874">
        <v>2.0299999999999998</v>
      </c>
    </row>
    <row r="875" spans="1:15" x14ac:dyDescent="0.3">
      <c r="A875" s="6" t="s">
        <v>1796</v>
      </c>
      <c r="B875" cm="1">
        <f t="array" ref="B875:C875">_xlfn.XLOOKUP(A875,'Main Data'!A872:A1871,'Main Data'!B872:C1871,"Data Not Found",0)</f>
        <v>27</v>
      </c>
      <c r="C875" t="str">
        <v>Male</v>
      </c>
      <c r="E875" s="6" t="s">
        <v>1796</v>
      </c>
      <c r="F875" cm="1">
        <f t="array" ref="F875:I875">VLOOKUP(E875,CHOOSE({1,2,3,4,5},'Main Data'!A872:A1871,'Main Data'!B872:B1871,'Main Data'!C872:C1871,'Main Data'!M872:M1871,'Main Data'!N872:N1871),{2,3,4,5},0)</f>
        <v>27</v>
      </c>
      <c r="G875" t="str">
        <v>Male</v>
      </c>
      <c r="H875" t="str">
        <v>USA</v>
      </c>
      <c r="I875">
        <v>1.34</v>
      </c>
      <c r="L875" s="6" t="s">
        <v>1796</v>
      </c>
      <c r="M875" t="str" cm="1">
        <f t="array" ref="M875:O875">INDEX('Main Data'!A872:O1871,MATCH(L875,'Main Data'!A872:A1871,0),{3,7,14})</f>
        <v>Male</v>
      </c>
      <c r="N875">
        <v>159695.98000000001</v>
      </c>
      <c r="O875">
        <v>1.34</v>
      </c>
    </row>
    <row r="876" spans="1:15" x14ac:dyDescent="0.3">
      <c r="A876" s="6" t="s">
        <v>1798</v>
      </c>
      <c r="B876" cm="1">
        <f t="array" ref="B876:C876">_xlfn.XLOOKUP(A876,'Main Data'!A873:A1872,'Main Data'!B873:C1872,"Data Not Found",0)</f>
        <v>41</v>
      </c>
      <c r="C876" t="str">
        <v>Male</v>
      </c>
      <c r="E876" s="6" t="s">
        <v>1798</v>
      </c>
      <c r="F876" cm="1">
        <f t="array" ref="F876:I876">VLOOKUP(E876,CHOOSE({1,2,3,4,5},'Main Data'!A873:A1872,'Main Data'!B873:B1872,'Main Data'!C873:C1872,'Main Data'!M873:M1872,'Main Data'!N873:N1872),{2,3,4,5},0)</f>
        <v>41</v>
      </c>
      <c r="G876" t="str">
        <v>Male</v>
      </c>
      <c r="H876" t="str">
        <v>France</v>
      </c>
      <c r="I876">
        <v>4.32</v>
      </c>
      <c r="L876" s="6" t="s">
        <v>1798</v>
      </c>
      <c r="M876" t="str" cm="1">
        <f t="array" ref="M876:O876">INDEX('Main Data'!A873:O1872,MATCH(L876,'Main Data'!A873:A1872,0),{3,7,14})</f>
        <v>Male</v>
      </c>
      <c r="N876">
        <v>187138.26</v>
      </c>
      <c r="O876">
        <v>4.32</v>
      </c>
    </row>
    <row r="877" spans="1:15" x14ac:dyDescent="0.3">
      <c r="A877" s="6" t="s">
        <v>1800</v>
      </c>
      <c r="B877" cm="1">
        <f t="array" ref="B877:C877">_xlfn.XLOOKUP(A877,'Main Data'!A874:A1873,'Main Data'!B874:C1873,"Data Not Found",0)</f>
        <v>44</v>
      </c>
      <c r="C877" t="str">
        <v>Other</v>
      </c>
      <c r="E877" s="6" t="s">
        <v>1800</v>
      </c>
      <c r="F877" cm="1">
        <f t="array" ref="F877:I877">VLOOKUP(E877,CHOOSE({1,2,3,4,5},'Main Data'!A874:A1873,'Main Data'!B874:B1873,'Main Data'!C874:C1873,'Main Data'!M874:M1873,'Main Data'!N874:N1873),{2,3,4,5},0)</f>
        <v>44</v>
      </c>
      <c r="G877" t="str">
        <v>Other</v>
      </c>
      <c r="H877" t="str">
        <v>UK</v>
      </c>
      <c r="I877">
        <v>4.26</v>
      </c>
      <c r="L877" s="6" t="s">
        <v>1800</v>
      </c>
      <c r="M877" t="str" cm="1">
        <f t="array" ref="M877:O877">INDEX('Main Data'!A874:O1873,MATCH(L877,'Main Data'!A874:A1873,0),{3,7,14})</f>
        <v>Other</v>
      </c>
      <c r="N877">
        <v>171734.08</v>
      </c>
      <c r="O877">
        <v>4.26</v>
      </c>
    </row>
    <row r="878" spans="1:15" x14ac:dyDescent="0.3">
      <c r="A878" s="6" t="s">
        <v>1802</v>
      </c>
      <c r="B878" cm="1">
        <f t="array" ref="B878:C878">_xlfn.XLOOKUP(A878,'Main Data'!A875:A1874,'Main Data'!B875:C1874,"Data Not Found",0)</f>
        <v>33</v>
      </c>
      <c r="C878" t="str">
        <v>Other</v>
      </c>
      <c r="E878" s="6" t="s">
        <v>1802</v>
      </c>
      <c r="F878" cm="1">
        <f t="array" ref="F878:I878">VLOOKUP(E878,CHOOSE({1,2,3,4,5},'Main Data'!A875:A1874,'Main Data'!B875:B1874,'Main Data'!C875:C1874,'Main Data'!M875:M1874,'Main Data'!N875:N1874),{2,3,4,5},0)</f>
        <v>33</v>
      </c>
      <c r="G878" t="str">
        <v>Other</v>
      </c>
      <c r="H878" t="str">
        <v>UAE</v>
      </c>
      <c r="I878">
        <v>2.63</v>
      </c>
      <c r="L878" s="6" t="s">
        <v>1802</v>
      </c>
      <c r="M878" t="str" cm="1">
        <f t="array" ref="M878:O878">INDEX('Main Data'!A875:O1874,MATCH(L878,'Main Data'!A875:A1874,0),{3,7,14})</f>
        <v>Other</v>
      </c>
      <c r="N878">
        <v>142592.78</v>
      </c>
      <c r="O878">
        <v>2.63</v>
      </c>
    </row>
    <row r="879" spans="1:15" x14ac:dyDescent="0.3">
      <c r="A879" s="6" t="s">
        <v>1804</v>
      </c>
      <c r="B879" cm="1">
        <f t="array" ref="B879:C879">_xlfn.XLOOKUP(A879,'Main Data'!A876:A1875,'Main Data'!B876:C1875,"Data Not Found",0)</f>
        <v>33</v>
      </c>
      <c r="C879" t="str">
        <v>Male</v>
      </c>
      <c r="E879" s="6" t="s">
        <v>1804</v>
      </c>
      <c r="F879" cm="1">
        <f t="array" ref="F879:I879">VLOOKUP(E879,CHOOSE({1,2,3,4,5},'Main Data'!A876:A1875,'Main Data'!B876:B1875,'Main Data'!C876:C1875,'Main Data'!M876:M1875,'Main Data'!N876:N1875),{2,3,4,5},0)</f>
        <v>33</v>
      </c>
      <c r="G879" t="str">
        <v>Male</v>
      </c>
      <c r="H879" t="str">
        <v>Japan</v>
      </c>
      <c r="I879">
        <v>1.71</v>
      </c>
      <c r="L879" s="6" t="s">
        <v>1804</v>
      </c>
      <c r="M879" t="str" cm="1">
        <f t="array" ref="M879:O879">INDEX('Main Data'!A876:O1875,MATCH(L879,'Main Data'!A876:A1875,0),{3,7,14})</f>
        <v>Male</v>
      </c>
      <c r="N879">
        <v>182155.17</v>
      </c>
      <c r="O879">
        <v>1.71</v>
      </c>
    </row>
    <row r="880" spans="1:15" x14ac:dyDescent="0.3">
      <c r="A880" s="6" t="s">
        <v>1806</v>
      </c>
      <c r="B880" cm="1">
        <f t="array" ref="B880:C880">_xlfn.XLOOKUP(A880,'Main Data'!A877:A1876,'Main Data'!B877:C1876,"Data Not Found",0)</f>
        <v>55</v>
      </c>
      <c r="C880" t="str">
        <v>Other</v>
      </c>
      <c r="E880" s="6" t="s">
        <v>1806</v>
      </c>
      <c r="F880" cm="1">
        <f t="array" ref="F880:I880">VLOOKUP(E880,CHOOSE({1,2,3,4,5},'Main Data'!A877:A1876,'Main Data'!B877:B1876,'Main Data'!C877:C1876,'Main Data'!M877:M1876,'Main Data'!N877:N1876),{2,3,4,5},0)</f>
        <v>55</v>
      </c>
      <c r="G880" t="str">
        <v>Other</v>
      </c>
      <c r="H880" t="str">
        <v>USA</v>
      </c>
      <c r="I880">
        <v>2.81</v>
      </c>
      <c r="L880" s="6" t="s">
        <v>1806</v>
      </c>
      <c r="M880" t="str" cm="1">
        <f t="array" ref="M880:O880">INDEX('Main Data'!A877:O1876,MATCH(L880,'Main Data'!A877:A1876,0),{3,7,14})</f>
        <v>Other</v>
      </c>
      <c r="N880">
        <v>148784.79</v>
      </c>
      <c r="O880">
        <v>2.81</v>
      </c>
    </row>
    <row r="881" spans="1:15" x14ac:dyDescent="0.3">
      <c r="A881" s="6" t="s">
        <v>1808</v>
      </c>
      <c r="B881" cm="1">
        <f t="array" ref="B881:C881">_xlfn.XLOOKUP(A881,'Main Data'!A878:A1877,'Main Data'!B878:C1877,"Data Not Found",0)</f>
        <v>29</v>
      </c>
      <c r="C881" t="str">
        <v>Other</v>
      </c>
      <c r="E881" s="6" t="s">
        <v>1808</v>
      </c>
      <c r="F881" cm="1">
        <f t="array" ref="F881:I881">VLOOKUP(E881,CHOOSE({1,2,3,4,5},'Main Data'!A878:A1877,'Main Data'!B878:B1877,'Main Data'!C878:C1877,'Main Data'!M878:M1877,'Main Data'!N878:N1877),{2,3,4,5},0)</f>
        <v>29</v>
      </c>
      <c r="G881" t="str">
        <v>Other</v>
      </c>
      <c r="H881" t="str">
        <v>France</v>
      </c>
      <c r="I881">
        <v>2.15</v>
      </c>
      <c r="L881" s="6" t="s">
        <v>1808</v>
      </c>
      <c r="M881" t="str" cm="1">
        <f t="array" ref="M881:O881">INDEX('Main Data'!A878:O1877,MATCH(L881,'Main Data'!A878:A1877,0),{3,7,14})</f>
        <v>Other</v>
      </c>
      <c r="N881">
        <v>71435.12</v>
      </c>
      <c r="O881">
        <v>2.15</v>
      </c>
    </row>
    <row r="882" spans="1:15" x14ac:dyDescent="0.3">
      <c r="A882" s="6" t="s">
        <v>1810</v>
      </c>
      <c r="B882" cm="1">
        <f t="array" ref="B882:C882">_xlfn.XLOOKUP(A882,'Main Data'!A879:A1878,'Main Data'!B879:C1878,"Data Not Found",0)</f>
        <v>48</v>
      </c>
      <c r="C882" t="str">
        <v>Female</v>
      </c>
      <c r="E882" s="6" t="s">
        <v>1810</v>
      </c>
      <c r="F882" cm="1">
        <f t="array" ref="F882:I882">VLOOKUP(E882,CHOOSE({1,2,3,4,5},'Main Data'!A879:A1878,'Main Data'!B879:B1878,'Main Data'!C879:C1878,'Main Data'!M879:M1878,'Main Data'!N879:N1878),{2,3,4,5},0)</f>
        <v>48</v>
      </c>
      <c r="G882" t="str">
        <v>Female</v>
      </c>
      <c r="H882" t="str">
        <v>UK</v>
      </c>
      <c r="I882">
        <v>3.04</v>
      </c>
      <c r="L882" s="6" t="s">
        <v>1810</v>
      </c>
      <c r="M882" t="str" cm="1">
        <f t="array" ref="M882:O882">INDEX('Main Data'!A879:O1878,MATCH(L882,'Main Data'!A879:A1878,0),{3,7,14})</f>
        <v>Female</v>
      </c>
      <c r="N882">
        <v>95157.73</v>
      </c>
      <c r="O882">
        <v>3.04</v>
      </c>
    </row>
    <row r="883" spans="1:15" x14ac:dyDescent="0.3">
      <c r="A883" s="6" t="s">
        <v>1812</v>
      </c>
      <c r="B883" cm="1">
        <f t="array" ref="B883:C883">_xlfn.XLOOKUP(A883,'Main Data'!A880:A1879,'Main Data'!B880:C1879,"Data Not Found",0)</f>
        <v>29</v>
      </c>
      <c r="C883" t="str">
        <v>Female</v>
      </c>
      <c r="E883" s="6" t="s">
        <v>1812</v>
      </c>
      <c r="F883" cm="1">
        <f t="array" ref="F883:I883">VLOOKUP(E883,CHOOSE({1,2,3,4,5},'Main Data'!A880:A1879,'Main Data'!B880:B1879,'Main Data'!C880:C1879,'Main Data'!M880:M1879,'Main Data'!N880:N1879),{2,3,4,5},0)</f>
        <v>29</v>
      </c>
      <c r="G883" t="str">
        <v>Female</v>
      </c>
      <c r="H883" t="str">
        <v>UAE</v>
      </c>
      <c r="I883">
        <v>2.68</v>
      </c>
      <c r="L883" s="6" t="s">
        <v>1812</v>
      </c>
      <c r="M883" t="str" cm="1">
        <f t="array" ref="M883:O883">INDEX('Main Data'!A880:O1879,MATCH(L883,'Main Data'!A880:A1879,0),{3,7,14})</f>
        <v>Female</v>
      </c>
      <c r="N883">
        <v>72172.27</v>
      </c>
      <c r="O883">
        <v>2.68</v>
      </c>
    </row>
    <row r="884" spans="1:15" x14ac:dyDescent="0.3">
      <c r="A884" s="6" t="s">
        <v>1814</v>
      </c>
      <c r="B884" cm="1">
        <f t="array" ref="B884:C884">_xlfn.XLOOKUP(A884,'Main Data'!A881:A1880,'Main Data'!B881:C1880,"Data Not Found",0)</f>
        <v>54</v>
      </c>
      <c r="C884" t="str">
        <v>Other</v>
      </c>
      <c r="E884" s="6" t="s">
        <v>1814</v>
      </c>
      <c r="F884" cm="1">
        <f t="array" ref="F884:I884">VLOOKUP(E884,CHOOSE({1,2,3,4,5},'Main Data'!A881:A1880,'Main Data'!B881:B1880,'Main Data'!C881:C1880,'Main Data'!M881:M1880,'Main Data'!N881:N1880),{2,3,4,5},0)</f>
        <v>54</v>
      </c>
      <c r="G884" t="str">
        <v>Other</v>
      </c>
      <c r="H884" t="str">
        <v>Japan</v>
      </c>
      <c r="I884">
        <v>3.2</v>
      </c>
      <c r="L884" s="6" t="s">
        <v>1814</v>
      </c>
      <c r="M884" t="str" cm="1">
        <f t="array" ref="M884:O884">INDEX('Main Data'!A881:O1880,MATCH(L884,'Main Data'!A881:A1880,0),{3,7,14})</f>
        <v>Other</v>
      </c>
      <c r="N884">
        <v>65759.850000000006</v>
      </c>
      <c r="O884">
        <v>3.2</v>
      </c>
    </row>
    <row r="885" spans="1:15" x14ac:dyDescent="0.3">
      <c r="A885" s="6" t="s">
        <v>1816</v>
      </c>
      <c r="B885" cm="1">
        <f t="array" ref="B885:C885">_xlfn.XLOOKUP(A885,'Main Data'!A882:A1881,'Main Data'!B882:C1881,"Data Not Found",0)</f>
        <v>58</v>
      </c>
      <c r="C885" t="str">
        <v>Male</v>
      </c>
      <c r="E885" s="6" t="s">
        <v>1816</v>
      </c>
      <c r="F885" cm="1">
        <f t="array" ref="F885:I885">VLOOKUP(E885,CHOOSE({1,2,3,4,5},'Main Data'!A882:A1881,'Main Data'!B882:B1881,'Main Data'!C882:C1881,'Main Data'!M882:M1881,'Main Data'!N882:N1881),{2,3,4,5},0)</f>
        <v>58</v>
      </c>
      <c r="G885" t="str">
        <v>Male</v>
      </c>
      <c r="H885" t="str">
        <v>USA</v>
      </c>
      <c r="I885">
        <v>3.58</v>
      </c>
      <c r="L885" s="6" t="s">
        <v>1816</v>
      </c>
      <c r="M885" t="str" cm="1">
        <f t="array" ref="M885:O885">INDEX('Main Data'!A882:O1881,MATCH(L885,'Main Data'!A882:A1881,0),{3,7,14})</f>
        <v>Male</v>
      </c>
      <c r="N885">
        <v>140162.28</v>
      </c>
      <c r="O885">
        <v>3.58</v>
      </c>
    </row>
    <row r="886" spans="1:15" x14ac:dyDescent="0.3">
      <c r="A886" s="6" t="s">
        <v>1818</v>
      </c>
      <c r="B886" cm="1">
        <f t="array" ref="B886:C886">_xlfn.XLOOKUP(A886,'Main Data'!A883:A1882,'Main Data'!B883:C1882,"Data Not Found",0)</f>
        <v>40</v>
      </c>
      <c r="C886" t="str">
        <v>Male</v>
      </c>
      <c r="E886" s="6" t="s">
        <v>1818</v>
      </c>
      <c r="F886" cm="1">
        <f t="array" ref="F886:I886">VLOOKUP(E886,CHOOSE({1,2,3,4,5},'Main Data'!A883:A1882,'Main Data'!B883:B1882,'Main Data'!C883:C1882,'Main Data'!M883:M1882,'Main Data'!N883:N1882),{2,3,4,5},0)</f>
        <v>40</v>
      </c>
      <c r="G886" t="str">
        <v>Male</v>
      </c>
      <c r="H886" t="str">
        <v>France</v>
      </c>
      <c r="I886">
        <v>2.0099999999999998</v>
      </c>
      <c r="L886" s="6" t="s">
        <v>1818</v>
      </c>
      <c r="M886" t="str" cm="1">
        <f t="array" ref="M886:O886">INDEX('Main Data'!A883:O1882,MATCH(L886,'Main Data'!A883:A1882,0),{3,7,14})</f>
        <v>Male</v>
      </c>
      <c r="N886">
        <v>78631.05</v>
      </c>
      <c r="O886">
        <v>2.0099999999999998</v>
      </c>
    </row>
    <row r="887" spans="1:15" x14ac:dyDescent="0.3">
      <c r="A887" s="6" t="s">
        <v>1820</v>
      </c>
      <c r="B887" cm="1">
        <f t="array" ref="B887:C887">_xlfn.XLOOKUP(A887,'Main Data'!A884:A1883,'Main Data'!B884:C1883,"Data Not Found",0)</f>
        <v>45</v>
      </c>
      <c r="C887" t="str">
        <v>Other</v>
      </c>
      <c r="E887" s="6" t="s">
        <v>1820</v>
      </c>
      <c r="F887" cm="1">
        <f t="array" ref="F887:I887">VLOOKUP(E887,CHOOSE({1,2,3,4,5},'Main Data'!A884:A1883,'Main Data'!B884:B1883,'Main Data'!C884:C1883,'Main Data'!M884:M1883,'Main Data'!N884:N1883),{2,3,4,5},0)</f>
        <v>45</v>
      </c>
      <c r="G887" t="str">
        <v>Other</v>
      </c>
      <c r="H887" t="str">
        <v>UK</v>
      </c>
      <c r="I887">
        <v>2.74</v>
      </c>
      <c r="L887" s="6" t="s">
        <v>1820</v>
      </c>
      <c r="M887" t="str" cm="1">
        <f t="array" ref="M887:O887">INDEX('Main Data'!A884:O1883,MATCH(L887,'Main Data'!A884:A1883,0),{3,7,14})</f>
        <v>Other</v>
      </c>
      <c r="N887">
        <v>188938.2</v>
      </c>
      <c r="O887">
        <v>2.74</v>
      </c>
    </row>
    <row r="888" spans="1:15" x14ac:dyDescent="0.3">
      <c r="A888" s="6" t="s">
        <v>1822</v>
      </c>
      <c r="B888" cm="1">
        <f t="array" ref="B888:C888">_xlfn.XLOOKUP(A888,'Main Data'!A885:A1884,'Main Data'!B885:C1884,"Data Not Found",0)</f>
        <v>43</v>
      </c>
      <c r="C888" t="str">
        <v>Other</v>
      </c>
      <c r="E888" s="6" t="s">
        <v>1822</v>
      </c>
      <c r="F888" cm="1">
        <f t="array" ref="F888:I888">VLOOKUP(E888,CHOOSE({1,2,3,4,5},'Main Data'!A885:A1884,'Main Data'!B885:B1884,'Main Data'!C885:C1884,'Main Data'!M885:M1884,'Main Data'!N885:N1884),{2,3,4,5},0)</f>
        <v>43</v>
      </c>
      <c r="G888" t="str">
        <v>Other</v>
      </c>
      <c r="H888" t="str">
        <v>UAE</v>
      </c>
      <c r="I888">
        <v>3.17</v>
      </c>
      <c r="L888" s="6" t="s">
        <v>1822</v>
      </c>
      <c r="M888" t="str" cm="1">
        <f t="array" ref="M888:O888">INDEX('Main Data'!A885:O1884,MATCH(L888,'Main Data'!A885:A1884,0),{3,7,14})</f>
        <v>Other</v>
      </c>
      <c r="N888">
        <v>137858.46</v>
      </c>
      <c r="O888">
        <v>3.17</v>
      </c>
    </row>
    <row r="889" spans="1:15" x14ac:dyDescent="0.3">
      <c r="A889" s="6" t="s">
        <v>1824</v>
      </c>
      <c r="B889" cm="1">
        <f t="array" ref="B889:C889">_xlfn.XLOOKUP(A889,'Main Data'!A886:A1885,'Main Data'!B886:C1885,"Data Not Found",0)</f>
        <v>24</v>
      </c>
      <c r="C889" t="str">
        <v>Male</v>
      </c>
      <c r="E889" s="6" t="s">
        <v>1824</v>
      </c>
      <c r="F889" cm="1">
        <f t="array" ref="F889:I889">VLOOKUP(E889,CHOOSE({1,2,3,4,5},'Main Data'!A886:A1885,'Main Data'!B886:B1885,'Main Data'!C886:C1885,'Main Data'!M886:M1885,'Main Data'!N886:N1885),{2,3,4,5},0)</f>
        <v>24</v>
      </c>
      <c r="G889" t="str">
        <v>Male</v>
      </c>
      <c r="H889" t="str">
        <v>Japan</v>
      </c>
      <c r="I889">
        <v>1.62</v>
      </c>
      <c r="L889" s="6" t="s">
        <v>1824</v>
      </c>
      <c r="M889" t="str" cm="1">
        <f t="array" ref="M889:O889">INDEX('Main Data'!A886:O1885,MATCH(L889,'Main Data'!A886:A1885,0),{3,7,14})</f>
        <v>Male</v>
      </c>
      <c r="N889">
        <v>88089.32</v>
      </c>
      <c r="O889">
        <v>1.62</v>
      </c>
    </row>
    <row r="890" spans="1:15" x14ac:dyDescent="0.3">
      <c r="A890" s="6" t="s">
        <v>1826</v>
      </c>
      <c r="B890" cm="1">
        <f t="array" ref="B890:C890">_xlfn.XLOOKUP(A890,'Main Data'!A887:A1886,'Main Data'!B887:C1886,"Data Not Found",0)</f>
        <v>30</v>
      </c>
      <c r="C890" t="str">
        <v>Female</v>
      </c>
      <c r="E890" s="6" t="s">
        <v>1826</v>
      </c>
      <c r="F890" cm="1">
        <f t="array" ref="F890:I890">VLOOKUP(E890,CHOOSE({1,2,3,4,5},'Main Data'!A887:A1886,'Main Data'!B887:B1886,'Main Data'!C887:C1886,'Main Data'!M887:M1886,'Main Data'!N887:N1886),{2,3,4,5},0)</f>
        <v>30</v>
      </c>
      <c r="G890" t="str">
        <v>Female</v>
      </c>
      <c r="H890" t="str">
        <v>USA</v>
      </c>
      <c r="I890">
        <v>2.77</v>
      </c>
      <c r="L890" s="6" t="s">
        <v>1826</v>
      </c>
      <c r="M890" t="str" cm="1">
        <f t="array" ref="M890:O890">INDEX('Main Data'!A887:O1886,MATCH(L890,'Main Data'!A887:A1886,0),{3,7,14})</f>
        <v>Female</v>
      </c>
      <c r="N890">
        <v>133587.35999999999</v>
      </c>
      <c r="O890">
        <v>2.77</v>
      </c>
    </row>
    <row r="891" spans="1:15" x14ac:dyDescent="0.3">
      <c r="A891" s="6" t="s">
        <v>1828</v>
      </c>
      <c r="B891" cm="1">
        <f t="array" ref="B891:C891">_xlfn.XLOOKUP(A891,'Main Data'!A888:A1887,'Main Data'!B888:C1887,"Data Not Found",0)</f>
        <v>32</v>
      </c>
      <c r="C891" t="str">
        <v>Female</v>
      </c>
      <c r="E891" s="6" t="s">
        <v>1828</v>
      </c>
      <c r="F891" cm="1">
        <f t="array" ref="F891:I891">VLOOKUP(E891,CHOOSE({1,2,3,4,5},'Main Data'!A888:A1887,'Main Data'!B888:B1887,'Main Data'!C888:C1887,'Main Data'!M888:M1887,'Main Data'!N888:N1887),{2,3,4,5},0)</f>
        <v>32</v>
      </c>
      <c r="G891" t="str">
        <v>Female</v>
      </c>
      <c r="H891" t="str">
        <v>France</v>
      </c>
      <c r="I891">
        <v>2.2999999999999998</v>
      </c>
      <c r="L891" s="6" t="s">
        <v>1828</v>
      </c>
      <c r="M891" t="str" cm="1">
        <f t="array" ref="M891:O891">INDEX('Main Data'!A888:O1887,MATCH(L891,'Main Data'!A888:A1887,0),{3,7,14})</f>
        <v>Female</v>
      </c>
      <c r="N891">
        <v>156218.07999999999</v>
      </c>
      <c r="O891">
        <v>2.2999999999999998</v>
      </c>
    </row>
    <row r="892" spans="1:15" x14ac:dyDescent="0.3">
      <c r="A892" s="6" t="s">
        <v>1830</v>
      </c>
      <c r="B892" cm="1">
        <f t="array" ref="B892:C892">_xlfn.XLOOKUP(A892,'Main Data'!A889:A1888,'Main Data'!B889:C1888,"Data Not Found",0)</f>
        <v>27</v>
      </c>
      <c r="C892" t="str">
        <v>Male</v>
      </c>
      <c r="E892" s="6" t="s">
        <v>1830</v>
      </c>
      <c r="F892" cm="1">
        <f t="array" ref="F892:I892">VLOOKUP(E892,CHOOSE({1,2,3,4,5},'Main Data'!A889:A1888,'Main Data'!B889:B1888,'Main Data'!C889:C1888,'Main Data'!M889:M1888,'Main Data'!N889:N1888),{2,3,4,5},0)</f>
        <v>27</v>
      </c>
      <c r="G892" t="str">
        <v>Male</v>
      </c>
      <c r="H892" t="str">
        <v>UK</v>
      </c>
      <c r="I892">
        <v>4.03</v>
      </c>
      <c r="L892" s="6" t="s">
        <v>1830</v>
      </c>
      <c r="M892" t="str" cm="1">
        <f t="array" ref="M892:O892">INDEX('Main Data'!A889:O1888,MATCH(L892,'Main Data'!A889:A1888,0),{3,7,14})</f>
        <v>Male</v>
      </c>
      <c r="N892">
        <v>120260.5</v>
      </c>
      <c r="O892">
        <v>4.03</v>
      </c>
    </row>
    <row r="893" spans="1:15" x14ac:dyDescent="0.3">
      <c r="A893" s="6" t="s">
        <v>1832</v>
      </c>
      <c r="B893" cm="1">
        <f t="array" ref="B893:C893">_xlfn.XLOOKUP(A893,'Main Data'!A890:A1889,'Main Data'!B890:C1889,"Data Not Found",0)</f>
        <v>60</v>
      </c>
      <c r="C893" t="str">
        <v>Other</v>
      </c>
      <c r="E893" s="6" t="s">
        <v>1832</v>
      </c>
      <c r="F893" cm="1">
        <f t="array" ref="F893:I893">VLOOKUP(E893,CHOOSE({1,2,3,4,5},'Main Data'!A890:A1889,'Main Data'!B890:B1889,'Main Data'!C890:C1889,'Main Data'!M890:M1889,'Main Data'!N890:N1889),{2,3,4,5},0)</f>
        <v>60</v>
      </c>
      <c r="G893" t="str">
        <v>Other</v>
      </c>
      <c r="H893" t="str">
        <v>UAE</v>
      </c>
      <c r="I893">
        <v>2.4700000000000002</v>
      </c>
      <c r="L893" s="6" t="s">
        <v>1832</v>
      </c>
      <c r="M893" t="str" cm="1">
        <f t="array" ref="M893:O893">INDEX('Main Data'!A890:O1889,MATCH(L893,'Main Data'!A890:A1889,0),{3,7,14})</f>
        <v>Other</v>
      </c>
      <c r="N893">
        <v>185773.04</v>
      </c>
      <c r="O893">
        <v>2.4700000000000002</v>
      </c>
    </row>
    <row r="894" spans="1:15" x14ac:dyDescent="0.3">
      <c r="A894" s="6" t="s">
        <v>1834</v>
      </c>
      <c r="B894" cm="1">
        <f t="array" ref="B894:C894">_xlfn.XLOOKUP(A894,'Main Data'!A891:A1890,'Main Data'!B891:C1890,"Data Not Found",0)</f>
        <v>60</v>
      </c>
      <c r="C894" t="str">
        <v>Female</v>
      </c>
      <c r="E894" s="6" t="s">
        <v>1834</v>
      </c>
      <c r="F894" cm="1">
        <f t="array" ref="F894:I894">VLOOKUP(E894,CHOOSE({1,2,3,4,5},'Main Data'!A891:A1890,'Main Data'!B891:B1890,'Main Data'!C891:C1890,'Main Data'!M891:M1890,'Main Data'!N891:N1890),{2,3,4,5},0)</f>
        <v>60</v>
      </c>
      <c r="G894" t="str">
        <v>Female</v>
      </c>
      <c r="H894" t="str">
        <v>Japan</v>
      </c>
      <c r="I894">
        <v>1.79</v>
      </c>
      <c r="L894" s="6" t="s">
        <v>1834</v>
      </c>
      <c r="M894" t="str" cm="1">
        <f t="array" ref="M894:O894">INDEX('Main Data'!A891:O1890,MATCH(L894,'Main Data'!A891:A1890,0),{3,7,14})</f>
        <v>Female</v>
      </c>
      <c r="N894">
        <v>135617.43</v>
      </c>
      <c r="O894">
        <v>1.79</v>
      </c>
    </row>
    <row r="895" spans="1:15" x14ac:dyDescent="0.3">
      <c r="A895" s="6" t="s">
        <v>1836</v>
      </c>
      <c r="B895" cm="1">
        <f t="array" ref="B895:C895">_xlfn.XLOOKUP(A895,'Main Data'!A892:A1891,'Main Data'!B892:C1891,"Data Not Found",0)</f>
        <v>58</v>
      </c>
      <c r="C895" t="str">
        <v>Male</v>
      </c>
      <c r="E895" s="6" t="s">
        <v>1836</v>
      </c>
      <c r="F895" cm="1">
        <f t="array" ref="F895:I895">VLOOKUP(E895,CHOOSE({1,2,3,4,5},'Main Data'!A892:A1891,'Main Data'!B892:B1891,'Main Data'!C892:C1891,'Main Data'!M892:M1891,'Main Data'!N892:N1891),{2,3,4,5},0)</f>
        <v>58</v>
      </c>
      <c r="G895" t="str">
        <v>Male</v>
      </c>
      <c r="H895" t="str">
        <v>USA</v>
      </c>
      <c r="I895">
        <v>1.87</v>
      </c>
      <c r="L895" s="6" t="s">
        <v>1836</v>
      </c>
      <c r="M895" t="str" cm="1">
        <f t="array" ref="M895:O895">INDEX('Main Data'!A892:O1891,MATCH(L895,'Main Data'!A892:A1891,0),{3,7,14})</f>
        <v>Male</v>
      </c>
      <c r="N895">
        <v>134543.37</v>
      </c>
      <c r="O895">
        <v>1.87</v>
      </c>
    </row>
    <row r="896" spans="1:15" x14ac:dyDescent="0.3">
      <c r="A896" s="6" t="s">
        <v>1838</v>
      </c>
      <c r="B896" cm="1">
        <f t="array" ref="B896:C896">_xlfn.XLOOKUP(A896,'Main Data'!A893:A1892,'Main Data'!B893:C1892,"Data Not Found",0)</f>
        <v>23</v>
      </c>
      <c r="C896" t="str">
        <v>Other</v>
      </c>
      <c r="E896" s="6" t="s">
        <v>1838</v>
      </c>
      <c r="F896" cm="1">
        <f t="array" ref="F896:I896">VLOOKUP(E896,CHOOSE({1,2,3,4,5},'Main Data'!A893:A1892,'Main Data'!B893:B1892,'Main Data'!C893:C1892,'Main Data'!M893:M1892,'Main Data'!N893:N1892),{2,3,4,5},0)</f>
        <v>23</v>
      </c>
      <c r="G896" t="str">
        <v>Other</v>
      </c>
      <c r="H896" t="str">
        <v>France</v>
      </c>
      <c r="I896">
        <v>2.57</v>
      </c>
      <c r="L896" s="6" t="s">
        <v>1838</v>
      </c>
      <c r="M896" t="str" cm="1">
        <f t="array" ref="M896:O896">INDEX('Main Data'!A893:O1892,MATCH(L896,'Main Data'!A893:A1892,0),{3,7,14})</f>
        <v>Other</v>
      </c>
      <c r="N896">
        <v>81548.740000000005</v>
      </c>
      <c r="O896">
        <v>2.57</v>
      </c>
    </row>
    <row r="897" spans="1:15" x14ac:dyDescent="0.3">
      <c r="A897" s="6" t="s">
        <v>1840</v>
      </c>
      <c r="B897" cm="1">
        <f t="array" ref="B897:C897">_xlfn.XLOOKUP(A897,'Main Data'!A894:A1893,'Main Data'!B894:C1893,"Data Not Found",0)</f>
        <v>58</v>
      </c>
      <c r="C897" t="str">
        <v>Other</v>
      </c>
      <c r="E897" s="6" t="s">
        <v>1840</v>
      </c>
      <c r="F897" cm="1">
        <f t="array" ref="F897:I897">VLOOKUP(E897,CHOOSE({1,2,3,4,5},'Main Data'!A894:A1893,'Main Data'!B894:B1893,'Main Data'!C894:C1893,'Main Data'!M894:M1893,'Main Data'!N894:N1893),{2,3,4,5},0)</f>
        <v>58</v>
      </c>
      <c r="G897" t="str">
        <v>Other</v>
      </c>
      <c r="H897" t="str">
        <v>UK</v>
      </c>
      <c r="I897">
        <v>3.1</v>
      </c>
      <c r="L897" s="6" t="s">
        <v>1840</v>
      </c>
      <c r="M897" t="str" cm="1">
        <f t="array" ref="M897:O897">INDEX('Main Data'!A894:O1893,MATCH(L897,'Main Data'!A894:A1893,0),{3,7,14})</f>
        <v>Other</v>
      </c>
      <c r="N897">
        <v>63105.98</v>
      </c>
      <c r="O897">
        <v>3.1</v>
      </c>
    </row>
    <row r="898" spans="1:15" x14ac:dyDescent="0.3">
      <c r="A898" s="6" t="s">
        <v>1842</v>
      </c>
      <c r="B898" cm="1">
        <f t="array" ref="B898:C898">_xlfn.XLOOKUP(A898,'Main Data'!A895:A1894,'Main Data'!B895:C1894,"Data Not Found",0)</f>
        <v>27</v>
      </c>
      <c r="C898" t="str">
        <v>Female</v>
      </c>
      <c r="E898" s="6" t="s">
        <v>1842</v>
      </c>
      <c r="F898" cm="1">
        <f t="array" ref="F898:I898">VLOOKUP(E898,CHOOSE({1,2,3,4,5},'Main Data'!A895:A1894,'Main Data'!B895:B1894,'Main Data'!C895:C1894,'Main Data'!M895:M1894,'Main Data'!N895:N1894),{2,3,4,5},0)</f>
        <v>27</v>
      </c>
      <c r="G898" t="str">
        <v>Female</v>
      </c>
      <c r="H898" t="str">
        <v>UAE</v>
      </c>
      <c r="I898">
        <v>3.06</v>
      </c>
      <c r="L898" s="6" t="s">
        <v>1842</v>
      </c>
      <c r="M898" t="str" cm="1">
        <f t="array" ref="M898:O898">INDEX('Main Data'!A895:O1894,MATCH(L898,'Main Data'!A895:A1894,0),{3,7,14})</f>
        <v>Female</v>
      </c>
      <c r="N898">
        <v>165066.71</v>
      </c>
      <c r="O898">
        <v>3.06</v>
      </c>
    </row>
    <row r="899" spans="1:15" x14ac:dyDescent="0.3">
      <c r="A899" s="6" t="s">
        <v>1844</v>
      </c>
      <c r="B899" cm="1">
        <f t="array" ref="B899:C899">_xlfn.XLOOKUP(A899,'Main Data'!A896:A1895,'Main Data'!B896:C1895,"Data Not Found",0)</f>
        <v>27</v>
      </c>
      <c r="C899" t="str">
        <v>Other</v>
      </c>
      <c r="E899" s="6" t="s">
        <v>1844</v>
      </c>
      <c r="F899" cm="1">
        <f t="array" ref="F899:I899">VLOOKUP(E899,CHOOSE({1,2,3,4,5},'Main Data'!A896:A1895,'Main Data'!B896:B1895,'Main Data'!C896:C1895,'Main Data'!M896:M1895,'Main Data'!N896:N1895),{2,3,4,5},0)</f>
        <v>27</v>
      </c>
      <c r="G899" t="str">
        <v>Other</v>
      </c>
      <c r="H899" t="str">
        <v>Japan</v>
      </c>
      <c r="I899">
        <v>2.78</v>
      </c>
      <c r="L899" s="6" t="s">
        <v>1844</v>
      </c>
      <c r="M899" t="str" cm="1">
        <f t="array" ref="M899:O899">INDEX('Main Data'!A896:O1895,MATCH(L899,'Main Data'!A896:A1895,0),{3,7,14})</f>
        <v>Other</v>
      </c>
      <c r="N899">
        <v>128947.09</v>
      </c>
      <c r="O899">
        <v>2.78</v>
      </c>
    </row>
    <row r="900" spans="1:15" x14ac:dyDescent="0.3">
      <c r="A900" s="6" t="s">
        <v>1846</v>
      </c>
      <c r="B900" cm="1">
        <f t="array" ref="B900:C900">_xlfn.XLOOKUP(A900,'Main Data'!A897:A1896,'Main Data'!B897:C1896,"Data Not Found",0)</f>
        <v>60</v>
      </c>
      <c r="C900" t="str">
        <v>Male</v>
      </c>
      <c r="E900" s="6" t="s">
        <v>1846</v>
      </c>
      <c r="F900" cm="1">
        <f t="array" ref="F900:I900">VLOOKUP(E900,CHOOSE({1,2,3,4,5},'Main Data'!A897:A1896,'Main Data'!B897:B1896,'Main Data'!C897:C1896,'Main Data'!M897:M1896,'Main Data'!N897:N1896),{2,3,4,5},0)</f>
        <v>60</v>
      </c>
      <c r="G900" t="str">
        <v>Male</v>
      </c>
      <c r="H900" t="str">
        <v>USA</v>
      </c>
      <c r="I900">
        <v>3.82</v>
      </c>
      <c r="L900" s="6" t="s">
        <v>1846</v>
      </c>
      <c r="M900" t="str" cm="1">
        <f t="array" ref="M900:O900">INDEX('Main Data'!A897:O1896,MATCH(L900,'Main Data'!A897:A1896,0),{3,7,14})</f>
        <v>Male</v>
      </c>
      <c r="N900">
        <v>113975.28</v>
      </c>
      <c r="O900">
        <v>3.82</v>
      </c>
    </row>
    <row r="901" spans="1:15" x14ac:dyDescent="0.3">
      <c r="A901" s="6" t="s">
        <v>1848</v>
      </c>
      <c r="B901" cm="1">
        <f t="array" ref="B901:C901">_xlfn.XLOOKUP(A901,'Main Data'!A898:A1897,'Main Data'!B898:C1897,"Data Not Found",0)</f>
        <v>57</v>
      </c>
      <c r="C901" t="str">
        <v>Male</v>
      </c>
      <c r="E901" s="6" t="s">
        <v>1848</v>
      </c>
      <c r="F901" cm="1">
        <f t="array" ref="F901:I901">VLOOKUP(E901,CHOOSE({1,2,3,4,5},'Main Data'!A898:A1897,'Main Data'!B898:B1897,'Main Data'!C898:C1897,'Main Data'!M898:M1897,'Main Data'!N898:N1897),{2,3,4,5},0)</f>
        <v>57</v>
      </c>
      <c r="G901" t="str">
        <v>Male</v>
      </c>
      <c r="H901" t="str">
        <v>France</v>
      </c>
      <c r="I901">
        <v>2.64</v>
      </c>
      <c r="L901" s="6" t="s">
        <v>1848</v>
      </c>
      <c r="M901" t="str" cm="1">
        <f t="array" ref="M901:O901">INDEX('Main Data'!A898:O1897,MATCH(L901,'Main Data'!A898:A1897,0),{3,7,14})</f>
        <v>Male</v>
      </c>
      <c r="N901">
        <v>167239.96</v>
      </c>
      <c r="O901">
        <v>2.64</v>
      </c>
    </row>
    <row r="902" spans="1:15" x14ac:dyDescent="0.3">
      <c r="A902" s="6" t="s">
        <v>1850</v>
      </c>
      <c r="B902" cm="1">
        <f t="array" ref="B902:C902">_xlfn.XLOOKUP(A902,'Main Data'!A899:A1898,'Main Data'!B899:C1898,"Data Not Found",0)</f>
        <v>46</v>
      </c>
      <c r="C902" t="str">
        <v>Male</v>
      </c>
      <c r="E902" s="6" t="s">
        <v>1850</v>
      </c>
      <c r="F902" cm="1">
        <f t="array" ref="F902:I902">VLOOKUP(E902,CHOOSE({1,2,3,4,5},'Main Data'!A899:A1898,'Main Data'!B899:B1898,'Main Data'!C899:C1898,'Main Data'!M899:M1898,'Main Data'!N899:N1898),{2,3,4,5},0)</f>
        <v>46</v>
      </c>
      <c r="G902" t="str">
        <v>Male</v>
      </c>
      <c r="H902" t="str">
        <v>UK</v>
      </c>
      <c r="I902">
        <v>1.52</v>
      </c>
      <c r="L902" s="6" t="s">
        <v>1850</v>
      </c>
      <c r="M902" t="str" cm="1">
        <f t="array" ref="M902:O902">INDEX('Main Data'!A899:O1898,MATCH(L902,'Main Data'!A899:A1898,0),{3,7,14})</f>
        <v>Male</v>
      </c>
      <c r="N902">
        <v>110217.22</v>
      </c>
      <c r="O902">
        <v>1.52</v>
      </c>
    </row>
    <row r="903" spans="1:15" x14ac:dyDescent="0.3">
      <c r="A903" s="6" t="s">
        <v>1852</v>
      </c>
      <c r="B903" cm="1">
        <f t="array" ref="B903:C903">_xlfn.XLOOKUP(A903,'Main Data'!A900:A1899,'Main Data'!B900:C1899,"Data Not Found",0)</f>
        <v>37</v>
      </c>
      <c r="C903" t="str">
        <v>Male</v>
      </c>
      <c r="E903" s="6" t="s">
        <v>1852</v>
      </c>
      <c r="F903" cm="1">
        <f t="array" ref="F903:I903">VLOOKUP(E903,CHOOSE({1,2,3,4,5},'Main Data'!A900:A1899,'Main Data'!B900:B1899,'Main Data'!C900:C1899,'Main Data'!M900:M1899,'Main Data'!N900:N1899),{2,3,4,5},0)</f>
        <v>37</v>
      </c>
      <c r="G903" t="str">
        <v>Male</v>
      </c>
      <c r="H903" t="str">
        <v>UAE</v>
      </c>
      <c r="I903">
        <v>1.58</v>
      </c>
      <c r="L903" s="6" t="s">
        <v>1852</v>
      </c>
      <c r="M903" t="str" cm="1">
        <f t="array" ref="M903:O903">INDEX('Main Data'!A900:O1899,MATCH(L903,'Main Data'!A900:A1899,0),{3,7,14})</f>
        <v>Male</v>
      </c>
      <c r="N903">
        <v>138160.42000000001</v>
      </c>
      <c r="O903">
        <v>1.58</v>
      </c>
    </row>
    <row r="904" spans="1:15" x14ac:dyDescent="0.3">
      <c r="A904" s="6" t="s">
        <v>1854</v>
      </c>
      <c r="B904" cm="1">
        <f t="array" ref="B904:C904">_xlfn.XLOOKUP(A904,'Main Data'!A901:A1900,'Main Data'!B901:C1900,"Data Not Found",0)</f>
        <v>42</v>
      </c>
      <c r="C904" t="str">
        <v>Other</v>
      </c>
      <c r="E904" s="6" t="s">
        <v>1854</v>
      </c>
      <c r="F904" cm="1">
        <f t="array" ref="F904:I904">VLOOKUP(E904,CHOOSE({1,2,3,4,5},'Main Data'!A901:A1900,'Main Data'!B901:B1900,'Main Data'!C901:C1900,'Main Data'!M901:M1900,'Main Data'!N901:N1900),{2,3,4,5},0)</f>
        <v>42</v>
      </c>
      <c r="G904" t="str">
        <v>Other</v>
      </c>
      <c r="H904" t="str">
        <v>Japan</v>
      </c>
      <c r="I904">
        <v>3.7</v>
      </c>
      <c r="L904" s="6" t="s">
        <v>1854</v>
      </c>
      <c r="M904" t="str" cm="1">
        <f t="array" ref="M904:O904">INDEX('Main Data'!A901:O1900,MATCH(L904,'Main Data'!A901:A1900,0),{3,7,14})</f>
        <v>Other</v>
      </c>
      <c r="N904">
        <v>67064.23</v>
      </c>
      <c r="O904">
        <v>3.7</v>
      </c>
    </row>
    <row r="905" spans="1:15" x14ac:dyDescent="0.3">
      <c r="A905" s="6" t="s">
        <v>1856</v>
      </c>
      <c r="B905" cm="1">
        <f t="array" ref="B905:C905">_xlfn.XLOOKUP(A905,'Main Data'!A902:A1901,'Main Data'!B902:C1901,"Data Not Found",0)</f>
        <v>31</v>
      </c>
      <c r="C905" t="str">
        <v>Male</v>
      </c>
      <c r="E905" s="6" t="s">
        <v>1856</v>
      </c>
      <c r="F905" cm="1">
        <f t="array" ref="F905:I905">VLOOKUP(E905,CHOOSE({1,2,3,4,5},'Main Data'!A902:A1901,'Main Data'!B902:B1901,'Main Data'!C902:C1901,'Main Data'!M902:M1901,'Main Data'!N902:N1901),{2,3,4,5},0)</f>
        <v>31</v>
      </c>
      <c r="G905" t="str">
        <v>Male</v>
      </c>
      <c r="H905" t="str">
        <v>USA</v>
      </c>
      <c r="I905">
        <v>3.55</v>
      </c>
      <c r="L905" s="6" t="s">
        <v>1856</v>
      </c>
      <c r="M905" t="str" cm="1">
        <f t="array" ref="M905:O905">INDEX('Main Data'!A902:O1901,MATCH(L905,'Main Data'!A902:A1901,0),{3,7,14})</f>
        <v>Male</v>
      </c>
      <c r="N905">
        <v>197991.14</v>
      </c>
      <c r="O905">
        <v>3.55</v>
      </c>
    </row>
    <row r="906" spans="1:15" x14ac:dyDescent="0.3">
      <c r="A906" s="6" t="s">
        <v>1858</v>
      </c>
      <c r="B906" cm="1">
        <f t="array" ref="B906:C906">_xlfn.XLOOKUP(A906,'Main Data'!A903:A1902,'Main Data'!B903:C1902,"Data Not Found",0)</f>
        <v>26</v>
      </c>
      <c r="C906" t="str">
        <v>Female</v>
      </c>
      <c r="E906" s="6" t="s">
        <v>1858</v>
      </c>
      <c r="F906" cm="1">
        <f t="array" ref="F906:I906">VLOOKUP(E906,CHOOSE({1,2,3,4,5},'Main Data'!A903:A1902,'Main Data'!B903:B1902,'Main Data'!C903:C1902,'Main Data'!M903:M1902,'Main Data'!N903:N1902),{2,3,4,5},0)</f>
        <v>26</v>
      </c>
      <c r="G906" t="str">
        <v>Female</v>
      </c>
      <c r="H906" t="str">
        <v>France</v>
      </c>
      <c r="I906">
        <v>3.79</v>
      </c>
      <c r="L906" s="6" t="s">
        <v>1858</v>
      </c>
      <c r="M906" t="str" cm="1">
        <f t="array" ref="M906:O906">INDEX('Main Data'!A903:O1902,MATCH(L906,'Main Data'!A903:A1902,0),{3,7,14})</f>
        <v>Female</v>
      </c>
      <c r="N906">
        <v>74654.539999999994</v>
      </c>
      <c r="O906">
        <v>3.79</v>
      </c>
    </row>
    <row r="907" spans="1:15" x14ac:dyDescent="0.3">
      <c r="A907" s="6" t="s">
        <v>1860</v>
      </c>
      <c r="B907" cm="1">
        <f t="array" ref="B907:C907">_xlfn.XLOOKUP(A907,'Main Data'!A904:A1903,'Main Data'!B904:C1903,"Data Not Found",0)</f>
        <v>46</v>
      </c>
      <c r="C907" t="str">
        <v>Other</v>
      </c>
      <c r="E907" s="6" t="s">
        <v>1860</v>
      </c>
      <c r="F907" cm="1">
        <f t="array" ref="F907:I907">VLOOKUP(E907,CHOOSE({1,2,3,4,5},'Main Data'!A904:A1903,'Main Data'!B904:B1903,'Main Data'!C904:C1903,'Main Data'!M904:M1903,'Main Data'!N904:N1903),{2,3,4,5},0)</f>
        <v>46</v>
      </c>
      <c r="G907" t="str">
        <v>Other</v>
      </c>
      <c r="H907" t="str">
        <v>UK</v>
      </c>
      <c r="I907">
        <v>1.79</v>
      </c>
      <c r="L907" s="6" t="s">
        <v>1860</v>
      </c>
      <c r="M907" t="str" cm="1">
        <f t="array" ref="M907:O907">INDEX('Main Data'!A904:O1903,MATCH(L907,'Main Data'!A904:A1903,0),{3,7,14})</f>
        <v>Other</v>
      </c>
      <c r="N907">
        <v>75358.789999999994</v>
      </c>
      <c r="O907">
        <v>1.79</v>
      </c>
    </row>
    <row r="908" spans="1:15" x14ac:dyDescent="0.3">
      <c r="A908" s="6" t="s">
        <v>1862</v>
      </c>
      <c r="B908" cm="1">
        <f t="array" ref="B908:C908">_xlfn.XLOOKUP(A908,'Main Data'!A905:A1904,'Main Data'!B905:C1904,"Data Not Found",0)</f>
        <v>52</v>
      </c>
      <c r="C908" t="str">
        <v>Other</v>
      </c>
      <c r="E908" s="6" t="s">
        <v>1862</v>
      </c>
      <c r="F908" cm="1">
        <f t="array" ref="F908:I908">VLOOKUP(E908,CHOOSE({1,2,3,4,5},'Main Data'!A905:A1904,'Main Data'!B905:B1904,'Main Data'!C905:C1904,'Main Data'!M905:M1904,'Main Data'!N905:N1904),{2,3,4,5},0)</f>
        <v>52</v>
      </c>
      <c r="G908" t="str">
        <v>Other</v>
      </c>
      <c r="H908" t="str">
        <v>UAE</v>
      </c>
      <c r="I908">
        <v>2.7</v>
      </c>
      <c r="L908" s="6" t="s">
        <v>1862</v>
      </c>
      <c r="M908" t="str" cm="1">
        <f t="array" ref="M908:O908">INDEX('Main Data'!A905:O1904,MATCH(L908,'Main Data'!A905:A1904,0),{3,7,14})</f>
        <v>Other</v>
      </c>
      <c r="N908">
        <v>116063.57</v>
      </c>
      <c r="O908">
        <v>2.7</v>
      </c>
    </row>
    <row r="909" spans="1:15" x14ac:dyDescent="0.3">
      <c r="A909" s="6" t="s">
        <v>1864</v>
      </c>
      <c r="B909" cm="1">
        <f t="array" ref="B909:C909">_xlfn.XLOOKUP(A909,'Main Data'!A906:A1905,'Main Data'!B906:C1905,"Data Not Found",0)</f>
        <v>24</v>
      </c>
      <c r="C909" t="str">
        <v>Other</v>
      </c>
      <c r="E909" s="6" t="s">
        <v>1864</v>
      </c>
      <c r="F909" cm="1">
        <f t="array" ref="F909:I909">VLOOKUP(E909,CHOOSE({1,2,3,4,5},'Main Data'!A906:A1905,'Main Data'!B906:B1905,'Main Data'!C906:C1905,'Main Data'!M906:M1905,'Main Data'!N906:N1905),{2,3,4,5},0)</f>
        <v>24</v>
      </c>
      <c r="G909" t="str">
        <v>Other</v>
      </c>
      <c r="H909" t="str">
        <v>Japan</v>
      </c>
      <c r="I909">
        <v>1.78</v>
      </c>
      <c r="L909" s="6" t="s">
        <v>1864</v>
      </c>
      <c r="M909" t="str" cm="1">
        <f t="array" ref="M909:O909">INDEX('Main Data'!A906:O1905,MATCH(L909,'Main Data'!A906:A1905,0),{3,7,14})</f>
        <v>Other</v>
      </c>
      <c r="N909">
        <v>88789.759999999995</v>
      </c>
      <c r="O909">
        <v>1.78</v>
      </c>
    </row>
    <row r="910" spans="1:15" x14ac:dyDescent="0.3">
      <c r="A910" s="6" t="s">
        <v>1866</v>
      </c>
      <c r="B910" cm="1">
        <f t="array" ref="B910:C910">_xlfn.XLOOKUP(A910,'Main Data'!A907:A1906,'Main Data'!B907:C1906,"Data Not Found",0)</f>
        <v>41</v>
      </c>
      <c r="C910" t="str">
        <v>Male</v>
      </c>
      <c r="E910" s="6" t="s">
        <v>1866</v>
      </c>
      <c r="F910" cm="1">
        <f t="array" ref="F910:I910">VLOOKUP(E910,CHOOSE({1,2,3,4,5},'Main Data'!A907:A1906,'Main Data'!B907:B1906,'Main Data'!C907:C1906,'Main Data'!M907:M1906,'Main Data'!N907:N1906),{2,3,4,5},0)</f>
        <v>41</v>
      </c>
      <c r="G910" t="str">
        <v>Male</v>
      </c>
      <c r="H910" t="str">
        <v>USA</v>
      </c>
      <c r="I910">
        <v>2.23</v>
      </c>
      <c r="L910" s="6" t="s">
        <v>1866</v>
      </c>
      <c r="M910" t="str" cm="1">
        <f t="array" ref="M910:O910">INDEX('Main Data'!A907:O1906,MATCH(L910,'Main Data'!A907:A1906,0),{3,7,14})</f>
        <v>Male</v>
      </c>
      <c r="N910">
        <v>144437.32</v>
      </c>
      <c r="O910">
        <v>2.23</v>
      </c>
    </row>
    <row r="911" spans="1:15" x14ac:dyDescent="0.3">
      <c r="A911" s="6" t="s">
        <v>1868</v>
      </c>
      <c r="B911" cm="1">
        <f t="array" ref="B911:C911">_xlfn.XLOOKUP(A911,'Main Data'!A908:A1907,'Main Data'!B908:C1907,"Data Not Found",0)</f>
        <v>25</v>
      </c>
      <c r="C911" t="str">
        <v>Other</v>
      </c>
      <c r="E911" s="6" t="s">
        <v>1868</v>
      </c>
      <c r="F911" cm="1">
        <f t="array" ref="F911:I911">VLOOKUP(E911,CHOOSE({1,2,3,4,5},'Main Data'!A908:A1907,'Main Data'!B908:B1907,'Main Data'!C908:C1907,'Main Data'!M908:M1907,'Main Data'!N908:N1907),{2,3,4,5},0)</f>
        <v>25</v>
      </c>
      <c r="G911" t="str">
        <v>Other</v>
      </c>
      <c r="H911" t="str">
        <v>France</v>
      </c>
      <c r="I911">
        <v>1.93</v>
      </c>
      <c r="L911" s="6" t="s">
        <v>1868</v>
      </c>
      <c r="M911" t="str" cm="1">
        <f t="array" ref="M911:O911">INDEX('Main Data'!A908:O1907,MATCH(L911,'Main Data'!A908:A1907,0),{3,7,14})</f>
        <v>Other</v>
      </c>
      <c r="N911">
        <v>51943.85</v>
      </c>
      <c r="O911">
        <v>1.93</v>
      </c>
    </row>
    <row r="912" spans="1:15" x14ac:dyDescent="0.3">
      <c r="A912" s="6" t="s">
        <v>1870</v>
      </c>
      <c r="B912" cm="1">
        <f t="array" ref="B912:C912">_xlfn.XLOOKUP(A912,'Main Data'!A909:A1908,'Main Data'!B909:C1908,"Data Not Found",0)</f>
        <v>35</v>
      </c>
      <c r="C912" t="str">
        <v>Male</v>
      </c>
      <c r="E912" s="6" t="s">
        <v>1870</v>
      </c>
      <c r="F912" cm="1">
        <f t="array" ref="F912:I912">VLOOKUP(E912,CHOOSE({1,2,3,4,5},'Main Data'!A909:A1908,'Main Data'!B909:B1908,'Main Data'!C909:C1908,'Main Data'!M909:M1908,'Main Data'!N909:N1908),{2,3,4,5},0)</f>
        <v>35</v>
      </c>
      <c r="G912" t="str">
        <v>Male</v>
      </c>
      <c r="H912" t="str">
        <v>UK</v>
      </c>
      <c r="I912">
        <v>1.1200000000000001</v>
      </c>
      <c r="L912" s="6" t="s">
        <v>1870</v>
      </c>
      <c r="M912" t="str" cm="1">
        <f t="array" ref="M912:O912">INDEX('Main Data'!A909:O1908,MATCH(L912,'Main Data'!A909:A1908,0),{3,7,14})</f>
        <v>Male</v>
      </c>
      <c r="N912">
        <v>129375.61</v>
      </c>
      <c r="O912">
        <v>1.1200000000000001</v>
      </c>
    </row>
    <row r="913" spans="1:15" x14ac:dyDescent="0.3">
      <c r="A913" s="6" t="s">
        <v>1872</v>
      </c>
      <c r="B913" cm="1">
        <f t="array" ref="B913:C913">_xlfn.XLOOKUP(A913,'Main Data'!A910:A1909,'Main Data'!B910:C1909,"Data Not Found",0)</f>
        <v>33</v>
      </c>
      <c r="C913" t="str">
        <v>Male</v>
      </c>
      <c r="E913" s="6" t="s">
        <v>1872</v>
      </c>
      <c r="F913" cm="1">
        <f t="array" ref="F913:I913">VLOOKUP(E913,CHOOSE({1,2,3,4,5},'Main Data'!A910:A1909,'Main Data'!B910:B1909,'Main Data'!C910:C1909,'Main Data'!M910:M1909,'Main Data'!N910:N1909),{2,3,4,5},0)</f>
        <v>33</v>
      </c>
      <c r="G913" t="str">
        <v>Male</v>
      </c>
      <c r="H913" t="str">
        <v>UAE</v>
      </c>
      <c r="I913">
        <v>2.93</v>
      </c>
      <c r="L913" s="6" t="s">
        <v>1872</v>
      </c>
      <c r="M913" t="str" cm="1">
        <f t="array" ref="M913:O913">INDEX('Main Data'!A910:O1909,MATCH(L913,'Main Data'!A910:A1909,0),{3,7,14})</f>
        <v>Male</v>
      </c>
      <c r="N913">
        <v>172244.81</v>
      </c>
      <c r="O913">
        <v>2.93</v>
      </c>
    </row>
    <row r="914" spans="1:15" x14ac:dyDescent="0.3">
      <c r="A914" s="6" t="s">
        <v>1874</v>
      </c>
      <c r="B914" cm="1">
        <f t="array" ref="B914:C914">_xlfn.XLOOKUP(A914,'Main Data'!A911:A1910,'Main Data'!B911:C1910,"Data Not Found",0)</f>
        <v>35</v>
      </c>
      <c r="C914" t="str">
        <v>Other</v>
      </c>
      <c r="E914" s="6" t="s">
        <v>1874</v>
      </c>
      <c r="F914" cm="1">
        <f t="array" ref="F914:I914">VLOOKUP(E914,CHOOSE({1,2,3,4,5},'Main Data'!A911:A1910,'Main Data'!B911:B1910,'Main Data'!C911:C1910,'Main Data'!M911:M1910,'Main Data'!N911:N1910),{2,3,4,5},0)</f>
        <v>35</v>
      </c>
      <c r="G914" t="str">
        <v>Other</v>
      </c>
      <c r="H914" t="str">
        <v>Japan</v>
      </c>
      <c r="I914">
        <v>2.92</v>
      </c>
      <c r="L914" s="6" t="s">
        <v>1874</v>
      </c>
      <c r="M914" t="str" cm="1">
        <f t="array" ref="M914:O914">INDEX('Main Data'!A911:O1910,MATCH(L914,'Main Data'!A911:A1910,0),{3,7,14})</f>
        <v>Other</v>
      </c>
      <c r="N914">
        <v>192453.8</v>
      </c>
      <c r="O914">
        <v>2.92</v>
      </c>
    </row>
    <row r="915" spans="1:15" x14ac:dyDescent="0.3">
      <c r="A915" s="6" t="s">
        <v>1876</v>
      </c>
      <c r="B915" cm="1">
        <f t="array" ref="B915:C915">_xlfn.XLOOKUP(A915,'Main Data'!A912:A1911,'Main Data'!B912:C1911,"Data Not Found",0)</f>
        <v>58</v>
      </c>
      <c r="C915" t="str">
        <v>Other</v>
      </c>
      <c r="E915" s="6" t="s">
        <v>1876</v>
      </c>
      <c r="F915" cm="1">
        <f t="array" ref="F915:I915">VLOOKUP(E915,CHOOSE({1,2,3,4,5},'Main Data'!A912:A1911,'Main Data'!B912:B1911,'Main Data'!C912:C1911,'Main Data'!M912:M1911,'Main Data'!N912:N1911),{2,3,4,5},0)</f>
        <v>58</v>
      </c>
      <c r="G915" t="str">
        <v>Other</v>
      </c>
      <c r="H915" t="str">
        <v>USA</v>
      </c>
      <c r="I915">
        <v>2.5499999999999998</v>
      </c>
      <c r="L915" s="6" t="s">
        <v>1876</v>
      </c>
      <c r="M915" t="str" cm="1">
        <f t="array" ref="M915:O915">INDEX('Main Data'!A912:O1911,MATCH(L915,'Main Data'!A912:A1911,0),{3,7,14})</f>
        <v>Other</v>
      </c>
      <c r="N915">
        <v>160984.26999999999</v>
      </c>
      <c r="O915">
        <v>2.5499999999999998</v>
      </c>
    </row>
    <row r="916" spans="1:15" x14ac:dyDescent="0.3">
      <c r="A916" s="6" t="s">
        <v>1878</v>
      </c>
      <c r="B916" cm="1">
        <f t="array" ref="B916:C916">_xlfn.XLOOKUP(A916,'Main Data'!A913:A1912,'Main Data'!B913:C1912,"Data Not Found",0)</f>
        <v>39</v>
      </c>
      <c r="C916" t="str">
        <v>Male</v>
      </c>
      <c r="E916" s="6" t="s">
        <v>1878</v>
      </c>
      <c r="F916" cm="1">
        <f t="array" ref="F916:I916">VLOOKUP(E916,CHOOSE({1,2,3,4,5},'Main Data'!A913:A1912,'Main Data'!B913:B1912,'Main Data'!C913:C1912,'Main Data'!M913:M1912,'Main Data'!N913:N1912),{2,3,4,5},0)</f>
        <v>39</v>
      </c>
      <c r="G916" t="str">
        <v>Male</v>
      </c>
      <c r="H916" t="str">
        <v>France</v>
      </c>
      <c r="I916">
        <v>1.39</v>
      </c>
      <c r="L916" s="6" t="s">
        <v>1878</v>
      </c>
      <c r="M916" t="str" cm="1">
        <f t="array" ref="M916:O916">INDEX('Main Data'!A913:O1912,MATCH(L916,'Main Data'!A913:A1912,0),{3,7,14})</f>
        <v>Male</v>
      </c>
      <c r="N916">
        <v>78085.679999999993</v>
      </c>
      <c r="O916">
        <v>1.39</v>
      </c>
    </row>
    <row r="917" spans="1:15" x14ac:dyDescent="0.3">
      <c r="A917" s="6" t="s">
        <v>1880</v>
      </c>
      <c r="B917" cm="1">
        <f t="array" ref="B917:C917">_xlfn.XLOOKUP(A917,'Main Data'!A914:A1913,'Main Data'!B914:C1913,"Data Not Found",0)</f>
        <v>48</v>
      </c>
      <c r="C917" t="str">
        <v>Other</v>
      </c>
      <c r="E917" s="6" t="s">
        <v>1880</v>
      </c>
      <c r="F917" cm="1">
        <f t="array" ref="F917:I917">VLOOKUP(E917,CHOOSE({1,2,3,4,5},'Main Data'!A914:A1913,'Main Data'!B914:B1913,'Main Data'!C914:C1913,'Main Data'!M914:M1913,'Main Data'!N914:N1913),{2,3,4,5},0)</f>
        <v>48</v>
      </c>
      <c r="G917" t="str">
        <v>Other</v>
      </c>
      <c r="H917" t="str">
        <v>UK</v>
      </c>
      <c r="I917">
        <v>2.87</v>
      </c>
      <c r="L917" s="6" t="s">
        <v>1880</v>
      </c>
      <c r="M917" t="str" cm="1">
        <f t="array" ref="M917:O917">INDEX('Main Data'!A914:O1913,MATCH(L917,'Main Data'!A914:A1913,0),{3,7,14})</f>
        <v>Other</v>
      </c>
      <c r="N917">
        <v>150329.75</v>
      </c>
      <c r="O917">
        <v>2.87</v>
      </c>
    </row>
    <row r="918" spans="1:15" x14ac:dyDescent="0.3">
      <c r="A918" s="6" t="s">
        <v>1882</v>
      </c>
      <c r="B918" cm="1">
        <f t="array" ref="B918:C918">_xlfn.XLOOKUP(A918,'Main Data'!A915:A1914,'Main Data'!B915:C1914,"Data Not Found",0)</f>
        <v>28</v>
      </c>
      <c r="C918" t="str">
        <v>Other</v>
      </c>
      <c r="E918" s="6" t="s">
        <v>1882</v>
      </c>
      <c r="F918" cm="1">
        <f t="array" ref="F918:I918">VLOOKUP(E918,CHOOSE({1,2,3,4,5},'Main Data'!A915:A1914,'Main Data'!B915:B1914,'Main Data'!C915:C1914,'Main Data'!M915:M1914,'Main Data'!N915:N1914),{2,3,4,5},0)</f>
        <v>28</v>
      </c>
      <c r="G918" t="str">
        <v>Other</v>
      </c>
      <c r="H918" t="str">
        <v>UAE</v>
      </c>
      <c r="I918">
        <v>3.29</v>
      </c>
      <c r="L918" s="6" t="s">
        <v>1882</v>
      </c>
      <c r="M918" t="str" cm="1">
        <f t="array" ref="M918:O918">INDEX('Main Data'!A915:O1914,MATCH(L918,'Main Data'!A915:A1914,0),{3,7,14})</f>
        <v>Other</v>
      </c>
      <c r="N918">
        <v>151829.70000000001</v>
      </c>
      <c r="O918">
        <v>3.29</v>
      </c>
    </row>
    <row r="919" spans="1:15" x14ac:dyDescent="0.3">
      <c r="A919" s="6" t="s">
        <v>1884</v>
      </c>
      <c r="B919" cm="1">
        <f t="array" ref="B919:C919">_xlfn.XLOOKUP(A919,'Main Data'!A916:A1915,'Main Data'!B916:C1915,"Data Not Found",0)</f>
        <v>56</v>
      </c>
      <c r="C919" t="str">
        <v>Male</v>
      </c>
      <c r="E919" s="6" t="s">
        <v>1884</v>
      </c>
      <c r="F919" cm="1">
        <f t="array" ref="F919:I919">VLOOKUP(E919,CHOOSE({1,2,3,4,5},'Main Data'!A916:A1915,'Main Data'!B916:B1915,'Main Data'!C916:C1915,'Main Data'!M916:M1915,'Main Data'!N916:N1915),{2,3,4,5},0)</f>
        <v>56</v>
      </c>
      <c r="G919" t="str">
        <v>Male</v>
      </c>
      <c r="H919" t="str">
        <v>Japan</v>
      </c>
      <c r="I919">
        <v>2.12</v>
      </c>
      <c r="L919" s="6" t="s">
        <v>1884</v>
      </c>
      <c r="M919" t="str" cm="1">
        <f t="array" ref="M919:O919">INDEX('Main Data'!A916:O1915,MATCH(L919,'Main Data'!A916:A1915,0),{3,7,14})</f>
        <v>Male</v>
      </c>
      <c r="N919">
        <v>123716.51</v>
      </c>
      <c r="O919">
        <v>2.12</v>
      </c>
    </row>
    <row r="920" spans="1:15" x14ac:dyDescent="0.3">
      <c r="A920" s="6" t="s">
        <v>1886</v>
      </c>
      <c r="B920" cm="1">
        <f t="array" ref="B920:C920">_xlfn.XLOOKUP(A920,'Main Data'!A917:A1916,'Main Data'!B917:C1916,"Data Not Found",0)</f>
        <v>43</v>
      </c>
      <c r="C920" t="str">
        <v>Male</v>
      </c>
      <c r="E920" s="6" t="s">
        <v>1886</v>
      </c>
      <c r="F920" cm="1">
        <f t="array" ref="F920:I920">VLOOKUP(E920,CHOOSE({1,2,3,4,5},'Main Data'!A917:A1916,'Main Data'!B917:B1916,'Main Data'!C917:C1916,'Main Data'!M917:M1916,'Main Data'!N917:N1916),{2,3,4,5},0)</f>
        <v>43</v>
      </c>
      <c r="G920" t="str">
        <v>Male</v>
      </c>
      <c r="H920" t="str">
        <v>USA</v>
      </c>
      <c r="I920">
        <v>4.8499999999999996</v>
      </c>
      <c r="L920" s="6" t="s">
        <v>1886</v>
      </c>
      <c r="M920" t="str" cm="1">
        <f t="array" ref="M920:O920">INDEX('Main Data'!A917:O1916,MATCH(L920,'Main Data'!A917:A1916,0),{3,7,14})</f>
        <v>Male</v>
      </c>
      <c r="N920">
        <v>164482.20000000001</v>
      </c>
      <c r="O920">
        <v>4.8499999999999996</v>
      </c>
    </row>
    <row r="921" spans="1:15" x14ac:dyDescent="0.3">
      <c r="A921" s="6" t="s">
        <v>1888</v>
      </c>
      <c r="B921" cm="1">
        <f t="array" ref="B921:C921">_xlfn.XLOOKUP(A921,'Main Data'!A918:A1917,'Main Data'!B918:C1917,"Data Not Found",0)</f>
        <v>42</v>
      </c>
      <c r="C921" t="str">
        <v>Other</v>
      </c>
      <c r="E921" s="6" t="s">
        <v>1888</v>
      </c>
      <c r="F921" cm="1">
        <f t="array" ref="F921:I921">VLOOKUP(E921,CHOOSE({1,2,3,4,5},'Main Data'!A918:A1917,'Main Data'!B918:B1917,'Main Data'!C918:C1917,'Main Data'!M918:M1917,'Main Data'!N918:N1917),{2,3,4,5},0)</f>
        <v>42</v>
      </c>
      <c r="G921" t="str">
        <v>Other</v>
      </c>
      <c r="H921" t="str">
        <v>France</v>
      </c>
      <c r="I921">
        <v>2.37</v>
      </c>
      <c r="L921" s="6" t="s">
        <v>1888</v>
      </c>
      <c r="M921" t="str" cm="1">
        <f t="array" ref="M921:O921">INDEX('Main Data'!A918:O1917,MATCH(L921,'Main Data'!A918:A1917,0),{3,7,14})</f>
        <v>Other</v>
      </c>
      <c r="N921">
        <v>166000.63</v>
      </c>
      <c r="O921">
        <v>2.37</v>
      </c>
    </row>
    <row r="922" spans="1:15" x14ac:dyDescent="0.3">
      <c r="A922" s="6" t="s">
        <v>1890</v>
      </c>
      <c r="B922" cm="1">
        <f t="array" ref="B922:C922">_xlfn.XLOOKUP(A922,'Main Data'!A919:A1918,'Main Data'!B919:C1918,"Data Not Found",0)</f>
        <v>64</v>
      </c>
      <c r="C922" t="str">
        <v>Male</v>
      </c>
      <c r="E922" s="6" t="s">
        <v>1890</v>
      </c>
      <c r="F922" cm="1">
        <f t="array" ref="F922:I922">VLOOKUP(E922,CHOOSE({1,2,3,4,5},'Main Data'!A919:A1918,'Main Data'!B919:B1918,'Main Data'!C919:C1918,'Main Data'!M919:M1918,'Main Data'!N919:N1918),{2,3,4,5},0)</f>
        <v>64</v>
      </c>
      <c r="G922" t="str">
        <v>Male</v>
      </c>
      <c r="H922" t="str">
        <v>UK</v>
      </c>
      <c r="I922">
        <v>1.47</v>
      </c>
      <c r="L922" s="6" t="s">
        <v>1890</v>
      </c>
      <c r="M922" t="str" cm="1">
        <f t="array" ref="M922:O922">INDEX('Main Data'!A919:O1918,MATCH(L922,'Main Data'!A919:A1918,0),{3,7,14})</f>
        <v>Male</v>
      </c>
      <c r="N922">
        <v>155768.04999999999</v>
      </c>
      <c r="O922">
        <v>1.47</v>
      </c>
    </row>
    <row r="923" spans="1:15" x14ac:dyDescent="0.3">
      <c r="A923" s="6" t="s">
        <v>1892</v>
      </c>
      <c r="B923" cm="1">
        <f t="array" ref="B923:C923">_xlfn.XLOOKUP(A923,'Main Data'!A920:A1919,'Main Data'!B920:C1919,"Data Not Found",0)</f>
        <v>39</v>
      </c>
      <c r="C923" t="str">
        <v>Male</v>
      </c>
      <c r="E923" s="6" t="s">
        <v>1892</v>
      </c>
      <c r="F923" cm="1">
        <f t="array" ref="F923:I923">VLOOKUP(E923,CHOOSE({1,2,3,4,5},'Main Data'!A920:A1919,'Main Data'!B920:B1919,'Main Data'!C920:C1919,'Main Data'!M920:M1919,'Main Data'!N920:N1919),{2,3,4,5},0)</f>
        <v>39</v>
      </c>
      <c r="G923" t="str">
        <v>Male</v>
      </c>
      <c r="H923" t="str">
        <v>UAE</v>
      </c>
      <c r="I923">
        <v>1.84</v>
      </c>
      <c r="L923" s="6" t="s">
        <v>1892</v>
      </c>
      <c r="M923" t="str" cm="1">
        <f t="array" ref="M923:O923">INDEX('Main Data'!A920:O1919,MATCH(L923,'Main Data'!A920:A1919,0),{3,7,14})</f>
        <v>Male</v>
      </c>
      <c r="N923">
        <v>88581.45</v>
      </c>
      <c r="O923">
        <v>1.84</v>
      </c>
    </row>
    <row r="924" spans="1:15" x14ac:dyDescent="0.3">
      <c r="A924" s="6" t="s">
        <v>1894</v>
      </c>
      <c r="B924" cm="1">
        <f t="array" ref="B924:C924">_xlfn.XLOOKUP(A924,'Main Data'!A921:A1920,'Main Data'!B921:C1920,"Data Not Found",0)</f>
        <v>59</v>
      </c>
      <c r="C924" t="str">
        <v>Female</v>
      </c>
      <c r="E924" s="6" t="s">
        <v>1894</v>
      </c>
      <c r="F924" cm="1">
        <f t="array" ref="F924:I924">VLOOKUP(E924,CHOOSE({1,2,3,4,5},'Main Data'!A921:A1920,'Main Data'!B921:B1920,'Main Data'!C921:C1920,'Main Data'!M921:M1920,'Main Data'!N921:N1920),{2,3,4,5},0)</f>
        <v>59</v>
      </c>
      <c r="G924" t="str">
        <v>Female</v>
      </c>
      <c r="H924" t="str">
        <v>Japan</v>
      </c>
      <c r="I924">
        <v>4.63</v>
      </c>
      <c r="L924" s="6" t="s">
        <v>1894</v>
      </c>
      <c r="M924" t="str" cm="1">
        <f t="array" ref="M924:O924">INDEX('Main Data'!A921:O1920,MATCH(L924,'Main Data'!A921:A1920,0),{3,7,14})</f>
        <v>Female</v>
      </c>
      <c r="N924">
        <v>188972.29</v>
      </c>
      <c r="O924">
        <v>4.63</v>
      </c>
    </row>
    <row r="925" spans="1:15" x14ac:dyDescent="0.3">
      <c r="A925" s="6" t="s">
        <v>1896</v>
      </c>
      <c r="B925" cm="1">
        <f t="array" ref="B925:C925">_xlfn.XLOOKUP(A925,'Main Data'!A922:A1921,'Main Data'!B922:C1921,"Data Not Found",0)</f>
        <v>47</v>
      </c>
      <c r="C925" t="str">
        <v>Other</v>
      </c>
      <c r="E925" s="6" t="s">
        <v>1896</v>
      </c>
      <c r="F925" cm="1">
        <f t="array" ref="F925:I925">VLOOKUP(E925,CHOOSE({1,2,3,4,5},'Main Data'!A922:A1921,'Main Data'!B922:B1921,'Main Data'!C922:C1921,'Main Data'!M922:M1921,'Main Data'!N922:N1921),{2,3,4,5},0)</f>
        <v>47</v>
      </c>
      <c r="G925" t="str">
        <v>Other</v>
      </c>
      <c r="H925" t="str">
        <v>USA</v>
      </c>
      <c r="I925">
        <v>3.04</v>
      </c>
      <c r="L925" s="6" t="s">
        <v>1896</v>
      </c>
      <c r="M925" t="str" cm="1">
        <f t="array" ref="M925:O925">INDEX('Main Data'!A922:O1921,MATCH(L925,'Main Data'!A922:A1921,0),{3,7,14})</f>
        <v>Other</v>
      </c>
      <c r="N925">
        <v>56917.11</v>
      </c>
      <c r="O925">
        <v>3.04</v>
      </c>
    </row>
    <row r="926" spans="1:15" x14ac:dyDescent="0.3">
      <c r="A926" s="6" t="s">
        <v>1898</v>
      </c>
      <c r="B926" cm="1">
        <f t="array" ref="B926:C926">_xlfn.XLOOKUP(A926,'Main Data'!A923:A1922,'Main Data'!B923:C1922,"Data Not Found",0)</f>
        <v>43</v>
      </c>
      <c r="C926" t="str">
        <v>Other</v>
      </c>
      <c r="E926" s="6" t="s">
        <v>1898</v>
      </c>
      <c r="F926" cm="1">
        <f t="array" ref="F926:I926">VLOOKUP(E926,CHOOSE({1,2,3,4,5},'Main Data'!A923:A1922,'Main Data'!B923:B1922,'Main Data'!C923:C1922,'Main Data'!M923:M1922,'Main Data'!N923:N1922),{2,3,4,5},0)</f>
        <v>43</v>
      </c>
      <c r="G926" t="str">
        <v>Other</v>
      </c>
      <c r="H926" t="str">
        <v>France</v>
      </c>
      <c r="I926">
        <v>4.99</v>
      </c>
      <c r="L926" s="6" t="s">
        <v>1898</v>
      </c>
      <c r="M926" t="str" cm="1">
        <f t="array" ref="M926:O926">INDEX('Main Data'!A923:O1922,MATCH(L926,'Main Data'!A923:A1922,0),{3,7,14})</f>
        <v>Other</v>
      </c>
      <c r="N926">
        <v>195655.31</v>
      </c>
      <c r="O926">
        <v>4.99</v>
      </c>
    </row>
    <row r="927" spans="1:15" x14ac:dyDescent="0.3">
      <c r="A927" s="6" t="s">
        <v>1900</v>
      </c>
      <c r="B927" cm="1">
        <f t="array" ref="B927:C927">_xlfn.XLOOKUP(A927,'Main Data'!A924:A1923,'Main Data'!B924:C1923,"Data Not Found",0)</f>
        <v>58</v>
      </c>
      <c r="C927" t="str">
        <v>Other</v>
      </c>
      <c r="E927" s="6" t="s">
        <v>1900</v>
      </c>
      <c r="F927" cm="1">
        <f t="array" ref="F927:I927">VLOOKUP(E927,CHOOSE({1,2,3,4,5},'Main Data'!A924:A1923,'Main Data'!B924:B1923,'Main Data'!C924:C1923,'Main Data'!M924:M1923,'Main Data'!N924:N1923),{2,3,4,5},0)</f>
        <v>58</v>
      </c>
      <c r="G927" t="str">
        <v>Other</v>
      </c>
      <c r="H927" t="str">
        <v>UK</v>
      </c>
      <c r="I927">
        <v>4.92</v>
      </c>
      <c r="L927" s="6" t="s">
        <v>1900</v>
      </c>
      <c r="M927" t="str" cm="1">
        <f t="array" ref="M927:O927">INDEX('Main Data'!A924:O1923,MATCH(L927,'Main Data'!A924:A1923,0),{3,7,14})</f>
        <v>Other</v>
      </c>
      <c r="N927">
        <v>129769.32</v>
      </c>
      <c r="O927">
        <v>4.92</v>
      </c>
    </row>
    <row r="928" spans="1:15" x14ac:dyDescent="0.3">
      <c r="A928" s="6" t="s">
        <v>1902</v>
      </c>
      <c r="B928" cm="1">
        <f t="array" ref="B928:C928">_xlfn.XLOOKUP(A928,'Main Data'!A925:A1924,'Main Data'!B925:C1924,"Data Not Found",0)</f>
        <v>26</v>
      </c>
      <c r="C928" t="str">
        <v>Other</v>
      </c>
      <c r="E928" s="6" t="s">
        <v>1902</v>
      </c>
      <c r="F928" cm="1">
        <f t="array" ref="F928:I928">VLOOKUP(E928,CHOOSE({1,2,3,4,5},'Main Data'!A925:A1924,'Main Data'!B925:B1924,'Main Data'!C925:C1924,'Main Data'!M925:M1924,'Main Data'!N925:N1924),{2,3,4,5},0)</f>
        <v>26</v>
      </c>
      <c r="G928" t="str">
        <v>Other</v>
      </c>
      <c r="H928" t="str">
        <v>UAE</v>
      </c>
      <c r="I928">
        <v>3.01</v>
      </c>
      <c r="L928" s="6" t="s">
        <v>1902</v>
      </c>
      <c r="M928" t="str" cm="1">
        <f t="array" ref="M928:O928">INDEX('Main Data'!A925:O1924,MATCH(L928,'Main Data'!A925:A1924,0),{3,7,14})</f>
        <v>Other</v>
      </c>
      <c r="N928">
        <v>147907.04</v>
      </c>
      <c r="O928">
        <v>3.01</v>
      </c>
    </row>
    <row r="929" spans="1:15" x14ac:dyDescent="0.3">
      <c r="A929" s="6" t="s">
        <v>1904</v>
      </c>
      <c r="B929" cm="1">
        <f t="array" ref="B929:C929">_xlfn.XLOOKUP(A929,'Main Data'!A926:A1925,'Main Data'!B926:C1925,"Data Not Found",0)</f>
        <v>56</v>
      </c>
      <c r="C929" t="str">
        <v>Other</v>
      </c>
      <c r="E929" s="6" t="s">
        <v>1904</v>
      </c>
      <c r="F929" cm="1">
        <f t="array" ref="F929:I929">VLOOKUP(E929,CHOOSE({1,2,3,4,5},'Main Data'!A926:A1925,'Main Data'!B926:B1925,'Main Data'!C926:C1925,'Main Data'!M926:M1925,'Main Data'!N926:N1925),{2,3,4,5},0)</f>
        <v>56</v>
      </c>
      <c r="G929" t="str">
        <v>Other</v>
      </c>
      <c r="H929" t="str">
        <v>Japan</v>
      </c>
      <c r="I929">
        <v>3.54</v>
      </c>
      <c r="L929" s="6" t="s">
        <v>1904</v>
      </c>
      <c r="M929" t="str" cm="1">
        <f t="array" ref="M929:O929">INDEX('Main Data'!A926:O1925,MATCH(L929,'Main Data'!A926:A1925,0),{3,7,14})</f>
        <v>Other</v>
      </c>
      <c r="N929">
        <v>174755.69</v>
      </c>
      <c r="O929">
        <v>3.54</v>
      </c>
    </row>
    <row r="930" spans="1:15" x14ac:dyDescent="0.3">
      <c r="A930" s="6" t="s">
        <v>1906</v>
      </c>
      <c r="B930" cm="1">
        <f t="array" ref="B930:C930">_xlfn.XLOOKUP(A930,'Main Data'!A927:A1926,'Main Data'!B927:C1926,"Data Not Found",0)</f>
        <v>33</v>
      </c>
      <c r="C930" t="str">
        <v>Male</v>
      </c>
      <c r="E930" s="6" t="s">
        <v>1906</v>
      </c>
      <c r="F930" cm="1">
        <f t="array" ref="F930:I930">VLOOKUP(E930,CHOOSE({1,2,3,4,5},'Main Data'!A927:A1926,'Main Data'!B927:B1926,'Main Data'!C927:C1926,'Main Data'!M927:M1926,'Main Data'!N927:N1926),{2,3,4,5},0)</f>
        <v>33</v>
      </c>
      <c r="G930" t="str">
        <v>Male</v>
      </c>
      <c r="H930" t="str">
        <v>USA</v>
      </c>
      <c r="I930">
        <v>2.4300000000000002</v>
      </c>
      <c r="L930" s="6" t="s">
        <v>1906</v>
      </c>
      <c r="M930" t="str" cm="1">
        <f t="array" ref="M930:O930">INDEX('Main Data'!A927:O1926,MATCH(L930,'Main Data'!A927:A1926,0),{3,7,14})</f>
        <v>Male</v>
      </c>
      <c r="N930">
        <v>74382.259999999995</v>
      </c>
      <c r="O930">
        <v>2.4300000000000002</v>
      </c>
    </row>
    <row r="931" spans="1:15" x14ac:dyDescent="0.3">
      <c r="A931" s="6" t="s">
        <v>1908</v>
      </c>
      <c r="B931" cm="1">
        <f t="array" ref="B931:C931">_xlfn.XLOOKUP(A931,'Main Data'!A928:A1927,'Main Data'!B928:C1927,"Data Not Found",0)</f>
        <v>56</v>
      </c>
      <c r="C931" t="str">
        <v>Other</v>
      </c>
      <c r="E931" s="6" t="s">
        <v>1908</v>
      </c>
      <c r="F931" cm="1">
        <f t="array" ref="F931:I931">VLOOKUP(E931,CHOOSE({1,2,3,4,5},'Main Data'!A928:A1927,'Main Data'!B928:B1927,'Main Data'!C928:C1927,'Main Data'!M928:M1927,'Main Data'!N928:N1927),{2,3,4,5},0)</f>
        <v>56</v>
      </c>
      <c r="G931" t="str">
        <v>Other</v>
      </c>
      <c r="H931" t="str">
        <v>France</v>
      </c>
      <c r="I931">
        <v>4.13</v>
      </c>
      <c r="L931" s="6" t="s">
        <v>1908</v>
      </c>
      <c r="M931" t="str" cm="1">
        <f t="array" ref="M931:O931">INDEX('Main Data'!A928:O1927,MATCH(L931,'Main Data'!A928:A1927,0),{3,7,14})</f>
        <v>Other</v>
      </c>
      <c r="N931">
        <v>184481.52</v>
      </c>
      <c r="O931">
        <v>4.13</v>
      </c>
    </row>
    <row r="932" spans="1:15" x14ac:dyDescent="0.3">
      <c r="A932" s="6" t="s">
        <v>1910</v>
      </c>
      <c r="B932" cm="1">
        <f t="array" ref="B932:C932">_xlfn.XLOOKUP(A932,'Main Data'!A929:A1928,'Main Data'!B929:C1928,"Data Not Found",0)</f>
        <v>55</v>
      </c>
      <c r="C932" t="str">
        <v>Other</v>
      </c>
      <c r="E932" s="6" t="s">
        <v>1910</v>
      </c>
      <c r="F932" cm="1">
        <f t="array" ref="F932:I932">VLOOKUP(E932,CHOOSE({1,2,3,4,5},'Main Data'!A929:A1928,'Main Data'!B929:B1928,'Main Data'!C929:C1928,'Main Data'!M929:M1928,'Main Data'!N929:N1928),{2,3,4,5},0)</f>
        <v>55</v>
      </c>
      <c r="G932" t="str">
        <v>Other</v>
      </c>
      <c r="H932" t="str">
        <v>UK</v>
      </c>
      <c r="I932">
        <v>3.02</v>
      </c>
      <c r="L932" s="6" t="s">
        <v>1910</v>
      </c>
      <c r="M932" t="str" cm="1">
        <f t="array" ref="M932:O932">INDEX('Main Data'!A929:O1928,MATCH(L932,'Main Data'!A929:A1928,0),{3,7,14})</f>
        <v>Other</v>
      </c>
      <c r="N932">
        <v>51421.52</v>
      </c>
      <c r="O932">
        <v>3.02</v>
      </c>
    </row>
    <row r="933" spans="1:15" x14ac:dyDescent="0.3">
      <c r="A933" s="6" t="s">
        <v>1912</v>
      </c>
      <c r="B933" cm="1">
        <f t="array" ref="B933:C933">_xlfn.XLOOKUP(A933,'Main Data'!A930:A1929,'Main Data'!B930:C1929,"Data Not Found",0)</f>
        <v>41</v>
      </c>
      <c r="C933" t="str">
        <v>Female</v>
      </c>
      <c r="E933" s="6" t="s">
        <v>1912</v>
      </c>
      <c r="F933" cm="1">
        <f t="array" ref="F933:I933">VLOOKUP(E933,CHOOSE({1,2,3,4,5},'Main Data'!A930:A1929,'Main Data'!B930:B1929,'Main Data'!C930:C1929,'Main Data'!M930:M1929,'Main Data'!N930:N1929),{2,3,4,5},0)</f>
        <v>41</v>
      </c>
      <c r="G933" t="str">
        <v>Female</v>
      </c>
      <c r="H933" t="str">
        <v>UAE</v>
      </c>
      <c r="I933">
        <v>3.26</v>
      </c>
      <c r="L933" s="6" t="s">
        <v>1912</v>
      </c>
      <c r="M933" t="str" cm="1">
        <f t="array" ref="M933:O933">INDEX('Main Data'!A930:O1929,MATCH(L933,'Main Data'!A930:A1929,0),{3,7,14})</f>
        <v>Female</v>
      </c>
      <c r="N933">
        <v>189466.05</v>
      </c>
      <c r="O933">
        <v>3.26</v>
      </c>
    </row>
    <row r="934" spans="1:15" x14ac:dyDescent="0.3">
      <c r="A934" s="6" t="s">
        <v>1914</v>
      </c>
      <c r="B934" cm="1">
        <f t="array" ref="B934:C934">_xlfn.XLOOKUP(A934,'Main Data'!A931:A1930,'Main Data'!B931:C1930,"Data Not Found",0)</f>
        <v>33</v>
      </c>
      <c r="C934" t="str">
        <v>Male</v>
      </c>
      <c r="E934" s="6" t="s">
        <v>1914</v>
      </c>
      <c r="F934" cm="1">
        <f t="array" ref="F934:I934">VLOOKUP(E934,CHOOSE({1,2,3,4,5},'Main Data'!A931:A1930,'Main Data'!B931:B1930,'Main Data'!C931:C1930,'Main Data'!M931:M1930,'Main Data'!N931:N1930),{2,3,4,5},0)</f>
        <v>33</v>
      </c>
      <c r="G934" t="str">
        <v>Male</v>
      </c>
      <c r="H934" t="str">
        <v>Japan</v>
      </c>
      <c r="I934">
        <v>3.63</v>
      </c>
      <c r="L934" s="6" t="s">
        <v>1914</v>
      </c>
      <c r="M934" t="str" cm="1">
        <f t="array" ref="M934:O934">INDEX('Main Data'!A931:O1930,MATCH(L934,'Main Data'!A931:A1930,0),{3,7,14})</f>
        <v>Male</v>
      </c>
      <c r="N934">
        <v>111711.1</v>
      </c>
      <c r="O934">
        <v>3.63</v>
      </c>
    </row>
    <row r="935" spans="1:15" x14ac:dyDescent="0.3">
      <c r="A935" s="6" t="s">
        <v>1916</v>
      </c>
      <c r="B935" cm="1">
        <f t="array" ref="B935:C935">_xlfn.XLOOKUP(A935,'Main Data'!A932:A1931,'Main Data'!B932:C1931,"Data Not Found",0)</f>
        <v>55</v>
      </c>
      <c r="C935" t="str">
        <v>Other</v>
      </c>
      <c r="E935" s="6" t="s">
        <v>1916</v>
      </c>
      <c r="F935" cm="1">
        <f t="array" ref="F935:I935">VLOOKUP(E935,CHOOSE({1,2,3,4,5},'Main Data'!A932:A1931,'Main Data'!B932:B1931,'Main Data'!C932:C1931,'Main Data'!M932:M1931,'Main Data'!N932:N1931),{2,3,4,5},0)</f>
        <v>55</v>
      </c>
      <c r="G935" t="str">
        <v>Other</v>
      </c>
      <c r="H935" t="str">
        <v>USA</v>
      </c>
      <c r="I935">
        <v>3.37</v>
      </c>
      <c r="L935" s="6" t="s">
        <v>1916</v>
      </c>
      <c r="M935" t="str" cm="1">
        <f t="array" ref="M935:O935">INDEX('Main Data'!A932:O1931,MATCH(L935,'Main Data'!A932:A1931,0),{3,7,14})</f>
        <v>Other</v>
      </c>
      <c r="N935">
        <v>199315.04</v>
      </c>
      <c r="O935">
        <v>3.37</v>
      </c>
    </row>
    <row r="936" spans="1:15" x14ac:dyDescent="0.3">
      <c r="A936" s="6" t="s">
        <v>1918</v>
      </c>
      <c r="B936" cm="1">
        <f t="array" ref="B936:C936">_xlfn.XLOOKUP(A936,'Main Data'!A933:A1932,'Main Data'!B933:C1932,"Data Not Found",0)</f>
        <v>47</v>
      </c>
      <c r="C936" t="str">
        <v>Other</v>
      </c>
      <c r="E936" s="6" t="s">
        <v>1918</v>
      </c>
      <c r="F936" cm="1">
        <f t="array" ref="F936:I936">VLOOKUP(E936,CHOOSE({1,2,3,4,5},'Main Data'!A933:A1932,'Main Data'!B933:B1932,'Main Data'!C933:C1932,'Main Data'!M933:M1932,'Main Data'!N933:N1932),{2,3,4,5},0)</f>
        <v>47</v>
      </c>
      <c r="G936" t="str">
        <v>Other</v>
      </c>
      <c r="H936" t="str">
        <v>France</v>
      </c>
      <c r="I936">
        <v>2.2999999999999998</v>
      </c>
      <c r="L936" s="6" t="s">
        <v>1918</v>
      </c>
      <c r="M936" t="str" cm="1">
        <f t="array" ref="M936:O936">INDEX('Main Data'!A933:O1932,MATCH(L936,'Main Data'!A933:A1932,0),{3,7,14})</f>
        <v>Other</v>
      </c>
      <c r="N936">
        <v>84616.37</v>
      </c>
      <c r="O936">
        <v>2.2999999999999998</v>
      </c>
    </row>
    <row r="937" spans="1:15" x14ac:dyDescent="0.3">
      <c r="A937" s="6" t="s">
        <v>1920</v>
      </c>
      <c r="B937" cm="1">
        <f t="array" ref="B937:C937">_xlfn.XLOOKUP(A937,'Main Data'!A934:A1933,'Main Data'!B934:C1933,"Data Not Found",0)</f>
        <v>55</v>
      </c>
      <c r="C937" t="str">
        <v>Other</v>
      </c>
      <c r="E937" s="6" t="s">
        <v>1920</v>
      </c>
      <c r="F937" cm="1">
        <f t="array" ref="F937:I937">VLOOKUP(E937,CHOOSE({1,2,3,4,5},'Main Data'!A934:A1933,'Main Data'!B934:B1933,'Main Data'!C934:C1933,'Main Data'!M934:M1933,'Main Data'!N934:N1933),{2,3,4,5},0)</f>
        <v>55</v>
      </c>
      <c r="G937" t="str">
        <v>Other</v>
      </c>
      <c r="H937" t="str">
        <v>UK</v>
      </c>
      <c r="I937">
        <v>1.99</v>
      </c>
      <c r="L937" s="6" t="s">
        <v>1920</v>
      </c>
      <c r="M937" t="str" cm="1">
        <f t="array" ref="M937:O937">INDEX('Main Data'!A934:O1933,MATCH(L937,'Main Data'!A934:A1933,0),{3,7,14})</f>
        <v>Other</v>
      </c>
      <c r="N937">
        <v>149897.43</v>
      </c>
      <c r="O937">
        <v>1.99</v>
      </c>
    </row>
    <row r="938" spans="1:15" x14ac:dyDescent="0.3">
      <c r="A938" s="6" t="s">
        <v>1922</v>
      </c>
      <c r="B938" cm="1">
        <f t="array" ref="B938:C938">_xlfn.XLOOKUP(A938,'Main Data'!A935:A1934,'Main Data'!B935:C1934,"Data Not Found",0)</f>
        <v>53</v>
      </c>
      <c r="C938" t="str">
        <v>Other</v>
      </c>
      <c r="E938" s="6" t="s">
        <v>1922</v>
      </c>
      <c r="F938" cm="1">
        <f t="array" ref="F938:I938">VLOOKUP(E938,CHOOSE({1,2,3,4,5},'Main Data'!A935:A1934,'Main Data'!B935:B1934,'Main Data'!C935:C1934,'Main Data'!M935:M1934,'Main Data'!N935:N1934),{2,3,4,5},0)</f>
        <v>53</v>
      </c>
      <c r="G938" t="str">
        <v>Other</v>
      </c>
      <c r="H938" t="str">
        <v>UAE</v>
      </c>
      <c r="I938">
        <v>1.7</v>
      </c>
      <c r="L938" s="6" t="s">
        <v>1922</v>
      </c>
      <c r="M938" t="str" cm="1">
        <f t="array" ref="M938:O938">INDEX('Main Data'!A935:O1934,MATCH(L938,'Main Data'!A935:A1934,0),{3,7,14})</f>
        <v>Other</v>
      </c>
      <c r="N938">
        <v>177377.03</v>
      </c>
      <c r="O938">
        <v>1.7</v>
      </c>
    </row>
    <row r="939" spans="1:15" x14ac:dyDescent="0.3">
      <c r="A939" s="6" t="s">
        <v>1924</v>
      </c>
      <c r="B939" cm="1">
        <f t="array" ref="B939:C939">_xlfn.XLOOKUP(A939,'Main Data'!A936:A1935,'Main Data'!B936:C1935,"Data Not Found",0)</f>
        <v>28</v>
      </c>
      <c r="C939" t="str">
        <v>Male</v>
      </c>
      <c r="E939" s="6" t="s">
        <v>1924</v>
      </c>
      <c r="F939" cm="1">
        <f t="array" ref="F939:I939">VLOOKUP(E939,CHOOSE({1,2,3,4,5},'Main Data'!A936:A1935,'Main Data'!B936:B1935,'Main Data'!C936:C1935,'Main Data'!M936:M1935,'Main Data'!N936:N1935),{2,3,4,5},0)</f>
        <v>28</v>
      </c>
      <c r="G939" t="str">
        <v>Male</v>
      </c>
      <c r="H939" t="str">
        <v>Japan</v>
      </c>
      <c r="I939">
        <v>4.0999999999999996</v>
      </c>
      <c r="L939" s="6" t="s">
        <v>1924</v>
      </c>
      <c r="M939" t="str" cm="1">
        <f t="array" ref="M939:O939">INDEX('Main Data'!A936:O1935,MATCH(L939,'Main Data'!A936:A1935,0),{3,7,14})</f>
        <v>Male</v>
      </c>
      <c r="N939">
        <v>53354.68</v>
      </c>
      <c r="O939">
        <v>4.0999999999999996</v>
      </c>
    </row>
    <row r="940" spans="1:15" x14ac:dyDescent="0.3">
      <c r="A940" s="6" t="s">
        <v>1926</v>
      </c>
      <c r="B940" cm="1">
        <f t="array" ref="B940:C940">_xlfn.XLOOKUP(A940,'Main Data'!A937:A1936,'Main Data'!B937:C1936,"Data Not Found",0)</f>
        <v>47</v>
      </c>
      <c r="C940" t="str">
        <v>Female</v>
      </c>
      <c r="E940" s="6" t="s">
        <v>1926</v>
      </c>
      <c r="F940" cm="1">
        <f t="array" ref="F940:I940">VLOOKUP(E940,CHOOSE({1,2,3,4,5},'Main Data'!A937:A1936,'Main Data'!B937:B1936,'Main Data'!C937:C1936,'Main Data'!M937:M1936,'Main Data'!N937:N1936),{2,3,4,5},0)</f>
        <v>47</v>
      </c>
      <c r="G940" t="str">
        <v>Female</v>
      </c>
      <c r="H940" t="str">
        <v>USA</v>
      </c>
      <c r="I940">
        <v>1.68</v>
      </c>
      <c r="L940" s="6" t="s">
        <v>1926</v>
      </c>
      <c r="M940" t="str" cm="1">
        <f t="array" ref="M940:O940">INDEX('Main Data'!A937:O1936,MATCH(L940,'Main Data'!A937:A1936,0),{3,7,14})</f>
        <v>Female</v>
      </c>
      <c r="N940">
        <v>53603.86</v>
      </c>
      <c r="O940">
        <v>1.68</v>
      </c>
    </row>
    <row r="941" spans="1:15" x14ac:dyDescent="0.3">
      <c r="A941" s="6" t="s">
        <v>1928</v>
      </c>
      <c r="B941" cm="1">
        <f t="array" ref="B941:C941">_xlfn.XLOOKUP(A941,'Main Data'!A938:A1937,'Main Data'!B938:C1937,"Data Not Found",0)</f>
        <v>46</v>
      </c>
      <c r="C941" t="str">
        <v>Female</v>
      </c>
      <c r="E941" s="6" t="s">
        <v>1928</v>
      </c>
      <c r="F941" cm="1">
        <f t="array" ref="F941:I941">VLOOKUP(E941,CHOOSE({1,2,3,4,5},'Main Data'!A938:A1937,'Main Data'!B938:B1937,'Main Data'!C938:C1937,'Main Data'!M938:M1937,'Main Data'!N938:N1937),{2,3,4,5},0)</f>
        <v>46</v>
      </c>
      <c r="G941" t="str">
        <v>Female</v>
      </c>
      <c r="H941" t="str">
        <v>France</v>
      </c>
      <c r="I941">
        <v>2.92</v>
      </c>
      <c r="L941" s="6" t="s">
        <v>1928</v>
      </c>
      <c r="M941" t="str" cm="1">
        <f t="array" ref="M941:O941">INDEX('Main Data'!A938:O1937,MATCH(L941,'Main Data'!A938:A1937,0),{3,7,14})</f>
        <v>Female</v>
      </c>
      <c r="N941">
        <v>54969.1</v>
      </c>
      <c r="O941">
        <v>2.92</v>
      </c>
    </row>
    <row r="942" spans="1:15" x14ac:dyDescent="0.3">
      <c r="A942" s="6" t="s">
        <v>1930</v>
      </c>
      <c r="B942" cm="1">
        <f t="array" ref="B942:C942">_xlfn.XLOOKUP(A942,'Main Data'!A939:A1938,'Main Data'!B939:C1938,"Data Not Found",0)</f>
        <v>60</v>
      </c>
      <c r="C942" t="str">
        <v>Other</v>
      </c>
      <c r="E942" s="6" t="s">
        <v>1930</v>
      </c>
      <c r="F942" cm="1">
        <f t="array" ref="F942:I942">VLOOKUP(E942,CHOOSE({1,2,3,4,5},'Main Data'!A939:A1938,'Main Data'!B939:B1938,'Main Data'!C939:C1938,'Main Data'!M939:M1938,'Main Data'!N939:N1938),{2,3,4,5},0)</f>
        <v>60</v>
      </c>
      <c r="G942" t="str">
        <v>Other</v>
      </c>
      <c r="H942" t="str">
        <v>UK</v>
      </c>
      <c r="I942">
        <v>2.3199999999999998</v>
      </c>
      <c r="L942" s="6" t="s">
        <v>1930</v>
      </c>
      <c r="M942" t="str" cm="1">
        <f t="array" ref="M942:O942">INDEX('Main Data'!A939:O1938,MATCH(L942,'Main Data'!A939:A1938,0),{3,7,14})</f>
        <v>Other</v>
      </c>
      <c r="N942">
        <v>50894.73</v>
      </c>
      <c r="O942">
        <v>2.3199999999999998</v>
      </c>
    </row>
    <row r="943" spans="1:15" x14ac:dyDescent="0.3">
      <c r="A943" s="6" t="s">
        <v>1932</v>
      </c>
      <c r="B943" cm="1">
        <f t="array" ref="B943:C943">_xlfn.XLOOKUP(A943,'Main Data'!A940:A1939,'Main Data'!B940:C1939,"Data Not Found",0)</f>
        <v>38</v>
      </c>
      <c r="C943" t="str">
        <v>Female</v>
      </c>
      <c r="E943" s="6" t="s">
        <v>1932</v>
      </c>
      <c r="F943" cm="1">
        <f t="array" ref="F943:I943">VLOOKUP(E943,CHOOSE({1,2,3,4,5},'Main Data'!A940:A1939,'Main Data'!B940:B1939,'Main Data'!C940:C1939,'Main Data'!M940:M1939,'Main Data'!N940:N1939),{2,3,4,5},0)</f>
        <v>38</v>
      </c>
      <c r="G943" t="str">
        <v>Female</v>
      </c>
      <c r="H943" t="str">
        <v>UAE</v>
      </c>
      <c r="I943">
        <v>2.21</v>
      </c>
      <c r="L943" s="6" t="s">
        <v>1932</v>
      </c>
      <c r="M943" t="str" cm="1">
        <f t="array" ref="M943:O943">INDEX('Main Data'!A940:O1939,MATCH(L943,'Main Data'!A940:A1939,0),{3,7,14})</f>
        <v>Female</v>
      </c>
      <c r="N943">
        <v>82031.460000000006</v>
      </c>
      <c r="O943">
        <v>2.21</v>
      </c>
    </row>
    <row r="944" spans="1:15" x14ac:dyDescent="0.3">
      <c r="A944" s="6" t="s">
        <v>1934</v>
      </c>
      <c r="B944" cm="1">
        <f t="array" ref="B944:C944">_xlfn.XLOOKUP(A944,'Main Data'!A941:A1940,'Main Data'!B941:C1940,"Data Not Found",0)</f>
        <v>45</v>
      </c>
      <c r="C944" t="str">
        <v>Female</v>
      </c>
      <c r="E944" s="6" t="s">
        <v>1934</v>
      </c>
      <c r="F944" cm="1">
        <f t="array" ref="F944:I944">VLOOKUP(E944,CHOOSE({1,2,3,4,5},'Main Data'!A941:A1940,'Main Data'!B941:B1940,'Main Data'!C941:C1940,'Main Data'!M941:M1940,'Main Data'!N941:N1940),{2,3,4,5},0)</f>
        <v>45</v>
      </c>
      <c r="G944" t="str">
        <v>Female</v>
      </c>
      <c r="H944" t="str">
        <v>Japan</v>
      </c>
      <c r="I944">
        <v>1.95</v>
      </c>
      <c r="L944" s="6" t="s">
        <v>1934</v>
      </c>
      <c r="M944" t="str" cm="1">
        <f t="array" ref="M944:O944">INDEX('Main Data'!A941:O1940,MATCH(L944,'Main Data'!A941:A1940,0),{3,7,14})</f>
        <v>Female</v>
      </c>
      <c r="N944">
        <v>170644.28</v>
      </c>
      <c r="O944">
        <v>1.95</v>
      </c>
    </row>
    <row r="945" spans="1:15" x14ac:dyDescent="0.3">
      <c r="A945" s="6" t="s">
        <v>1936</v>
      </c>
      <c r="B945" cm="1">
        <f t="array" ref="B945:C945">_xlfn.XLOOKUP(A945,'Main Data'!A942:A1941,'Main Data'!B942:C1941,"Data Not Found",0)</f>
        <v>48</v>
      </c>
      <c r="C945" t="str">
        <v>Female</v>
      </c>
      <c r="E945" s="6" t="s">
        <v>1936</v>
      </c>
      <c r="F945" cm="1">
        <f t="array" ref="F945:I945">VLOOKUP(E945,CHOOSE({1,2,3,4,5},'Main Data'!A942:A1941,'Main Data'!B942:B1941,'Main Data'!C942:C1941,'Main Data'!M942:M1941,'Main Data'!N942:N1941),{2,3,4,5},0)</f>
        <v>48</v>
      </c>
      <c r="G945" t="str">
        <v>Female</v>
      </c>
      <c r="H945" t="str">
        <v>USA</v>
      </c>
      <c r="I945">
        <v>1.08</v>
      </c>
      <c r="L945" s="6" t="s">
        <v>1936</v>
      </c>
      <c r="M945" t="str" cm="1">
        <f t="array" ref="M945:O945">INDEX('Main Data'!A942:O1941,MATCH(L945,'Main Data'!A942:A1941,0),{3,7,14})</f>
        <v>Female</v>
      </c>
      <c r="N945">
        <v>83062.09</v>
      </c>
      <c r="O945">
        <v>1.08</v>
      </c>
    </row>
    <row r="946" spans="1:15" x14ac:dyDescent="0.3">
      <c r="A946" s="6" t="s">
        <v>1938</v>
      </c>
      <c r="B946" cm="1">
        <f t="array" ref="B946:C946">_xlfn.XLOOKUP(A946,'Main Data'!A943:A1942,'Main Data'!B943:C1942,"Data Not Found",0)</f>
        <v>25</v>
      </c>
      <c r="C946" t="str">
        <v>Female</v>
      </c>
      <c r="E946" s="6" t="s">
        <v>1938</v>
      </c>
      <c r="F946" cm="1">
        <f t="array" ref="F946:I946">VLOOKUP(E946,CHOOSE({1,2,3,4,5},'Main Data'!A943:A1942,'Main Data'!B943:B1942,'Main Data'!C943:C1942,'Main Data'!M943:M1942,'Main Data'!N943:N1942),{2,3,4,5},0)</f>
        <v>25</v>
      </c>
      <c r="G946" t="str">
        <v>Female</v>
      </c>
      <c r="H946" t="str">
        <v>France</v>
      </c>
      <c r="I946">
        <v>2.87</v>
      </c>
      <c r="L946" s="6" t="s">
        <v>1938</v>
      </c>
      <c r="M946" t="str" cm="1">
        <f t="array" ref="M946:O946">INDEX('Main Data'!A943:O1942,MATCH(L946,'Main Data'!A943:A1942,0),{3,7,14})</f>
        <v>Female</v>
      </c>
      <c r="N946">
        <v>103291.95</v>
      </c>
      <c r="O946">
        <v>2.87</v>
      </c>
    </row>
    <row r="947" spans="1:15" x14ac:dyDescent="0.3">
      <c r="A947" s="6" t="s">
        <v>1940</v>
      </c>
      <c r="B947" cm="1">
        <f t="array" ref="B947:C947">_xlfn.XLOOKUP(A947,'Main Data'!A944:A1943,'Main Data'!B944:C1943,"Data Not Found",0)</f>
        <v>48</v>
      </c>
      <c r="C947" t="str">
        <v>Female</v>
      </c>
      <c r="E947" s="6" t="s">
        <v>1940</v>
      </c>
      <c r="F947" cm="1">
        <f t="array" ref="F947:I947">VLOOKUP(E947,CHOOSE({1,2,3,4,5},'Main Data'!A944:A1943,'Main Data'!B944:B1943,'Main Data'!C944:C1943,'Main Data'!M944:M1943,'Main Data'!N944:N1943),{2,3,4,5},0)</f>
        <v>48</v>
      </c>
      <c r="G947" t="str">
        <v>Female</v>
      </c>
      <c r="H947" t="str">
        <v>UK</v>
      </c>
      <c r="I947">
        <v>1.91</v>
      </c>
      <c r="L947" s="6" t="s">
        <v>1940</v>
      </c>
      <c r="M947" t="str" cm="1">
        <f t="array" ref="M947:O947">INDEX('Main Data'!A944:O1943,MATCH(L947,'Main Data'!A944:A1943,0),{3,7,14})</f>
        <v>Female</v>
      </c>
      <c r="N947">
        <v>56986.21</v>
      </c>
      <c r="O947">
        <v>1.91</v>
      </c>
    </row>
    <row r="948" spans="1:15" x14ac:dyDescent="0.3">
      <c r="A948" s="6" t="s">
        <v>1942</v>
      </c>
      <c r="B948" cm="1">
        <f t="array" ref="B948:C948">_xlfn.XLOOKUP(A948,'Main Data'!A945:A1944,'Main Data'!B945:C1944,"Data Not Found",0)</f>
        <v>51</v>
      </c>
      <c r="C948" t="str">
        <v>Male</v>
      </c>
      <c r="E948" s="6" t="s">
        <v>1942</v>
      </c>
      <c r="F948" cm="1">
        <f t="array" ref="F948:I948">VLOOKUP(E948,CHOOSE({1,2,3,4,5},'Main Data'!A945:A1944,'Main Data'!B945:B1944,'Main Data'!C945:C1944,'Main Data'!M945:M1944,'Main Data'!N945:N1944),{2,3,4,5},0)</f>
        <v>51</v>
      </c>
      <c r="G948" t="str">
        <v>Male</v>
      </c>
      <c r="H948" t="str">
        <v>UAE</v>
      </c>
      <c r="I948">
        <v>3.93</v>
      </c>
      <c r="L948" s="6" t="s">
        <v>1942</v>
      </c>
      <c r="M948" t="str" cm="1">
        <f t="array" ref="M948:O948">INDEX('Main Data'!A945:O1944,MATCH(L948,'Main Data'!A945:A1944,0),{3,7,14})</f>
        <v>Male</v>
      </c>
      <c r="N948">
        <v>95924.43</v>
      </c>
      <c r="O948">
        <v>3.93</v>
      </c>
    </row>
    <row r="949" spans="1:15" x14ac:dyDescent="0.3">
      <c r="A949" s="6" t="s">
        <v>1944</v>
      </c>
      <c r="B949" cm="1">
        <f t="array" ref="B949:C949">_xlfn.XLOOKUP(A949,'Main Data'!A946:A1945,'Main Data'!B946:C1945,"Data Not Found",0)</f>
        <v>24</v>
      </c>
      <c r="C949" t="str">
        <v>Male</v>
      </c>
      <c r="E949" s="6" t="s">
        <v>1944</v>
      </c>
      <c r="F949" cm="1">
        <f t="array" ref="F949:I949">VLOOKUP(E949,CHOOSE({1,2,3,4,5},'Main Data'!A946:A1945,'Main Data'!B946:B1945,'Main Data'!C946:C1945,'Main Data'!M946:M1945,'Main Data'!N946:N1945),{2,3,4,5},0)</f>
        <v>24</v>
      </c>
      <c r="G949" t="str">
        <v>Male</v>
      </c>
      <c r="H949" t="str">
        <v>Japan</v>
      </c>
      <c r="I949">
        <v>4.99</v>
      </c>
      <c r="L949" s="6" t="s">
        <v>1944</v>
      </c>
      <c r="M949" t="str" cm="1">
        <f t="array" ref="M949:O949">INDEX('Main Data'!A946:O1945,MATCH(L949,'Main Data'!A946:A1945,0),{3,7,14})</f>
        <v>Male</v>
      </c>
      <c r="N949">
        <v>61971.86</v>
      </c>
      <c r="O949">
        <v>4.99</v>
      </c>
    </row>
    <row r="950" spans="1:15" x14ac:dyDescent="0.3">
      <c r="A950" s="6" t="s">
        <v>1946</v>
      </c>
      <c r="B950" cm="1">
        <f t="array" ref="B950:C950">_xlfn.XLOOKUP(A950,'Main Data'!A947:A1946,'Main Data'!B947:C1946,"Data Not Found",0)</f>
        <v>27</v>
      </c>
      <c r="C950" t="str">
        <v>Male</v>
      </c>
      <c r="E950" s="6" t="s">
        <v>1946</v>
      </c>
      <c r="F950" cm="1">
        <f t="array" ref="F950:I950">VLOOKUP(E950,CHOOSE({1,2,3,4,5},'Main Data'!A947:A1946,'Main Data'!B947:B1946,'Main Data'!C947:C1946,'Main Data'!M947:M1946,'Main Data'!N947:N1946),{2,3,4,5},0)</f>
        <v>27</v>
      </c>
      <c r="G950" t="str">
        <v>Male</v>
      </c>
      <c r="H950" t="str">
        <v>USA</v>
      </c>
      <c r="I950">
        <v>3.51</v>
      </c>
      <c r="L950" s="6" t="s">
        <v>1946</v>
      </c>
      <c r="M950" t="str" cm="1">
        <f t="array" ref="M950:O950">INDEX('Main Data'!A947:O1946,MATCH(L950,'Main Data'!A947:A1946,0),{3,7,14})</f>
        <v>Male</v>
      </c>
      <c r="N950">
        <v>92700.92</v>
      </c>
      <c r="O950">
        <v>3.51</v>
      </c>
    </row>
    <row r="951" spans="1:15" x14ac:dyDescent="0.3">
      <c r="A951" s="6" t="s">
        <v>1948</v>
      </c>
      <c r="B951" cm="1">
        <f t="array" ref="B951:C951">_xlfn.XLOOKUP(A951,'Main Data'!A948:A1947,'Main Data'!B948:C1947,"Data Not Found",0)</f>
        <v>29</v>
      </c>
      <c r="C951" t="str">
        <v>Female</v>
      </c>
      <c r="E951" s="6" t="s">
        <v>1948</v>
      </c>
      <c r="F951" cm="1">
        <f t="array" ref="F951:I951">VLOOKUP(E951,CHOOSE({1,2,3,4,5},'Main Data'!A948:A1947,'Main Data'!B948:B1947,'Main Data'!C948:C1947,'Main Data'!M948:M1947,'Main Data'!N948:N1947),{2,3,4,5},0)</f>
        <v>29</v>
      </c>
      <c r="G951" t="str">
        <v>Female</v>
      </c>
      <c r="H951" t="str">
        <v>France</v>
      </c>
      <c r="I951">
        <v>3.28</v>
      </c>
      <c r="L951" s="6" t="s">
        <v>1948</v>
      </c>
      <c r="M951" t="str" cm="1">
        <f t="array" ref="M951:O951">INDEX('Main Data'!A948:O1947,MATCH(L951,'Main Data'!A948:A1947,0),{3,7,14})</f>
        <v>Female</v>
      </c>
      <c r="N951">
        <v>136291.26</v>
      </c>
      <c r="O951">
        <v>3.28</v>
      </c>
    </row>
    <row r="952" spans="1:15" x14ac:dyDescent="0.3">
      <c r="A952" s="6" t="s">
        <v>1950</v>
      </c>
      <c r="B952" cm="1">
        <f t="array" ref="B952:C952">_xlfn.XLOOKUP(A952,'Main Data'!A949:A1948,'Main Data'!B949:C1948,"Data Not Found",0)</f>
        <v>37</v>
      </c>
      <c r="C952" t="str">
        <v>Male</v>
      </c>
      <c r="E952" s="6" t="s">
        <v>1950</v>
      </c>
      <c r="F952" cm="1">
        <f t="array" ref="F952:I952">VLOOKUP(E952,CHOOSE({1,2,3,4,5},'Main Data'!A949:A1948,'Main Data'!B949:B1948,'Main Data'!C949:C1948,'Main Data'!M949:M1948,'Main Data'!N949:N1948),{2,3,4,5},0)</f>
        <v>37</v>
      </c>
      <c r="G952" t="str">
        <v>Male</v>
      </c>
      <c r="H952" t="str">
        <v>UK</v>
      </c>
      <c r="I952">
        <v>4.1500000000000004</v>
      </c>
      <c r="L952" s="6" t="s">
        <v>1950</v>
      </c>
      <c r="M952" t="str" cm="1">
        <f t="array" ref="M952:O952">INDEX('Main Data'!A949:O1948,MATCH(L952,'Main Data'!A949:A1948,0),{3,7,14})</f>
        <v>Male</v>
      </c>
      <c r="N952">
        <v>89416.53</v>
      </c>
      <c r="O952">
        <v>4.1500000000000004</v>
      </c>
    </row>
    <row r="953" spans="1:15" x14ac:dyDescent="0.3">
      <c r="A953" s="6" t="s">
        <v>1952</v>
      </c>
      <c r="B953" cm="1">
        <f t="array" ref="B953:C953">_xlfn.XLOOKUP(A953,'Main Data'!A950:A1949,'Main Data'!B950:C1949,"Data Not Found",0)</f>
        <v>36</v>
      </c>
      <c r="C953" t="str">
        <v>Female</v>
      </c>
      <c r="E953" s="6" t="s">
        <v>1952</v>
      </c>
      <c r="F953" cm="1">
        <f t="array" ref="F953:I953">VLOOKUP(E953,CHOOSE({1,2,3,4,5},'Main Data'!A950:A1949,'Main Data'!B950:B1949,'Main Data'!C950:C1949,'Main Data'!M950:M1949,'Main Data'!N950:N1949),{2,3,4,5},0)</f>
        <v>36</v>
      </c>
      <c r="G953" t="str">
        <v>Female</v>
      </c>
      <c r="H953" t="str">
        <v>UAE</v>
      </c>
      <c r="I953">
        <v>1.23</v>
      </c>
      <c r="L953" s="6" t="s">
        <v>1952</v>
      </c>
      <c r="M953" t="str" cm="1">
        <f t="array" ref="M953:O953">INDEX('Main Data'!A950:O1949,MATCH(L953,'Main Data'!A950:A1949,0),{3,7,14})</f>
        <v>Female</v>
      </c>
      <c r="N953">
        <v>143808.74</v>
      </c>
      <c r="O953">
        <v>1.23</v>
      </c>
    </row>
    <row r="954" spans="1:15" x14ac:dyDescent="0.3">
      <c r="A954" s="6" t="s">
        <v>1954</v>
      </c>
      <c r="B954" cm="1">
        <f t="array" ref="B954:C954">_xlfn.XLOOKUP(A954,'Main Data'!A951:A1950,'Main Data'!B951:C1950,"Data Not Found",0)</f>
        <v>57</v>
      </c>
      <c r="C954" t="str">
        <v>Female</v>
      </c>
      <c r="E954" s="6" t="s">
        <v>1954</v>
      </c>
      <c r="F954" cm="1">
        <f t="array" ref="F954:I954">VLOOKUP(E954,CHOOSE({1,2,3,4,5},'Main Data'!A951:A1950,'Main Data'!B951:B1950,'Main Data'!C951:C1950,'Main Data'!M951:M1950,'Main Data'!N951:N1950),{2,3,4,5},0)</f>
        <v>57</v>
      </c>
      <c r="G954" t="str">
        <v>Female</v>
      </c>
      <c r="H954" t="str">
        <v>Japan</v>
      </c>
      <c r="I954">
        <v>2.66</v>
      </c>
      <c r="L954" s="6" t="s">
        <v>1954</v>
      </c>
      <c r="M954" t="str" cm="1">
        <f t="array" ref="M954:O954">INDEX('Main Data'!A951:O1950,MATCH(L954,'Main Data'!A951:A1950,0),{3,7,14})</f>
        <v>Female</v>
      </c>
      <c r="N954">
        <v>147998.56</v>
      </c>
      <c r="O954">
        <v>2.66</v>
      </c>
    </row>
    <row r="955" spans="1:15" x14ac:dyDescent="0.3">
      <c r="A955" s="6" t="s">
        <v>1956</v>
      </c>
      <c r="B955" cm="1">
        <f t="array" ref="B955:C955">_xlfn.XLOOKUP(A955,'Main Data'!A952:A1951,'Main Data'!B952:C1951,"Data Not Found",0)</f>
        <v>61</v>
      </c>
      <c r="C955" t="str">
        <v>Male</v>
      </c>
      <c r="E955" s="6" t="s">
        <v>1956</v>
      </c>
      <c r="F955" cm="1">
        <f t="array" ref="F955:I955">VLOOKUP(E955,CHOOSE({1,2,3,4,5},'Main Data'!A952:A1951,'Main Data'!B952:B1951,'Main Data'!C952:C1951,'Main Data'!M952:M1951,'Main Data'!N952:N1951),{2,3,4,5},0)</f>
        <v>61</v>
      </c>
      <c r="G955" t="str">
        <v>Male</v>
      </c>
      <c r="H955" t="str">
        <v>USA</v>
      </c>
      <c r="I955">
        <v>2.46</v>
      </c>
      <c r="L955" s="6" t="s">
        <v>1956</v>
      </c>
      <c r="M955" t="str" cm="1">
        <f t="array" ref="M955:O955">INDEX('Main Data'!A952:O1951,MATCH(L955,'Main Data'!A952:A1951,0),{3,7,14})</f>
        <v>Male</v>
      </c>
      <c r="N955">
        <v>136616.25</v>
      </c>
      <c r="O955">
        <v>2.46</v>
      </c>
    </row>
    <row r="956" spans="1:15" x14ac:dyDescent="0.3">
      <c r="A956" s="6" t="s">
        <v>1958</v>
      </c>
      <c r="B956" cm="1">
        <f t="array" ref="B956:C956">_xlfn.XLOOKUP(A956,'Main Data'!A953:A1952,'Main Data'!B953:C1952,"Data Not Found",0)</f>
        <v>29</v>
      </c>
      <c r="C956" t="str">
        <v>Other</v>
      </c>
      <c r="E956" s="6" t="s">
        <v>1958</v>
      </c>
      <c r="F956" cm="1">
        <f t="array" ref="F956:I956">VLOOKUP(E956,CHOOSE({1,2,3,4,5},'Main Data'!A953:A1952,'Main Data'!B953:B1952,'Main Data'!C953:C1952,'Main Data'!M953:M1952,'Main Data'!N953:N1952),{2,3,4,5},0)</f>
        <v>29</v>
      </c>
      <c r="G956" t="str">
        <v>Other</v>
      </c>
      <c r="H956" t="str">
        <v>France</v>
      </c>
      <c r="I956">
        <v>4.99</v>
      </c>
      <c r="L956" s="6" t="s">
        <v>1958</v>
      </c>
      <c r="M956" t="str" cm="1">
        <f t="array" ref="M956:O956">INDEX('Main Data'!A953:O1952,MATCH(L956,'Main Data'!A953:A1952,0),{3,7,14})</f>
        <v>Other</v>
      </c>
      <c r="N956">
        <v>117086.02</v>
      </c>
      <c r="O956">
        <v>4.99</v>
      </c>
    </row>
    <row r="957" spans="1:15" x14ac:dyDescent="0.3">
      <c r="A957" s="6" t="s">
        <v>1960</v>
      </c>
      <c r="B957" cm="1">
        <f t="array" ref="B957:C957">_xlfn.XLOOKUP(A957,'Main Data'!A954:A1953,'Main Data'!B954:C1953,"Data Not Found",0)</f>
        <v>60</v>
      </c>
      <c r="C957" t="str">
        <v>Female</v>
      </c>
      <c r="E957" s="6" t="s">
        <v>1960</v>
      </c>
      <c r="F957" cm="1">
        <f t="array" ref="F957:I957">VLOOKUP(E957,CHOOSE({1,2,3,4,5},'Main Data'!A954:A1953,'Main Data'!B954:B1953,'Main Data'!C954:C1953,'Main Data'!M954:M1953,'Main Data'!N954:N1953),{2,3,4,5},0)</f>
        <v>60</v>
      </c>
      <c r="G957" t="str">
        <v>Female</v>
      </c>
      <c r="H957" t="str">
        <v>UK</v>
      </c>
      <c r="I957">
        <v>3.79</v>
      </c>
      <c r="L957" s="6" t="s">
        <v>1960</v>
      </c>
      <c r="M957" t="str" cm="1">
        <f t="array" ref="M957:O957">INDEX('Main Data'!A954:O1953,MATCH(L957,'Main Data'!A954:A1953,0),{3,7,14})</f>
        <v>Female</v>
      </c>
      <c r="N957">
        <v>89340.12</v>
      </c>
      <c r="O957">
        <v>3.79</v>
      </c>
    </row>
    <row r="958" spans="1:15" x14ac:dyDescent="0.3">
      <c r="A958" s="6" t="s">
        <v>1962</v>
      </c>
      <c r="B958" cm="1">
        <f t="array" ref="B958:C958">_xlfn.XLOOKUP(A958,'Main Data'!A955:A1954,'Main Data'!B955:C1954,"Data Not Found",0)</f>
        <v>51</v>
      </c>
      <c r="C958" t="str">
        <v>Female</v>
      </c>
      <c r="E958" s="6" t="s">
        <v>1962</v>
      </c>
      <c r="F958" cm="1">
        <f t="array" ref="F958:I958">VLOOKUP(E958,CHOOSE({1,2,3,4,5},'Main Data'!A955:A1954,'Main Data'!B955:B1954,'Main Data'!C955:C1954,'Main Data'!M955:M1954,'Main Data'!N955:N1954),{2,3,4,5},0)</f>
        <v>51</v>
      </c>
      <c r="G958" t="str">
        <v>Female</v>
      </c>
      <c r="H958" t="str">
        <v>UAE</v>
      </c>
      <c r="I958">
        <v>3.83</v>
      </c>
      <c r="L958" s="6" t="s">
        <v>1962</v>
      </c>
      <c r="M958" t="str" cm="1">
        <f t="array" ref="M958:O958">INDEX('Main Data'!A955:O1954,MATCH(L958,'Main Data'!A955:A1954,0),{3,7,14})</f>
        <v>Female</v>
      </c>
      <c r="N958">
        <v>72062.789999999994</v>
      </c>
      <c r="O958">
        <v>3.83</v>
      </c>
    </row>
    <row r="959" spans="1:15" x14ac:dyDescent="0.3">
      <c r="A959" s="6" t="s">
        <v>1964</v>
      </c>
      <c r="B959" cm="1">
        <f t="array" ref="B959:C959">_xlfn.XLOOKUP(A959,'Main Data'!A956:A1955,'Main Data'!B956:C1955,"Data Not Found",0)</f>
        <v>33</v>
      </c>
      <c r="C959" t="str">
        <v>Male</v>
      </c>
      <c r="E959" s="6" t="s">
        <v>1964</v>
      </c>
      <c r="F959" cm="1">
        <f t="array" ref="F959:I959">VLOOKUP(E959,CHOOSE({1,2,3,4,5},'Main Data'!A956:A1955,'Main Data'!B956:B1955,'Main Data'!C956:C1955,'Main Data'!M956:M1955,'Main Data'!N956:N1955),{2,3,4,5},0)</f>
        <v>33</v>
      </c>
      <c r="G959" t="str">
        <v>Male</v>
      </c>
      <c r="H959" t="str">
        <v>Japan</v>
      </c>
      <c r="I959">
        <v>2.5</v>
      </c>
      <c r="L959" s="6" t="s">
        <v>1964</v>
      </c>
      <c r="M959" t="str" cm="1">
        <f t="array" ref="M959:O959">INDEX('Main Data'!A956:O1955,MATCH(L959,'Main Data'!A956:A1955,0),{3,7,14})</f>
        <v>Male</v>
      </c>
      <c r="N959">
        <v>119140.06</v>
      </c>
      <c r="O959">
        <v>2.5</v>
      </c>
    </row>
    <row r="960" spans="1:15" x14ac:dyDescent="0.3">
      <c r="A960" s="6" t="s">
        <v>1966</v>
      </c>
      <c r="B960" cm="1">
        <f t="array" ref="B960:C960">_xlfn.XLOOKUP(A960,'Main Data'!A957:A1956,'Main Data'!B957:C1956,"Data Not Found",0)</f>
        <v>25</v>
      </c>
      <c r="C960" t="str">
        <v>Female</v>
      </c>
      <c r="E960" s="6" t="s">
        <v>1966</v>
      </c>
      <c r="F960" cm="1">
        <f t="array" ref="F960:I960">VLOOKUP(E960,CHOOSE({1,2,3,4,5},'Main Data'!A957:A1956,'Main Data'!B957:B1956,'Main Data'!C957:C1956,'Main Data'!M957:M1956,'Main Data'!N957:N1956),{2,3,4,5},0)</f>
        <v>25</v>
      </c>
      <c r="G960" t="str">
        <v>Female</v>
      </c>
      <c r="H960" t="str">
        <v>USA</v>
      </c>
      <c r="I960">
        <v>4.29</v>
      </c>
      <c r="L960" s="6" t="s">
        <v>1966</v>
      </c>
      <c r="M960" t="str" cm="1">
        <f t="array" ref="M960:O960">INDEX('Main Data'!A957:O1956,MATCH(L960,'Main Data'!A957:A1956,0),{3,7,14})</f>
        <v>Female</v>
      </c>
      <c r="N960">
        <v>142279.82999999999</v>
      </c>
      <c r="O960">
        <v>4.29</v>
      </c>
    </row>
    <row r="961" spans="1:15" x14ac:dyDescent="0.3">
      <c r="A961" s="6" t="s">
        <v>1968</v>
      </c>
      <c r="B961" cm="1">
        <f t="array" ref="B961:C961">_xlfn.XLOOKUP(A961,'Main Data'!A958:A1957,'Main Data'!B958:C1957,"Data Not Found",0)</f>
        <v>35</v>
      </c>
      <c r="C961" t="str">
        <v>Female</v>
      </c>
      <c r="E961" s="6" t="s">
        <v>1968</v>
      </c>
      <c r="F961" cm="1">
        <f t="array" ref="F961:I961">VLOOKUP(E961,CHOOSE({1,2,3,4,5},'Main Data'!A958:A1957,'Main Data'!B958:B1957,'Main Data'!C958:C1957,'Main Data'!M958:M1957,'Main Data'!N958:N1957),{2,3,4,5},0)</f>
        <v>35</v>
      </c>
      <c r="G961" t="str">
        <v>Female</v>
      </c>
      <c r="H961" t="str">
        <v>France</v>
      </c>
      <c r="I961">
        <v>2.41</v>
      </c>
      <c r="L961" s="6" t="s">
        <v>1968</v>
      </c>
      <c r="M961" t="str" cm="1">
        <f t="array" ref="M961:O961">INDEX('Main Data'!A958:O1957,MATCH(L961,'Main Data'!A958:A1957,0),{3,7,14})</f>
        <v>Female</v>
      </c>
      <c r="N961">
        <v>67202.83</v>
      </c>
      <c r="O961">
        <v>2.41</v>
      </c>
    </row>
    <row r="962" spans="1:15" x14ac:dyDescent="0.3">
      <c r="A962" s="6" t="s">
        <v>1970</v>
      </c>
      <c r="B962" cm="1">
        <f t="array" ref="B962:C962">_xlfn.XLOOKUP(A962,'Main Data'!A959:A1958,'Main Data'!B959:C1958,"Data Not Found",0)</f>
        <v>46</v>
      </c>
      <c r="C962" t="str">
        <v>Female</v>
      </c>
      <c r="E962" s="6" t="s">
        <v>1970</v>
      </c>
      <c r="F962" cm="1">
        <f t="array" ref="F962:I962">VLOOKUP(E962,CHOOSE({1,2,3,4,5},'Main Data'!A959:A1958,'Main Data'!B959:B1958,'Main Data'!C959:C1958,'Main Data'!M959:M1958,'Main Data'!N959:N1958),{2,3,4,5},0)</f>
        <v>46</v>
      </c>
      <c r="G962" t="str">
        <v>Female</v>
      </c>
      <c r="H962" t="str">
        <v>UK</v>
      </c>
      <c r="I962">
        <v>1.17</v>
      </c>
      <c r="L962" s="6" t="s">
        <v>1970</v>
      </c>
      <c r="M962" t="str" cm="1">
        <f t="array" ref="M962:O962">INDEX('Main Data'!A959:O1958,MATCH(L962,'Main Data'!A959:A1958,0),{3,7,14})</f>
        <v>Female</v>
      </c>
      <c r="N962">
        <v>82251.240000000005</v>
      </c>
      <c r="O962">
        <v>1.17</v>
      </c>
    </row>
    <row r="963" spans="1:15" x14ac:dyDescent="0.3">
      <c r="A963" s="6" t="s">
        <v>1972</v>
      </c>
      <c r="B963" cm="1">
        <f t="array" ref="B963:C963">_xlfn.XLOOKUP(A963,'Main Data'!A960:A1959,'Main Data'!B960:C1959,"Data Not Found",0)</f>
        <v>26</v>
      </c>
      <c r="C963" t="str">
        <v>Male</v>
      </c>
      <c r="E963" s="6" t="s">
        <v>1972</v>
      </c>
      <c r="F963" cm="1">
        <f t="array" ref="F963:I963">VLOOKUP(E963,CHOOSE({1,2,3,4,5},'Main Data'!A960:A1959,'Main Data'!B960:B1959,'Main Data'!C960:C1959,'Main Data'!M960:M1959,'Main Data'!N960:N1959),{2,3,4,5},0)</f>
        <v>26</v>
      </c>
      <c r="G963" t="str">
        <v>Male</v>
      </c>
      <c r="H963" t="str">
        <v>UAE</v>
      </c>
      <c r="I963">
        <v>2.3199999999999998</v>
      </c>
      <c r="L963" s="6" t="s">
        <v>1972</v>
      </c>
      <c r="M963" t="str" cm="1">
        <f t="array" ref="M963:O963">INDEX('Main Data'!A960:O1959,MATCH(L963,'Main Data'!A960:A1959,0),{3,7,14})</f>
        <v>Male</v>
      </c>
      <c r="N963">
        <v>76865.22</v>
      </c>
      <c r="O963">
        <v>2.3199999999999998</v>
      </c>
    </row>
    <row r="964" spans="1:15" x14ac:dyDescent="0.3">
      <c r="A964" s="6" t="s">
        <v>1974</v>
      </c>
      <c r="B964" cm="1">
        <f t="array" ref="B964:C964">_xlfn.XLOOKUP(A964,'Main Data'!A961:A1960,'Main Data'!B961:C1960,"Data Not Found",0)</f>
        <v>44</v>
      </c>
      <c r="C964" t="str">
        <v>Other</v>
      </c>
      <c r="E964" s="6" t="s">
        <v>1974</v>
      </c>
      <c r="F964" cm="1">
        <f t="array" ref="F964:I964">VLOOKUP(E964,CHOOSE({1,2,3,4,5},'Main Data'!A961:A1960,'Main Data'!B961:B1960,'Main Data'!C961:C1960,'Main Data'!M961:M1960,'Main Data'!N961:N1960),{2,3,4,5},0)</f>
        <v>44</v>
      </c>
      <c r="G964" t="str">
        <v>Other</v>
      </c>
      <c r="H964" t="str">
        <v>Japan</v>
      </c>
      <c r="I964">
        <v>2.41</v>
      </c>
      <c r="L964" s="6" t="s">
        <v>1974</v>
      </c>
      <c r="M964" t="str" cm="1">
        <f t="array" ref="M964:O964">INDEX('Main Data'!A961:O1960,MATCH(L964,'Main Data'!A961:A1960,0),{3,7,14})</f>
        <v>Other</v>
      </c>
      <c r="N964">
        <v>84546.02</v>
      </c>
      <c r="O964">
        <v>2.41</v>
      </c>
    </row>
    <row r="965" spans="1:15" x14ac:dyDescent="0.3">
      <c r="A965" s="6" t="s">
        <v>1976</v>
      </c>
      <c r="B965" cm="1">
        <f t="array" ref="B965:C965">_xlfn.XLOOKUP(A965,'Main Data'!A962:A1961,'Main Data'!B962:C1961,"Data Not Found",0)</f>
        <v>51</v>
      </c>
      <c r="C965" t="str">
        <v>Other</v>
      </c>
      <c r="E965" s="6" t="s">
        <v>1976</v>
      </c>
      <c r="F965" cm="1">
        <f t="array" ref="F965:I965">VLOOKUP(E965,CHOOSE({1,2,3,4,5},'Main Data'!A962:A1961,'Main Data'!B962:B1961,'Main Data'!C962:C1961,'Main Data'!M962:M1961,'Main Data'!N962:N1961),{2,3,4,5},0)</f>
        <v>51</v>
      </c>
      <c r="G965" t="str">
        <v>Other</v>
      </c>
      <c r="H965" t="str">
        <v>USA</v>
      </c>
      <c r="I965">
        <v>3.95</v>
      </c>
      <c r="L965" s="6" t="s">
        <v>1976</v>
      </c>
      <c r="M965" t="str" cm="1">
        <f t="array" ref="M965:O965">INDEX('Main Data'!A962:O1961,MATCH(L965,'Main Data'!A962:A1961,0),{3,7,14})</f>
        <v>Other</v>
      </c>
      <c r="N965">
        <v>67489.210000000006</v>
      </c>
      <c r="O965">
        <v>3.95</v>
      </c>
    </row>
    <row r="966" spans="1:15" x14ac:dyDescent="0.3">
      <c r="A966" s="6" t="s">
        <v>1978</v>
      </c>
      <c r="B966" cm="1">
        <f t="array" ref="B966:C966">_xlfn.XLOOKUP(A966,'Main Data'!A963:A1962,'Main Data'!B963:C1962,"Data Not Found",0)</f>
        <v>60</v>
      </c>
      <c r="C966" t="str">
        <v>Male</v>
      </c>
      <c r="E966" s="6" t="s">
        <v>1978</v>
      </c>
      <c r="F966" cm="1">
        <f t="array" ref="F966:I966">VLOOKUP(E966,CHOOSE({1,2,3,4,5},'Main Data'!A963:A1962,'Main Data'!B963:B1962,'Main Data'!C963:C1962,'Main Data'!M963:M1962,'Main Data'!N963:N1962),{2,3,4,5},0)</f>
        <v>60</v>
      </c>
      <c r="G966" t="str">
        <v>Male</v>
      </c>
      <c r="H966" t="str">
        <v>France</v>
      </c>
      <c r="I966">
        <v>4.57</v>
      </c>
      <c r="L966" s="6" t="s">
        <v>1978</v>
      </c>
      <c r="M966" t="str" cm="1">
        <f t="array" ref="M966:O966">INDEX('Main Data'!A963:O1962,MATCH(L966,'Main Data'!A963:A1962,0),{3,7,14})</f>
        <v>Male</v>
      </c>
      <c r="N966">
        <v>113136.51</v>
      </c>
      <c r="O966">
        <v>4.57</v>
      </c>
    </row>
    <row r="967" spans="1:15" x14ac:dyDescent="0.3">
      <c r="A967" s="6" t="s">
        <v>1980</v>
      </c>
      <c r="B967" cm="1">
        <f t="array" ref="B967:C967">_xlfn.XLOOKUP(A967,'Main Data'!A964:A1963,'Main Data'!B964:C1963,"Data Not Found",0)</f>
        <v>33</v>
      </c>
      <c r="C967" t="str">
        <v>Female</v>
      </c>
      <c r="E967" s="6" t="s">
        <v>1980</v>
      </c>
      <c r="F967" cm="1">
        <f t="array" ref="F967:I967">VLOOKUP(E967,CHOOSE({1,2,3,4,5},'Main Data'!A964:A1963,'Main Data'!B964:B1963,'Main Data'!C964:C1963,'Main Data'!M964:M1963,'Main Data'!N964:N1963),{2,3,4,5},0)</f>
        <v>33</v>
      </c>
      <c r="G967" t="str">
        <v>Female</v>
      </c>
      <c r="H967" t="str">
        <v>UK</v>
      </c>
      <c r="I967">
        <v>3.2</v>
      </c>
      <c r="L967" s="6" t="s">
        <v>1980</v>
      </c>
      <c r="M967" t="str" cm="1">
        <f t="array" ref="M967:O967">INDEX('Main Data'!A964:O1963,MATCH(L967,'Main Data'!A964:A1963,0),{3,7,14})</f>
        <v>Female</v>
      </c>
      <c r="N967">
        <v>98106.89</v>
      </c>
      <c r="O967">
        <v>3.2</v>
      </c>
    </row>
    <row r="968" spans="1:15" x14ac:dyDescent="0.3">
      <c r="A968" s="6" t="s">
        <v>1982</v>
      </c>
      <c r="B968" cm="1">
        <f t="array" ref="B968:C968">_xlfn.XLOOKUP(A968,'Main Data'!A965:A1964,'Main Data'!B965:C1964,"Data Not Found",0)</f>
        <v>36</v>
      </c>
      <c r="C968" t="str">
        <v>Other</v>
      </c>
      <c r="E968" s="6" t="s">
        <v>1982</v>
      </c>
      <c r="F968" cm="1">
        <f t="array" ref="F968:I968">VLOOKUP(E968,CHOOSE({1,2,3,4,5},'Main Data'!A965:A1964,'Main Data'!B965:B1964,'Main Data'!C965:C1964,'Main Data'!M965:M1964,'Main Data'!N965:N1964),{2,3,4,5},0)</f>
        <v>36</v>
      </c>
      <c r="G968" t="str">
        <v>Other</v>
      </c>
      <c r="H968" t="str">
        <v>UAE</v>
      </c>
      <c r="I968">
        <v>1.68</v>
      </c>
      <c r="L968" s="6" t="s">
        <v>1982</v>
      </c>
      <c r="M968" t="str" cm="1">
        <f t="array" ref="M968:O968">INDEX('Main Data'!A965:O1964,MATCH(L968,'Main Data'!A965:A1964,0),{3,7,14})</f>
        <v>Other</v>
      </c>
      <c r="N968">
        <v>141348.25</v>
      </c>
      <c r="O968">
        <v>1.68</v>
      </c>
    </row>
    <row r="969" spans="1:15" x14ac:dyDescent="0.3">
      <c r="A969" s="6" t="s">
        <v>1984</v>
      </c>
      <c r="B969" cm="1">
        <f t="array" ref="B969:C969">_xlfn.XLOOKUP(A969,'Main Data'!A966:A1965,'Main Data'!B966:C1965,"Data Not Found",0)</f>
        <v>40</v>
      </c>
      <c r="C969" t="str">
        <v>Male</v>
      </c>
      <c r="E969" s="6" t="s">
        <v>1984</v>
      </c>
      <c r="F969" cm="1">
        <f t="array" ref="F969:I969">VLOOKUP(E969,CHOOSE({1,2,3,4,5},'Main Data'!A966:A1965,'Main Data'!B966:B1965,'Main Data'!C966:C1965,'Main Data'!M966:M1965,'Main Data'!N966:N1965),{2,3,4,5},0)</f>
        <v>40</v>
      </c>
      <c r="G969" t="str">
        <v>Male</v>
      </c>
      <c r="H969" t="str">
        <v>Japan</v>
      </c>
      <c r="I969">
        <v>1.0900000000000001</v>
      </c>
      <c r="L969" s="6" t="s">
        <v>1984</v>
      </c>
      <c r="M969" t="str" cm="1">
        <f t="array" ref="M969:O969">INDEX('Main Data'!A966:O1965,MATCH(L969,'Main Data'!A966:A1965,0),{3,7,14})</f>
        <v>Male</v>
      </c>
      <c r="N969">
        <v>185568.84</v>
      </c>
      <c r="O969">
        <v>1.0900000000000001</v>
      </c>
    </row>
    <row r="970" spans="1:15" x14ac:dyDescent="0.3">
      <c r="A970" s="6" t="s">
        <v>1986</v>
      </c>
      <c r="B970" cm="1">
        <f t="array" ref="B970:C970">_xlfn.XLOOKUP(A970,'Main Data'!A967:A1966,'Main Data'!B967:C1966,"Data Not Found",0)</f>
        <v>47</v>
      </c>
      <c r="C970" t="str">
        <v>Male</v>
      </c>
      <c r="E970" s="6" t="s">
        <v>1986</v>
      </c>
      <c r="F970" cm="1">
        <f t="array" ref="F970:I970">VLOOKUP(E970,CHOOSE({1,2,3,4,5},'Main Data'!A967:A1966,'Main Data'!B967:B1966,'Main Data'!C967:C1966,'Main Data'!M967:M1966,'Main Data'!N967:N1966),{2,3,4,5},0)</f>
        <v>47</v>
      </c>
      <c r="G970" t="str">
        <v>Male</v>
      </c>
      <c r="H970" t="str">
        <v>USA</v>
      </c>
      <c r="I970">
        <v>4.07</v>
      </c>
      <c r="L970" s="6" t="s">
        <v>1986</v>
      </c>
      <c r="M970" t="str" cm="1">
        <f t="array" ref="M970:O970">INDEX('Main Data'!A967:O1966,MATCH(L970,'Main Data'!A967:A1966,0),{3,7,14})</f>
        <v>Male</v>
      </c>
      <c r="N970">
        <v>139735.85</v>
      </c>
      <c r="O970">
        <v>4.07</v>
      </c>
    </row>
    <row r="971" spans="1:15" x14ac:dyDescent="0.3">
      <c r="A971" s="6" t="s">
        <v>1988</v>
      </c>
      <c r="B971" cm="1">
        <f t="array" ref="B971:C971">_xlfn.XLOOKUP(A971,'Main Data'!A968:A1967,'Main Data'!B968:C1967,"Data Not Found",0)</f>
        <v>25</v>
      </c>
      <c r="C971" t="str">
        <v>Female</v>
      </c>
      <c r="E971" s="6" t="s">
        <v>1988</v>
      </c>
      <c r="F971" cm="1">
        <f t="array" ref="F971:I971">VLOOKUP(E971,CHOOSE({1,2,3,4,5},'Main Data'!A968:A1967,'Main Data'!B968:B1967,'Main Data'!C968:C1967,'Main Data'!M968:M1967,'Main Data'!N968:N1967),{2,3,4,5},0)</f>
        <v>25</v>
      </c>
      <c r="G971" t="str">
        <v>Female</v>
      </c>
      <c r="H971" t="str">
        <v>France</v>
      </c>
      <c r="I971">
        <v>3.18</v>
      </c>
      <c r="L971" s="6" t="s">
        <v>1988</v>
      </c>
      <c r="M971" t="str" cm="1">
        <f t="array" ref="M971:O971">INDEX('Main Data'!A968:O1967,MATCH(L971,'Main Data'!A968:A1967,0),{3,7,14})</f>
        <v>Female</v>
      </c>
      <c r="N971">
        <v>77152.42</v>
      </c>
      <c r="O971">
        <v>3.18</v>
      </c>
    </row>
    <row r="972" spans="1:15" x14ac:dyDescent="0.3">
      <c r="A972" s="6" t="s">
        <v>1990</v>
      </c>
      <c r="B972" cm="1">
        <f t="array" ref="B972:C972">_xlfn.XLOOKUP(A972,'Main Data'!A969:A1968,'Main Data'!B969:C1968,"Data Not Found",0)</f>
        <v>59</v>
      </c>
      <c r="C972" t="str">
        <v>Female</v>
      </c>
      <c r="E972" s="6" t="s">
        <v>1990</v>
      </c>
      <c r="F972" cm="1">
        <f t="array" ref="F972:I972">VLOOKUP(E972,CHOOSE({1,2,3,4,5},'Main Data'!A969:A1968,'Main Data'!B969:B1968,'Main Data'!C969:C1968,'Main Data'!M969:M1968,'Main Data'!N969:N1968),{2,3,4,5},0)</f>
        <v>59</v>
      </c>
      <c r="G972" t="str">
        <v>Female</v>
      </c>
      <c r="H972" t="str">
        <v>UK</v>
      </c>
      <c r="I972">
        <v>3.1</v>
      </c>
      <c r="L972" s="6" t="s">
        <v>1990</v>
      </c>
      <c r="M972" t="str" cm="1">
        <f t="array" ref="M972:O972">INDEX('Main Data'!A969:O1968,MATCH(L972,'Main Data'!A969:A1968,0),{3,7,14})</f>
        <v>Female</v>
      </c>
      <c r="N972">
        <v>66707.75</v>
      </c>
      <c r="O972">
        <v>3.1</v>
      </c>
    </row>
    <row r="973" spans="1:15" x14ac:dyDescent="0.3">
      <c r="A973" s="6" t="s">
        <v>1992</v>
      </c>
      <c r="B973" cm="1">
        <f t="array" ref="B973:C973">_xlfn.XLOOKUP(A973,'Main Data'!A970:A1969,'Main Data'!B970:C1969,"Data Not Found",0)</f>
        <v>29</v>
      </c>
      <c r="C973" t="str">
        <v>Male</v>
      </c>
      <c r="E973" s="6" t="s">
        <v>1992</v>
      </c>
      <c r="F973" cm="1">
        <f t="array" ref="F973:I973">VLOOKUP(E973,CHOOSE({1,2,3,4,5},'Main Data'!A970:A1969,'Main Data'!B970:B1969,'Main Data'!C970:C1969,'Main Data'!M970:M1969,'Main Data'!N970:N1969),{2,3,4,5},0)</f>
        <v>29</v>
      </c>
      <c r="G973" t="str">
        <v>Male</v>
      </c>
      <c r="H973" t="str">
        <v>UAE</v>
      </c>
      <c r="I973">
        <v>3.72</v>
      </c>
      <c r="L973" s="6" t="s">
        <v>1992</v>
      </c>
      <c r="M973" t="str" cm="1">
        <f t="array" ref="M973:O973">INDEX('Main Data'!A970:O1969,MATCH(L973,'Main Data'!A970:A1969,0),{3,7,14})</f>
        <v>Male</v>
      </c>
      <c r="N973">
        <v>148180.19</v>
      </c>
      <c r="O973">
        <v>3.72</v>
      </c>
    </row>
    <row r="974" spans="1:15" x14ac:dyDescent="0.3">
      <c r="A974" s="6" t="s">
        <v>1994</v>
      </c>
      <c r="B974" cm="1">
        <f t="array" ref="B974:C974">_xlfn.XLOOKUP(A974,'Main Data'!A971:A1970,'Main Data'!B971:C1970,"Data Not Found",0)</f>
        <v>51</v>
      </c>
      <c r="C974" t="str">
        <v>Male</v>
      </c>
      <c r="E974" s="6" t="s">
        <v>1994</v>
      </c>
      <c r="F974" cm="1">
        <f t="array" ref="F974:I974">VLOOKUP(E974,CHOOSE({1,2,3,4,5},'Main Data'!A971:A1970,'Main Data'!B971:B1970,'Main Data'!C971:C1970,'Main Data'!M971:M1970,'Main Data'!N971:N1970),{2,3,4,5},0)</f>
        <v>51</v>
      </c>
      <c r="G974" t="str">
        <v>Male</v>
      </c>
      <c r="H974" t="str">
        <v>Japan</v>
      </c>
      <c r="I974">
        <v>2.29</v>
      </c>
      <c r="L974" s="6" t="s">
        <v>1994</v>
      </c>
      <c r="M974" t="str" cm="1">
        <f t="array" ref="M974:O974">INDEX('Main Data'!A971:O1970,MATCH(L974,'Main Data'!A971:A1970,0),{3,7,14})</f>
        <v>Male</v>
      </c>
      <c r="N974">
        <v>172973.51</v>
      </c>
      <c r="O974">
        <v>2.29</v>
      </c>
    </row>
    <row r="975" spans="1:15" x14ac:dyDescent="0.3">
      <c r="A975" s="6" t="s">
        <v>1996</v>
      </c>
      <c r="B975" cm="1">
        <f t="array" ref="B975:C975">_xlfn.XLOOKUP(A975,'Main Data'!A972:A1971,'Main Data'!B972:C1971,"Data Not Found",0)</f>
        <v>36</v>
      </c>
      <c r="C975" t="str">
        <v>Male</v>
      </c>
      <c r="E975" s="6" t="s">
        <v>1996</v>
      </c>
      <c r="F975" cm="1">
        <f t="array" ref="F975:I975">VLOOKUP(E975,CHOOSE({1,2,3,4,5},'Main Data'!A972:A1971,'Main Data'!B972:B1971,'Main Data'!C972:C1971,'Main Data'!M972:M1971,'Main Data'!N972:N1971),{2,3,4,5},0)</f>
        <v>36</v>
      </c>
      <c r="G975" t="str">
        <v>Male</v>
      </c>
      <c r="H975" t="str">
        <v>USA</v>
      </c>
      <c r="I975">
        <v>4.5599999999999996</v>
      </c>
      <c r="L975" s="6" t="s">
        <v>1996</v>
      </c>
      <c r="M975" t="str" cm="1">
        <f t="array" ref="M975:O975">INDEX('Main Data'!A972:O1971,MATCH(L975,'Main Data'!A972:A1971,0),{3,7,14})</f>
        <v>Male</v>
      </c>
      <c r="N975">
        <v>98320.76</v>
      </c>
      <c r="O975">
        <v>4.5599999999999996</v>
      </c>
    </row>
    <row r="976" spans="1:15" x14ac:dyDescent="0.3">
      <c r="A976" s="6" t="s">
        <v>1998</v>
      </c>
      <c r="B976" cm="1">
        <f t="array" ref="B976:C976">_xlfn.XLOOKUP(A976,'Main Data'!A973:A1972,'Main Data'!B973:C1972,"Data Not Found",0)</f>
        <v>33</v>
      </c>
      <c r="C976" t="str">
        <v>Other</v>
      </c>
      <c r="E976" s="6" t="s">
        <v>1998</v>
      </c>
      <c r="F976" cm="1">
        <f t="array" ref="F976:I976">VLOOKUP(E976,CHOOSE({1,2,3,4,5},'Main Data'!A973:A1972,'Main Data'!B973:B1972,'Main Data'!C973:C1972,'Main Data'!M973:M1972,'Main Data'!N973:N1972),{2,3,4,5},0)</f>
        <v>33</v>
      </c>
      <c r="G976" t="str">
        <v>Other</v>
      </c>
      <c r="H976" t="str">
        <v>France</v>
      </c>
      <c r="I976">
        <v>1.46</v>
      </c>
      <c r="L976" s="6" t="s">
        <v>1998</v>
      </c>
      <c r="M976" t="str" cm="1">
        <f t="array" ref="M976:O976">INDEX('Main Data'!A973:O1972,MATCH(L976,'Main Data'!A973:A1972,0),{3,7,14})</f>
        <v>Other</v>
      </c>
      <c r="N976">
        <v>126566.31</v>
      </c>
      <c r="O976">
        <v>1.46</v>
      </c>
    </row>
    <row r="977" spans="1:15" x14ac:dyDescent="0.3">
      <c r="A977" s="6" t="s">
        <v>2000</v>
      </c>
      <c r="B977" cm="1">
        <f t="array" ref="B977:C977">_xlfn.XLOOKUP(A977,'Main Data'!A974:A1973,'Main Data'!B974:C1973,"Data Not Found",0)</f>
        <v>31</v>
      </c>
      <c r="C977" t="str">
        <v>Female</v>
      </c>
      <c r="E977" s="6" t="s">
        <v>2000</v>
      </c>
      <c r="F977" cm="1">
        <f t="array" ref="F977:I977">VLOOKUP(E977,CHOOSE({1,2,3,4,5},'Main Data'!A974:A1973,'Main Data'!B974:B1973,'Main Data'!C974:C1973,'Main Data'!M974:M1973,'Main Data'!N974:N1973),{2,3,4,5},0)</f>
        <v>31</v>
      </c>
      <c r="G977" t="str">
        <v>Female</v>
      </c>
      <c r="H977" t="str">
        <v>UK</v>
      </c>
      <c r="I977">
        <v>1.81</v>
      </c>
      <c r="L977" s="6" t="s">
        <v>2000</v>
      </c>
      <c r="M977" t="str" cm="1">
        <f t="array" ref="M977:O977">INDEX('Main Data'!A974:O1973,MATCH(L977,'Main Data'!A974:A1973,0),{3,7,14})</f>
        <v>Female</v>
      </c>
      <c r="N977">
        <v>167987.33</v>
      </c>
      <c r="O977">
        <v>1.81</v>
      </c>
    </row>
    <row r="978" spans="1:15" x14ac:dyDescent="0.3">
      <c r="A978" s="6" t="s">
        <v>2002</v>
      </c>
      <c r="B978" cm="1">
        <f t="array" ref="B978:C978">_xlfn.XLOOKUP(A978,'Main Data'!A975:A1974,'Main Data'!B975:C1974,"Data Not Found",0)</f>
        <v>33</v>
      </c>
      <c r="C978" t="str">
        <v>Male</v>
      </c>
      <c r="E978" s="6" t="s">
        <v>2002</v>
      </c>
      <c r="F978" cm="1">
        <f t="array" ref="F978:I978">VLOOKUP(E978,CHOOSE({1,2,3,4,5},'Main Data'!A975:A1974,'Main Data'!B975:B1974,'Main Data'!C975:C1974,'Main Data'!M975:M1974,'Main Data'!N975:N1974),{2,3,4,5},0)</f>
        <v>33</v>
      </c>
      <c r="G978" t="str">
        <v>Male</v>
      </c>
      <c r="H978" t="str">
        <v>UAE</v>
      </c>
      <c r="I978">
        <v>4.24</v>
      </c>
      <c r="L978" s="6" t="s">
        <v>2002</v>
      </c>
      <c r="M978" t="str" cm="1">
        <f t="array" ref="M978:O978">INDEX('Main Data'!A975:O1974,MATCH(L978,'Main Data'!A975:A1974,0),{3,7,14})</f>
        <v>Male</v>
      </c>
      <c r="N978">
        <v>52533.65</v>
      </c>
      <c r="O978">
        <v>4.24</v>
      </c>
    </row>
    <row r="979" spans="1:15" x14ac:dyDescent="0.3">
      <c r="A979" s="6" t="s">
        <v>2004</v>
      </c>
      <c r="B979" cm="1">
        <f t="array" ref="B979:C979">_xlfn.XLOOKUP(A979,'Main Data'!A976:A1975,'Main Data'!B976:C1975,"Data Not Found",0)</f>
        <v>38</v>
      </c>
      <c r="C979" t="str">
        <v>Female</v>
      </c>
      <c r="E979" s="6" t="s">
        <v>2004</v>
      </c>
      <c r="F979" cm="1">
        <f t="array" ref="F979:I979">VLOOKUP(E979,CHOOSE({1,2,3,4,5},'Main Data'!A976:A1975,'Main Data'!B976:B1975,'Main Data'!C976:C1975,'Main Data'!M976:M1975,'Main Data'!N976:N1975),{2,3,4,5},0)</f>
        <v>38</v>
      </c>
      <c r="G979" t="str">
        <v>Female</v>
      </c>
      <c r="H979" t="str">
        <v>Japan</v>
      </c>
      <c r="I979">
        <v>4.2699999999999996</v>
      </c>
      <c r="L979" s="6" t="s">
        <v>2004</v>
      </c>
      <c r="M979" t="str" cm="1">
        <f t="array" ref="M979:O979">INDEX('Main Data'!A976:O1975,MATCH(L979,'Main Data'!A976:A1975,0),{3,7,14})</f>
        <v>Female</v>
      </c>
      <c r="N979">
        <v>154489.51999999999</v>
      </c>
      <c r="O979">
        <v>4.2699999999999996</v>
      </c>
    </row>
    <row r="980" spans="1:15" x14ac:dyDescent="0.3">
      <c r="A980" s="6" t="s">
        <v>2006</v>
      </c>
      <c r="B980" cm="1">
        <f t="array" ref="B980:C980">_xlfn.XLOOKUP(A980,'Main Data'!A977:A1976,'Main Data'!B977:C1976,"Data Not Found",0)</f>
        <v>61</v>
      </c>
      <c r="C980" t="str">
        <v>Other</v>
      </c>
      <c r="E980" s="6" t="s">
        <v>2006</v>
      </c>
      <c r="F980" cm="1">
        <f t="array" ref="F980:I980">VLOOKUP(E980,CHOOSE({1,2,3,4,5},'Main Data'!A977:A1976,'Main Data'!B977:B1976,'Main Data'!C977:C1976,'Main Data'!M977:M1976,'Main Data'!N977:N1976),{2,3,4,5},0)</f>
        <v>61</v>
      </c>
      <c r="G980" t="str">
        <v>Other</v>
      </c>
      <c r="H980" t="str">
        <v>USA</v>
      </c>
      <c r="I980">
        <v>1.1599999999999999</v>
      </c>
      <c r="L980" s="6" t="s">
        <v>2006</v>
      </c>
      <c r="M980" t="str" cm="1">
        <f t="array" ref="M980:O980">INDEX('Main Data'!A977:O1976,MATCH(L980,'Main Data'!A977:A1976,0),{3,7,14})</f>
        <v>Other</v>
      </c>
      <c r="N980">
        <v>126339.6</v>
      </c>
      <c r="O980">
        <v>1.1599999999999999</v>
      </c>
    </row>
    <row r="981" spans="1:15" x14ac:dyDescent="0.3">
      <c r="A981" s="6" t="s">
        <v>2008</v>
      </c>
      <c r="B981" cm="1">
        <f t="array" ref="B981:C981">_xlfn.XLOOKUP(A981,'Main Data'!A978:A1977,'Main Data'!B978:C1977,"Data Not Found",0)</f>
        <v>23</v>
      </c>
      <c r="C981" t="str">
        <v>Male</v>
      </c>
      <c r="E981" s="6" t="s">
        <v>2008</v>
      </c>
      <c r="F981" cm="1">
        <f t="array" ref="F981:I981">VLOOKUP(E981,CHOOSE({1,2,3,4,5},'Main Data'!A978:A1977,'Main Data'!B978:B1977,'Main Data'!C978:C1977,'Main Data'!M978:M1977,'Main Data'!N978:N1977),{2,3,4,5},0)</f>
        <v>23</v>
      </c>
      <c r="G981" t="str">
        <v>Male</v>
      </c>
      <c r="H981" t="str">
        <v>France</v>
      </c>
      <c r="I981">
        <v>3.42</v>
      </c>
      <c r="L981" s="6" t="s">
        <v>2008</v>
      </c>
      <c r="M981" t="str" cm="1">
        <f t="array" ref="M981:O981">INDEX('Main Data'!A978:O1977,MATCH(L981,'Main Data'!A978:A1977,0),{3,7,14})</f>
        <v>Male</v>
      </c>
      <c r="N981">
        <v>158961.89000000001</v>
      </c>
      <c r="O981">
        <v>3.42</v>
      </c>
    </row>
    <row r="982" spans="1:15" x14ac:dyDescent="0.3">
      <c r="A982" s="6" t="s">
        <v>2010</v>
      </c>
      <c r="B982" cm="1">
        <f t="array" ref="B982:C982">_xlfn.XLOOKUP(A982,'Main Data'!A979:A1978,'Main Data'!B979:C1978,"Data Not Found",0)</f>
        <v>40</v>
      </c>
      <c r="C982" t="str">
        <v>Female</v>
      </c>
      <c r="E982" s="6" t="s">
        <v>2010</v>
      </c>
      <c r="F982" cm="1">
        <f t="array" ref="F982:I982">VLOOKUP(E982,CHOOSE({1,2,3,4,5},'Main Data'!A979:A1978,'Main Data'!B979:B1978,'Main Data'!C979:C1978,'Main Data'!M979:M1978,'Main Data'!N979:N1978),{2,3,4,5},0)</f>
        <v>40</v>
      </c>
      <c r="G982" t="str">
        <v>Female</v>
      </c>
      <c r="H982" t="str">
        <v>UK</v>
      </c>
      <c r="I982">
        <v>3.75</v>
      </c>
      <c r="L982" s="6" t="s">
        <v>2010</v>
      </c>
      <c r="M982" t="str" cm="1">
        <f t="array" ref="M982:O982">INDEX('Main Data'!A979:O1978,MATCH(L982,'Main Data'!A979:A1978,0),{3,7,14})</f>
        <v>Female</v>
      </c>
      <c r="N982">
        <v>180855.63</v>
      </c>
      <c r="O982">
        <v>3.75</v>
      </c>
    </row>
    <row r="983" spans="1:15" x14ac:dyDescent="0.3">
      <c r="A983" s="6" t="s">
        <v>2012</v>
      </c>
      <c r="B983" cm="1">
        <f t="array" ref="B983:C983">_xlfn.XLOOKUP(A983,'Main Data'!A980:A1979,'Main Data'!B980:C1979,"Data Not Found",0)</f>
        <v>50</v>
      </c>
      <c r="C983" t="str">
        <v>Other</v>
      </c>
      <c r="E983" s="6" t="s">
        <v>2012</v>
      </c>
      <c r="F983" cm="1">
        <f t="array" ref="F983:I983">VLOOKUP(E983,CHOOSE({1,2,3,4,5},'Main Data'!A980:A1979,'Main Data'!B980:B1979,'Main Data'!C980:C1979,'Main Data'!M980:M1979,'Main Data'!N980:N1979),{2,3,4,5},0)</f>
        <v>50</v>
      </c>
      <c r="G983" t="str">
        <v>Other</v>
      </c>
      <c r="H983" t="str">
        <v>UAE</v>
      </c>
      <c r="I983">
        <v>1.72</v>
      </c>
      <c r="L983" s="6" t="s">
        <v>2012</v>
      </c>
      <c r="M983" t="str" cm="1">
        <f t="array" ref="M983:O983">INDEX('Main Data'!A980:O1979,MATCH(L983,'Main Data'!A980:A1979,0),{3,7,14})</f>
        <v>Other</v>
      </c>
      <c r="N983">
        <v>124186.42</v>
      </c>
      <c r="O983">
        <v>1.72</v>
      </c>
    </row>
    <row r="984" spans="1:15" x14ac:dyDescent="0.3">
      <c r="A984" s="6" t="s">
        <v>2014</v>
      </c>
      <c r="B984" cm="1">
        <f t="array" ref="B984:C984">_xlfn.XLOOKUP(A984,'Main Data'!A981:A1980,'Main Data'!B981:C1980,"Data Not Found",0)</f>
        <v>22</v>
      </c>
      <c r="C984" t="str">
        <v>Male</v>
      </c>
      <c r="E984" s="6" t="s">
        <v>2014</v>
      </c>
      <c r="F984" cm="1">
        <f t="array" ref="F984:I984">VLOOKUP(E984,CHOOSE({1,2,3,4,5},'Main Data'!A981:A1980,'Main Data'!B981:B1980,'Main Data'!C981:C1980,'Main Data'!M981:M1980,'Main Data'!N981:N1980),{2,3,4,5},0)</f>
        <v>22</v>
      </c>
      <c r="G984" t="str">
        <v>Male</v>
      </c>
      <c r="H984" t="str">
        <v>Japan</v>
      </c>
      <c r="I984">
        <v>2.61</v>
      </c>
      <c r="L984" s="6" t="s">
        <v>2014</v>
      </c>
      <c r="M984" t="str" cm="1">
        <f t="array" ref="M984:O984">INDEX('Main Data'!A981:O1980,MATCH(L984,'Main Data'!A981:A1980,0),{3,7,14})</f>
        <v>Male</v>
      </c>
      <c r="N984">
        <v>178381.65</v>
      </c>
      <c r="O984">
        <v>2.61</v>
      </c>
    </row>
    <row r="985" spans="1:15" x14ac:dyDescent="0.3">
      <c r="A985" s="6" t="s">
        <v>2016</v>
      </c>
      <c r="B985" cm="1">
        <f t="array" ref="B985:C985">_xlfn.XLOOKUP(A985,'Main Data'!A982:A1981,'Main Data'!B982:C1981,"Data Not Found",0)</f>
        <v>43</v>
      </c>
      <c r="C985" t="str">
        <v>Female</v>
      </c>
      <c r="E985" s="6" t="s">
        <v>2016</v>
      </c>
      <c r="F985" cm="1">
        <f t="array" ref="F985:I985">VLOOKUP(E985,CHOOSE({1,2,3,4,5},'Main Data'!A982:A1981,'Main Data'!B982:B1981,'Main Data'!C982:C1981,'Main Data'!M982:M1981,'Main Data'!N982:N1981),{2,3,4,5},0)</f>
        <v>43</v>
      </c>
      <c r="G985" t="str">
        <v>Female</v>
      </c>
      <c r="H985" t="str">
        <v>USA</v>
      </c>
      <c r="I985">
        <v>3.56</v>
      </c>
      <c r="L985" s="6" t="s">
        <v>2016</v>
      </c>
      <c r="M985" t="str" cm="1">
        <f t="array" ref="M985:O985">INDEX('Main Data'!A982:O1981,MATCH(L985,'Main Data'!A982:A1981,0),{3,7,14})</f>
        <v>Female</v>
      </c>
      <c r="N985">
        <v>51904.54</v>
      </c>
      <c r="O985">
        <v>3.56</v>
      </c>
    </row>
    <row r="986" spans="1:15" x14ac:dyDescent="0.3">
      <c r="A986" s="6" t="s">
        <v>2018</v>
      </c>
      <c r="B986" cm="1">
        <f t="array" ref="B986:C986">_xlfn.XLOOKUP(A986,'Main Data'!A983:A1982,'Main Data'!B983:C1982,"Data Not Found",0)</f>
        <v>46</v>
      </c>
      <c r="C986" t="str">
        <v>Male</v>
      </c>
      <c r="E986" s="6" t="s">
        <v>2018</v>
      </c>
      <c r="F986" cm="1">
        <f t="array" ref="F986:I986">VLOOKUP(E986,CHOOSE({1,2,3,4,5},'Main Data'!A983:A1982,'Main Data'!B983:B1982,'Main Data'!C983:C1982,'Main Data'!M983:M1982,'Main Data'!N983:N1982),{2,3,4,5},0)</f>
        <v>46</v>
      </c>
      <c r="G986" t="str">
        <v>Male</v>
      </c>
      <c r="H986" t="str">
        <v>France</v>
      </c>
      <c r="I986">
        <v>1.29</v>
      </c>
      <c r="L986" s="6" t="s">
        <v>2018</v>
      </c>
      <c r="M986" t="str" cm="1">
        <f t="array" ref="M986:O986">INDEX('Main Data'!A983:O1982,MATCH(L986,'Main Data'!A983:A1982,0),{3,7,14})</f>
        <v>Male</v>
      </c>
      <c r="N986">
        <v>144512.17000000001</v>
      </c>
      <c r="O986">
        <v>1.29</v>
      </c>
    </row>
    <row r="987" spans="1:15" x14ac:dyDescent="0.3">
      <c r="A987" s="6" t="s">
        <v>2020</v>
      </c>
      <c r="B987" cm="1">
        <f t="array" ref="B987:C987">_xlfn.XLOOKUP(A987,'Main Data'!A984:A1983,'Main Data'!B984:C1983,"Data Not Found",0)</f>
        <v>31</v>
      </c>
      <c r="C987" t="str">
        <v>Female</v>
      </c>
      <c r="E987" s="6" t="s">
        <v>2020</v>
      </c>
      <c r="F987" cm="1">
        <f t="array" ref="F987:I987">VLOOKUP(E987,CHOOSE({1,2,3,4,5},'Main Data'!A984:A1983,'Main Data'!B984:B1983,'Main Data'!C984:C1983,'Main Data'!M984:M1983,'Main Data'!N984:N1983),{2,3,4,5},0)</f>
        <v>31</v>
      </c>
      <c r="G987" t="str">
        <v>Female</v>
      </c>
      <c r="H987" t="str">
        <v>UK</v>
      </c>
      <c r="I987">
        <v>3.23</v>
      </c>
      <c r="L987" s="6" t="s">
        <v>2020</v>
      </c>
      <c r="M987" t="str" cm="1">
        <f t="array" ref="M987:O987">INDEX('Main Data'!A984:O1983,MATCH(L987,'Main Data'!A984:A1983,0),{3,7,14})</f>
        <v>Female</v>
      </c>
      <c r="N987">
        <v>198036.38</v>
      </c>
      <c r="O987">
        <v>3.23</v>
      </c>
    </row>
    <row r="988" spans="1:15" x14ac:dyDescent="0.3">
      <c r="A988" s="6" t="s">
        <v>2022</v>
      </c>
      <c r="B988" cm="1">
        <f t="array" ref="B988:C988">_xlfn.XLOOKUP(A988,'Main Data'!A985:A1984,'Main Data'!B985:C1984,"Data Not Found",0)</f>
        <v>30</v>
      </c>
      <c r="C988" t="str">
        <v>Female</v>
      </c>
      <c r="E988" s="6" t="s">
        <v>2022</v>
      </c>
      <c r="F988" cm="1">
        <f t="array" ref="F988:I988">VLOOKUP(E988,CHOOSE({1,2,3,4,5},'Main Data'!A985:A1984,'Main Data'!B985:B1984,'Main Data'!C985:C1984,'Main Data'!M985:M1984,'Main Data'!N985:N1984),{2,3,4,5},0)</f>
        <v>30</v>
      </c>
      <c r="G988" t="str">
        <v>Female</v>
      </c>
      <c r="H988" t="str">
        <v>UAE</v>
      </c>
      <c r="I988">
        <v>2.78</v>
      </c>
      <c r="L988" s="6" t="s">
        <v>2022</v>
      </c>
      <c r="M988" t="str" cm="1">
        <f t="array" ref="M988:O988">INDEX('Main Data'!A985:O1984,MATCH(L988,'Main Data'!A985:A1984,0),{3,7,14})</f>
        <v>Female</v>
      </c>
      <c r="N988">
        <v>94047.25</v>
      </c>
      <c r="O988">
        <v>2.78</v>
      </c>
    </row>
    <row r="989" spans="1:15" x14ac:dyDescent="0.3">
      <c r="A989" s="6" t="s">
        <v>2024</v>
      </c>
      <c r="B989" cm="1">
        <f t="array" ref="B989:C989">_xlfn.XLOOKUP(A989,'Main Data'!A986:A1985,'Main Data'!B986:C1985,"Data Not Found",0)</f>
        <v>40</v>
      </c>
      <c r="C989" t="str">
        <v>Other</v>
      </c>
      <c r="E989" s="6" t="s">
        <v>2024</v>
      </c>
      <c r="F989" cm="1">
        <f t="array" ref="F989:I989">VLOOKUP(E989,CHOOSE({1,2,3,4,5},'Main Data'!A986:A1985,'Main Data'!B986:B1985,'Main Data'!C986:C1985,'Main Data'!M986:M1985,'Main Data'!N986:N1985),{2,3,4,5},0)</f>
        <v>40</v>
      </c>
      <c r="G989" t="str">
        <v>Other</v>
      </c>
      <c r="H989" t="str">
        <v>Japan</v>
      </c>
      <c r="I989">
        <v>2.52</v>
      </c>
      <c r="L989" s="6" t="s">
        <v>2024</v>
      </c>
      <c r="M989" t="str" cm="1">
        <f t="array" ref="M989:O989">INDEX('Main Data'!A986:O1985,MATCH(L989,'Main Data'!A986:A1985,0),{3,7,14})</f>
        <v>Other</v>
      </c>
      <c r="N989">
        <v>158473.84</v>
      </c>
      <c r="O989">
        <v>2.52</v>
      </c>
    </row>
    <row r="990" spans="1:15" x14ac:dyDescent="0.3">
      <c r="A990" s="6" t="s">
        <v>2026</v>
      </c>
      <c r="B990" cm="1">
        <f t="array" ref="B990:C990">_xlfn.XLOOKUP(A990,'Main Data'!A987:A1986,'Main Data'!B987:C1986,"Data Not Found",0)</f>
        <v>33</v>
      </c>
      <c r="C990" t="str">
        <v>Other</v>
      </c>
      <c r="E990" s="6" t="s">
        <v>2026</v>
      </c>
      <c r="F990" cm="1">
        <f t="array" ref="F990:I990">VLOOKUP(E990,CHOOSE({1,2,3,4,5},'Main Data'!A987:A1986,'Main Data'!B987:B1986,'Main Data'!C987:C1986,'Main Data'!M987:M1986,'Main Data'!N987:N1986),{2,3,4,5},0)</f>
        <v>33</v>
      </c>
      <c r="G990" t="str">
        <v>Other</v>
      </c>
      <c r="H990" t="str">
        <v>USA</v>
      </c>
      <c r="I990">
        <v>2.09</v>
      </c>
      <c r="L990" s="6" t="s">
        <v>2026</v>
      </c>
      <c r="M990" t="str" cm="1">
        <f t="array" ref="M990:O990">INDEX('Main Data'!A987:O1986,MATCH(L990,'Main Data'!A987:A1986,0),{3,7,14})</f>
        <v>Other</v>
      </c>
      <c r="N990">
        <v>83666.149999999994</v>
      </c>
      <c r="O990">
        <v>2.09</v>
      </c>
    </row>
    <row r="991" spans="1:15" x14ac:dyDescent="0.3">
      <c r="A991" s="6" t="s">
        <v>2028</v>
      </c>
      <c r="B991" cm="1">
        <f t="array" ref="B991:C991">_xlfn.XLOOKUP(A991,'Main Data'!A988:A1987,'Main Data'!B988:C1987,"Data Not Found",0)</f>
        <v>50</v>
      </c>
      <c r="C991" t="str">
        <v>Other</v>
      </c>
      <c r="E991" s="6" t="s">
        <v>2028</v>
      </c>
      <c r="F991" cm="1">
        <f t="array" ref="F991:I991">VLOOKUP(E991,CHOOSE({1,2,3,4,5},'Main Data'!A988:A1987,'Main Data'!B988:B1987,'Main Data'!C988:C1987,'Main Data'!M988:M1987,'Main Data'!N988:N1987),{2,3,4,5},0)</f>
        <v>50</v>
      </c>
      <c r="G991" t="str">
        <v>Other</v>
      </c>
      <c r="H991" t="str">
        <v>France</v>
      </c>
      <c r="I991">
        <v>4.0199999999999996</v>
      </c>
      <c r="L991" s="6" t="s">
        <v>2028</v>
      </c>
      <c r="M991" t="str" cm="1">
        <f t="array" ref="M991:O991">INDEX('Main Data'!A988:O1987,MATCH(L991,'Main Data'!A988:A1987,0),{3,7,14})</f>
        <v>Other</v>
      </c>
      <c r="N991">
        <v>195959.86</v>
      </c>
      <c r="O991">
        <v>4.0199999999999996</v>
      </c>
    </row>
    <row r="992" spans="1:15" x14ac:dyDescent="0.3">
      <c r="A992" s="6" t="s">
        <v>2030</v>
      </c>
      <c r="B992" cm="1">
        <f t="array" ref="B992:C992">_xlfn.XLOOKUP(A992,'Main Data'!A989:A1988,'Main Data'!B989:C1988,"Data Not Found",0)</f>
        <v>39</v>
      </c>
      <c r="C992" t="str">
        <v>Other</v>
      </c>
      <c r="E992" s="6" t="s">
        <v>2030</v>
      </c>
      <c r="F992" cm="1">
        <f t="array" ref="F992:I992">VLOOKUP(E992,CHOOSE({1,2,3,4,5},'Main Data'!A989:A1988,'Main Data'!B989:B1988,'Main Data'!C989:C1988,'Main Data'!M989:M1988,'Main Data'!N989:N1988),{2,3,4,5},0)</f>
        <v>39</v>
      </c>
      <c r="G992" t="str">
        <v>Other</v>
      </c>
      <c r="H992" t="str">
        <v>UK</v>
      </c>
      <c r="I992">
        <v>3.58</v>
      </c>
      <c r="L992" s="6" t="s">
        <v>2030</v>
      </c>
      <c r="M992" t="str" cm="1">
        <f t="array" ref="M992:O992">INDEX('Main Data'!A989:O1988,MATCH(L992,'Main Data'!A989:A1988,0),{3,7,14})</f>
        <v>Other</v>
      </c>
      <c r="N992">
        <v>116615.3</v>
      </c>
      <c r="O992">
        <v>3.58</v>
      </c>
    </row>
    <row r="993" spans="1:15" x14ac:dyDescent="0.3">
      <c r="A993" s="6" t="s">
        <v>2032</v>
      </c>
      <c r="B993" cm="1">
        <f t="array" ref="B993:C993">_xlfn.XLOOKUP(A993,'Main Data'!A990:A1989,'Main Data'!B990:C1989,"Data Not Found",0)</f>
        <v>37</v>
      </c>
      <c r="C993" t="str">
        <v>Other</v>
      </c>
      <c r="E993" s="6" t="s">
        <v>2032</v>
      </c>
      <c r="F993" cm="1">
        <f t="array" ref="F993:I993">VLOOKUP(E993,CHOOSE({1,2,3,4,5},'Main Data'!A990:A1989,'Main Data'!B990:B1989,'Main Data'!C990:C1989,'Main Data'!M990:M1989,'Main Data'!N990:N1989),{2,3,4,5},0)</f>
        <v>37</v>
      </c>
      <c r="G993" t="str">
        <v>Other</v>
      </c>
      <c r="H993" t="str">
        <v>UAE</v>
      </c>
      <c r="I993">
        <v>3.33</v>
      </c>
      <c r="L993" s="6" t="s">
        <v>2032</v>
      </c>
      <c r="M993" t="str" cm="1">
        <f t="array" ref="M993:O993">INDEX('Main Data'!A990:O1989,MATCH(L993,'Main Data'!A990:A1989,0),{3,7,14})</f>
        <v>Other</v>
      </c>
      <c r="N993">
        <v>151533.74</v>
      </c>
      <c r="O993">
        <v>3.33</v>
      </c>
    </row>
    <row r="994" spans="1:15" x14ac:dyDescent="0.3">
      <c r="A994" s="6" t="s">
        <v>2034</v>
      </c>
      <c r="B994" cm="1">
        <f t="array" ref="B994:C994">_xlfn.XLOOKUP(A994,'Main Data'!A991:A1990,'Main Data'!B991:C1990,"Data Not Found",0)</f>
        <v>25</v>
      </c>
      <c r="C994" t="str">
        <v>Female</v>
      </c>
      <c r="E994" s="6" t="s">
        <v>2034</v>
      </c>
      <c r="F994" cm="1">
        <f t="array" ref="F994:I994">VLOOKUP(E994,CHOOSE({1,2,3,4,5},'Main Data'!A991:A1990,'Main Data'!B991:B1990,'Main Data'!C991:C1990,'Main Data'!M991:M1990,'Main Data'!N991:N1990),{2,3,4,5},0)</f>
        <v>25</v>
      </c>
      <c r="G994" t="str">
        <v>Female</v>
      </c>
      <c r="H994" t="str">
        <v>Japan</v>
      </c>
      <c r="I994">
        <v>4.04</v>
      </c>
      <c r="L994" s="6" t="s">
        <v>2034</v>
      </c>
      <c r="M994" t="str" cm="1">
        <f t="array" ref="M994:O994">INDEX('Main Data'!A991:O1990,MATCH(L994,'Main Data'!A991:A1990,0),{3,7,14})</f>
        <v>Female</v>
      </c>
      <c r="N994">
        <v>126087.4</v>
      </c>
      <c r="O994">
        <v>4.04</v>
      </c>
    </row>
    <row r="995" spans="1:15" x14ac:dyDescent="0.3">
      <c r="A995" s="6" t="s">
        <v>2036</v>
      </c>
      <c r="B995" cm="1">
        <f t="array" ref="B995:C995">_xlfn.XLOOKUP(A995,'Main Data'!A992:A1991,'Main Data'!B992:C1991,"Data Not Found",0)</f>
        <v>64</v>
      </c>
      <c r="C995" t="str">
        <v>Other</v>
      </c>
      <c r="E995" s="6" t="s">
        <v>2036</v>
      </c>
      <c r="F995" cm="1">
        <f t="array" ref="F995:I995">VLOOKUP(E995,CHOOSE({1,2,3,4,5},'Main Data'!A992:A1991,'Main Data'!B992:B1991,'Main Data'!C992:C1991,'Main Data'!M992:M1991,'Main Data'!N992:N1991),{2,3,4,5},0)</f>
        <v>64</v>
      </c>
      <c r="G995" t="str">
        <v>Other</v>
      </c>
      <c r="H995" t="str">
        <v>USA</v>
      </c>
      <c r="I995">
        <v>1.26</v>
      </c>
      <c r="L995" s="6" t="s">
        <v>2036</v>
      </c>
      <c r="M995" t="str" cm="1">
        <f t="array" ref="M995:O995">INDEX('Main Data'!A992:O1991,MATCH(L995,'Main Data'!A992:A1991,0),{3,7,14})</f>
        <v>Other</v>
      </c>
      <c r="N995">
        <v>62115.94</v>
      </c>
      <c r="O995">
        <v>1.26</v>
      </c>
    </row>
    <row r="996" spans="1:15" x14ac:dyDescent="0.3">
      <c r="A996" s="6" t="s">
        <v>2038</v>
      </c>
      <c r="B996" cm="1">
        <f t="array" ref="B996:C996">_xlfn.XLOOKUP(A996,'Main Data'!A993:A1992,'Main Data'!B993:C1992,"Data Not Found",0)</f>
        <v>46</v>
      </c>
      <c r="C996" t="str">
        <v>Female</v>
      </c>
      <c r="E996" s="6" t="s">
        <v>2038</v>
      </c>
      <c r="F996" cm="1">
        <f t="array" ref="F996:I996">VLOOKUP(E996,CHOOSE({1,2,3,4,5},'Main Data'!A993:A1992,'Main Data'!B993:B1992,'Main Data'!C993:C1992,'Main Data'!M993:M1992,'Main Data'!N993:N1992),{2,3,4,5},0)</f>
        <v>46</v>
      </c>
      <c r="G996" t="str">
        <v>Female</v>
      </c>
      <c r="H996" t="str">
        <v>France</v>
      </c>
      <c r="I996">
        <v>1.91</v>
      </c>
      <c r="L996" s="6" t="s">
        <v>2038</v>
      </c>
      <c r="M996" t="str" cm="1">
        <f t="array" ref="M996:O996">INDEX('Main Data'!A993:O1992,MATCH(L996,'Main Data'!A993:A1992,0),{3,7,14})</f>
        <v>Female</v>
      </c>
      <c r="N996">
        <v>169548.08</v>
      </c>
      <c r="O996">
        <v>1.91</v>
      </c>
    </row>
    <row r="997" spans="1:15" x14ac:dyDescent="0.3">
      <c r="A997" s="6" t="s">
        <v>2040</v>
      </c>
      <c r="B997" cm="1">
        <f t="array" ref="B997:C997">_xlfn.XLOOKUP(A997,'Main Data'!A994:A1993,'Main Data'!B994:C1993,"Data Not Found",0)</f>
        <v>43</v>
      </c>
      <c r="C997" t="str">
        <v>Female</v>
      </c>
      <c r="E997" s="6" t="s">
        <v>2040</v>
      </c>
      <c r="F997" cm="1">
        <f t="array" ref="F997:I997">VLOOKUP(E997,CHOOSE({1,2,3,4,5},'Main Data'!A994:A1993,'Main Data'!B994:B1993,'Main Data'!C994:C1993,'Main Data'!M994:M1993,'Main Data'!N994:N1993),{2,3,4,5},0)</f>
        <v>43</v>
      </c>
      <c r="G997" t="str">
        <v>Female</v>
      </c>
      <c r="H997" t="str">
        <v>UK</v>
      </c>
      <c r="I997">
        <v>2.82</v>
      </c>
      <c r="L997" s="6" t="s">
        <v>2040</v>
      </c>
      <c r="M997" t="str" cm="1">
        <f t="array" ref="M997:O997">INDEX('Main Data'!A994:O1993,MATCH(L997,'Main Data'!A994:A1993,0),{3,7,14})</f>
        <v>Female</v>
      </c>
      <c r="N997">
        <v>86371.92</v>
      </c>
      <c r="O997">
        <v>2.82</v>
      </c>
    </row>
    <row r="998" spans="1:15" x14ac:dyDescent="0.3">
      <c r="A998" s="6" t="s">
        <v>2042</v>
      </c>
      <c r="B998" cm="1">
        <f t="array" ref="B998:C998">_xlfn.XLOOKUP(A998,'Main Data'!A995:A1994,'Main Data'!B995:C1994,"Data Not Found",0)</f>
        <v>50</v>
      </c>
      <c r="C998" t="str">
        <v>Male</v>
      </c>
      <c r="E998" s="6" t="s">
        <v>2042</v>
      </c>
      <c r="F998" cm="1">
        <f t="array" ref="F998:I998">VLOOKUP(E998,CHOOSE({1,2,3,4,5},'Main Data'!A995:A1994,'Main Data'!B995:B1994,'Main Data'!C995:C1994,'Main Data'!M995:M1994,'Main Data'!N995:N1994),{2,3,4,5},0)</f>
        <v>50</v>
      </c>
      <c r="G998" t="str">
        <v>Male</v>
      </c>
      <c r="H998" t="str">
        <v>UAE</v>
      </c>
      <c r="I998">
        <v>3.1</v>
      </c>
      <c r="L998" s="6" t="s">
        <v>2042</v>
      </c>
      <c r="M998" t="str" cm="1">
        <f t="array" ref="M998:O998">INDEX('Main Data'!A995:O1994,MATCH(L998,'Main Data'!A995:A1994,0),{3,7,14})</f>
        <v>Male</v>
      </c>
      <c r="N998">
        <v>91872.59</v>
      </c>
      <c r="O998">
        <v>3.1</v>
      </c>
    </row>
    <row r="999" spans="1:15" x14ac:dyDescent="0.3">
      <c r="A999" s="6" t="s">
        <v>2044</v>
      </c>
      <c r="B999" cm="1">
        <f t="array" ref="B999:C999">_xlfn.XLOOKUP(A999,'Main Data'!A996:A1995,'Main Data'!B996:C1995,"Data Not Found",0)</f>
        <v>43</v>
      </c>
      <c r="C999" t="str">
        <v>Female</v>
      </c>
      <c r="E999" s="6" t="s">
        <v>2044</v>
      </c>
      <c r="F999" cm="1">
        <f t="array" ref="F999:I999">VLOOKUP(E999,CHOOSE({1,2,3,4,5},'Main Data'!A996:A1995,'Main Data'!B996:B1995,'Main Data'!C996:C1995,'Main Data'!M996:M1995,'Main Data'!N996:N1995),{2,3,4,5},0)</f>
        <v>43</v>
      </c>
      <c r="G999" t="str">
        <v>Female</v>
      </c>
      <c r="H999" t="str">
        <v>Japan</v>
      </c>
      <c r="I999">
        <v>3.2</v>
      </c>
      <c r="L999" s="6" t="s">
        <v>2044</v>
      </c>
      <c r="M999" t="str" cm="1">
        <f t="array" ref="M999:O999">INDEX('Main Data'!A996:O1995,MATCH(L999,'Main Data'!A996:A1995,0),{3,7,14})</f>
        <v>Female</v>
      </c>
      <c r="N999">
        <v>54564.9</v>
      </c>
      <c r="O999">
        <v>3.2</v>
      </c>
    </row>
    <row r="1000" spans="1:15" x14ac:dyDescent="0.3">
      <c r="A1000" s="6" t="s">
        <v>2046</v>
      </c>
      <c r="B1000" cm="1">
        <f t="array" ref="B1000:C1000">_xlfn.XLOOKUP(A1000,'Main Data'!A997:A1996,'Main Data'!B997:C1996,"Data Not Found",0)</f>
        <v>36</v>
      </c>
      <c r="C1000" t="str">
        <v>Female</v>
      </c>
      <c r="E1000" s="6" t="s">
        <v>2046</v>
      </c>
      <c r="F1000" cm="1">
        <f t="array" ref="F1000:I1000">VLOOKUP(E1000,CHOOSE({1,2,3,4,5},'Main Data'!A997:A1996,'Main Data'!B997:B1996,'Main Data'!C997:C1996,'Main Data'!M997:M1996,'Main Data'!N997:N1996),{2,3,4,5},0)</f>
        <v>36</v>
      </c>
      <c r="G1000" t="str">
        <v>Female</v>
      </c>
      <c r="H1000" t="str">
        <v>USA</v>
      </c>
      <c r="I1000">
        <v>3.05</v>
      </c>
      <c r="L1000" s="6" t="s">
        <v>2046</v>
      </c>
      <c r="M1000" t="str" cm="1">
        <f t="array" ref="M1000:O1000">INDEX('Main Data'!A997:O1996,MATCH(L1000,'Main Data'!A997:A1996,0),{3,7,14})</f>
        <v>Female</v>
      </c>
      <c r="N1000">
        <v>133267.21</v>
      </c>
      <c r="O1000">
        <v>3.05</v>
      </c>
    </row>
    <row r="1001" spans="1:15" x14ac:dyDescent="0.3">
      <c r="A1001" s="6" t="s">
        <v>2048</v>
      </c>
      <c r="B1001" cm="1">
        <f t="array" ref="B1001:C1001">_xlfn.XLOOKUP(A1001,'Main Data'!A998:A1997,'Main Data'!B998:C1997,"Data Not Found",0)</f>
        <v>23</v>
      </c>
      <c r="C1001" t="str">
        <v>Other</v>
      </c>
      <c r="E1001" s="6" t="s">
        <v>2048</v>
      </c>
      <c r="F1001" cm="1">
        <f t="array" ref="F1001:I1001">VLOOKUP(E1001,CHOOSE({1,2,3,4,5},'Main Data'!A998:A1997,'Main Data'!B998:B1997,'Main Data'!C998:C1997,'Main Data'!M998:M1997,'Main Data'!N998:N1997),{2,3,4,5},0)</f>
        <v>23</v>
      </c>
      <c r="G1001" t="str">
        <v>Other</v>
      </c>
      <c r="H1001" t="str">
        <v>France</v>
      </c>
      <c r="I1001">
        <v>2.5099999999999998</v>
      </c>
      <c r="L1001" s="6" t="s">
        <v>2048</v>
      </c>
      <c r="M1001" t="str" cm="1">
        <f t="array" ref="M1001:O1001">INDEX('Main Data'!A998:O1997,MATCH(L1001,'Main Data'!A998:A1997,0),{3,7,14})</f>
        <v>Other</v>
      </c>
      <c r="N1001">
        <v>130638.55</v>
      </c>
      <c r="O1001">
        <v>2.5099999999999998</v>
      </c>
    </row>
    <row r="1002" spans="1:15" x14ac:dyDescent="0.3">
      <c r="A1002" s="6" t="s">
        <v>2050</v>
      </c>
      <c r="B1002" cm="1">
        <f t="array" ref="B1002:C1002">_xlfn.XLOOKUP(A1002,'Main Data'!A999:A1998,'Main Data'!B999:C1998,"Data Not Found",0)</f>
        <v>34</v>
      </c>
      <c r="C1002" t="str">
        <v>Female</v>
      </c>
      <c r="E1002" s="6" t="s">
        <v>2050</v>
      </c>
      <c r="F1002" cm="1">
        <f t="array" ref="F1002:I1002">VLOOKUP(E1002,CHOOSE({1,2,3,4,5},'Main Data'!A999:A1998,'Main Data'!B999:B1998,'Main Data'!C999:C1998,'Main Data'!M999:M1998,'Main Data'!N999:N1998),{2,3,4,5},0)</f>
        <v>34</v>
      </c>
      <c r="G1002" t="str">
        <v>Female</v>
      </c>
      <c r="H1002" t="str">
        <v>UK</v>
      </c>
      <c r="I1002">
        <v>1.1599999999999999</v>
      </c>
      <c r="L1002" s="6" t="s">
        <v>2050</v>
      </c>
      <c r="M1002" t="str" cm="1">
        <f t="array" ref="M1002:O1002">INDEX('Main Data'!A999:O1998,MATCH(L1002,'Main Data'!A999:A1998,0),{3,7,14})</f>
        <v>Female</v>
      </c>
      <c r="N1002">
        <v>77610.61</v>
      </c>
      <c r="O1002">
        <v>1.1599999999999999</v>
      </c>
    </row>
    <row r="1003" spans="1:15" x14ac:dyDescent="0.3">
      <c r="A1003" s="6" t="s">
        <v>2052</v>
      </c>
      <c r="B1003" cm="1">
        <f t="array" ref="B1003:C1003">_xlfn.XLOOKUP(A1003,'Main Data'!A1000:A1999,'Main Data'!B1000:C1999,"Data Not Found",0)</f>
        <v>33</v>
      </c>
      <c r="C1003" t="str">
        <v>Other</v>
      </c>
      <c r="E1003" s="6" t="s">
        <v>2052</v>
      </c>
      <c r="F1003" cm="1">
        <f t="array" ref="F1003:I1003">VLOOKUP(E1003,CHOOSE({1,2,3,4,5},'Main Data'!A1000:A1999,'Main Data'!B1000:B1999,'Main Data'!C1000:C1999,'Main Data'!M1000:M1999,'Main Data'!N1000:N1999),{2,3,4,5},0)</f>
        <v>33</v>
      </c>
      <c r="G1003" t="str">
        <v>Other</v>
      </c>
      <c r="H1003" t="str">
        <v>UAE</v>
      </c>
      <c r="I1003">
        <v>4.47</v>
      </c>
      <c r="L1003" s="6" t="s">
        <v>2052</v>
      </c>
      <c r="M1003" t="str" cm="1">
        <f t="array" ref="M1003:O1003">INDEX('Main Data'!A1000:O1999,MATCH(L1003,'Main Data'!A1000:A1999,0),{3,7,14})</f>
        <v>Other</v>
      </c>
      <c r="N1003">
        <v>158592.57</v>
      </c>
      <c r="O1003">
        <v>4.47</v>
      </c>
    </row>
    <row r="1004" spans="1:15" x14ac:dyDescent="0.3">
      <c r="A1004" s="6" t="s">
        <v>2054</v>
      </c>
      <c r="B1004" cm="1">
        <f t="array" ref="B1004:C1004">_xlfn.XLOOKUP(A1004,'Main Data'!A1001:A2000,'Main Data'!B1001:C2000,"Data Not Found",0)</f>
        <v>47</v>
      </c>
      <c r="C1004" t="str">
        <v>Female</v>
      </c>
      <c r="E1004" s="6" t="s">
        <v>2054</v>
      </c>
      <c r="F1004" cm="1">
        <f t="array" ref="F1004:I1004">VLOOKUP(E1004,CHOOSE({1,2,3,4,5},'Main Data'!A1001:A2000,'Main Data'!B1001:B2000,'Main Data'!C1001:C2000,'Main Data'!M1001:M2000,'Main Data'!N1001:N2000),{2,3,4,5},0)</f>
        <v>47</v>
      </c>
      <c r="G1004" t="str">
        <v>Female</v>
      </c>
      <c r="H1004" t="str">
        <v>Japan</v>
      </c>
      <c r="I1004">
        <v>2.39</v>
      </c>
      <c r="L1004" s="6" t="s">
        <v>2054</v>
      </c>
      <c r="M1004" t="str" cm="1">
        <f t="array" ref="M1004:O1004">INDEX('Main Data'!A1001:O2000,MATCH(L1004,'Main Data'!A1001:A2000,0),{3,7,14})</f>
        <v>Female</v>
      </c>
      <c r="N1004">
        <v>56975.31</v>
      </c>
      <c r="O1004">
        <v>2.39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7E1A-7A4B-4037-8DDB-7BA96C78AF34}">
  <dimension ref="A2:I7"/>
  <sheetViews>
    <sheetView workbookViewId="0">
      <selection activeCell="E10" sqref="E10"/>
    </sheetView>
  </sheetViews>
  <sheetFormatPr defaultRowHeight="14.4" x14ac:dyDescent="0.3"/>
  <cols>
    <col min="2" max="2" width="10.44140625" customWidth="1"/>
    <col min="3" max="3" width="11" bestFit="1" customWidth="1"/>
    <col min="7" max="7" width="18.44140625" customWidth="1"/>
    <col min="9" max="9" width="14.77734375" customWidth="1"/>
    <col min="11" max="11" width="14.21875" customWidth="1"/>
  </cols>
  <sheetData>
    <row r="2" spans="1:9" ht="15.6" x14ac:dyDescent="0.3">
      <c r="A2" s="16" t="s">
        <v>2067</v>
      </c>
      <c r="D2" s="16" t="s">
        <v>2064</v>
      </c>
    </row>
    <row r="3" spans="1:9" x14ac:dyDescent="0.3">
      <c r="A3" s="18" t="s">
        <v>2066</v>
      </c>
      <c r="B3" t="s">
        <v>2065</v>
      </c>
      <c r="D3" s="14" t="s">
        <v>2065</v>
      </c>
      <c r="E3" t="s">
        <v>2066</v>
      </c>
      <c r="G3" s="18" t="s">
        <v>2068</v>
      </c>
      <c r="I3" s="18" t="s">
        <v>2070</v>
      </c>
    </row>
    <row r="4" spans="1:9" x14ac:dyDescent="0.3">
      <c r="A4" s="18" t="s">
        <v>62</v>
      </c>
      <c r="B4">
        <f>COUNTIF('Main Data'!$C$2:$C$1001,"Male")</f>
        <v>322</v>
      </c>
      <c r="D4" s="14"/>
      <c r="G4">
        <f>SUM('Main Data'!G2:G1001)</f>
        <v>122854838.28000009</v>
      </c>
      <c r="I4">
        <f>MAX('Main Data'!G2:G1001)</f>
        <v>199972.19</v>
      </c>
    </row>
    <row r="5" spans="1:9" x14ac:dyDescent="0.3">
      <c r="A5" s="18" t="s">
        <v>16</v>
      </c>
      <c r="B5">
        <f>COUNTIF('Main Data'!$C$2:$C$1001,"Female")</f>
        <v>326</v>
      </c>
      <c r="D5" s="18" t="s">
        <v>62</v>
      </c>
      <c r="E5">
        <f>SUMIF('Main Data'!C2:C1001,"Male",'Main Data'!G2:G1001)</f>
        <v>40045399.630000032</v>
      </c>
    </row>
    <row r="6" spans="1:9" x14ac:dyDescent="0.3">
      <c r="D6" s="18" t="s">
        <v>16</v>
      </c>
      <c r="E6">
        <f>SUMIF('Main Data'!C2:C1001,"Female",'Main Data'!G2:G1001)</f>
        <v>39011023.210000008</v>
      </c>
      <c r="G6" s="18" t="s">
        <v>2069</v>
      </c>
      <c r="I6" s="18" t="s">
        <v>2071</v>
      </c>
    </row>
    <row r="7" spans="1:9" x14ac:dyDescent="0.3">
      <c r="G7">
        <f>AVERAGE('Main Data'!G2:G1001)</f>
        <v>122854.83828000008</v>
      </c>
      <c r="I7">
        <f>MIN('Main Data'!G2:G1001)</f>
        <v>50308.51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2DEC-9A7D-46A7-97CF-693D95C5D792}">
  <dimension ref="B4:D103"/>
  <sheetViews>
    <sheetView tabSelected="1" workbookViewId="0">
      <selection activeCell="I17" sqref="I17"/>
    </sheetView>
  </sheetViews>
  <sheetFormatPr defaultRowHeight="14.4" x14ac:dyDescent="0.3"/>
  <cols>
    <col min="1" max="1" width="16.21875" bestFit="1" customWidth="1"/>
    <col min="2" max="2" width="15.33203125" bestFit="1" customWidth="1"/>
    <col min="3" max="3" width="12.21875" bestFit="1" customWidth="1"/>
    <col min="4" max="4" width="14.33203125" bestFit="1" customWidth="1"/>
    <col min="5" max="6" width="9" bestFit="1" customWidth="1"/>
    <col min="7" max="19" width="10" bestFit="1" customWidth="1"/>
    <col min="20" max="20" width="9" bestFit="1" customWidth="1"/>
    <col min="21" max="21" width="10" bestFit="1" customWidth="1"/>
    <col min="22" max="23" width="9" bestFit="1" customWidth="1"/>
    <col min="24" max="25" width="10" bestFit="1" customWidth="1"/>
    <col min="26" max="26" width="6" bestFit="1" customWidth="1"/>
    <col min="27" max="27" width="10" bestFit="1" customWidth="1"/>
    <col min="28" max="28" width="9" bestFit="1" customWidth="1"/>
    <col min="29" max="31" width="10" bestFit="1" customWidth="1"/>
    <col min="32" max="32" width="9" bestFit="1" customWidth="1"/>
    <col min="33" max="34" width="10" bestFit="1" customWidth="1"/>
    <col min="35" max="35" width="9" bestFit="1" customWidth="1"/>
    <col min="36" max="38" width="10" bestFit="1" customWidth="1"/>
    <col min="39" max="39" width="8" bestFit="1" customWidth="1"/>
    <col min="40" max="42" width="9" bestFit="1" customWidth="1"/>
    <col min="43" max="47" width="10" bestFit="1" customWidth="1"/>
    <col min="48" max="49" width="9" bestFit="1" customWidth="1"/>
    <col min="50" max="59" width="10" bestFit="1" customWidth="1"/>
    <col min="60" max="60" width="9" bestFit="1" customWidth="1"/>
    <col min="61" max="62" width="10" bestFit="1" customWidth="1"/>
    <col min="63" max="65" width="9" bestFit="1" customWidth="1"/>
    <col min="66" max="66" width="10" bestFit="1" customWidth="1"/>
    <col min="67" max="67" width="9" bestFit="1" customWidth="1"/>
    <col min="68" max="69" width="10" bestFit="1" customWidth="1"/>
    <col min="70" max="70" width="9" bestFit="1" customWidth="1"/>
    <col min="71" max="75" width="10" bestFit="1" customWidth="1"/>
    <col min="76" max="76" width="9" bestFit="1" customWidth="1"/>
    <col min="77" max="77" width="7" bestFit="1" customWidth="1"/>
    <col min="78" max="79" width="10" bestFit="1" customWidth="1"/>
    <col min="80" max="80" width="9" bestFit="1" customWidth="1"/>
    <col min="81" max="81" width="10" bestFit="1" customWidth="1"/>
    <col min="82" max="82" width="9" bestFit="1" customWidth="1"/>
    <col min="83" max="84" width="8" bestFit="1" customWidth="1"/>
    <col min="85" max="86" width="9" bestFit="1" customWidth="1"/>
    <col min="87" max="90" width="10" bestFit="1" customWidth="1"/>
    <col min="91" max="91" width="8" bestFit="1" customWidth="1"/>
    <col min="92" max="92" width="10" bestFit="1" customWidth="1"/>
    <col min="93" max="93" width="8" bestFit="1" customWidth="1"/>
    <col min="94" max="96" width="10" bestFit="1" customWidth="1"/>
    <col min="97" max="97" width="9" bestFit="1" customWidth="1"/>
    <col min="98" max="100" width="10" bestFit="1" customWidth="1"/>
    <col min="101" max="101" width="9" bestFit="1" customWidth="1"/>
    <col min="102" max="103" width="10" bestFit="1" customWidth="1"/>
    <col min="104" max="104" width="8" bestFit="1" customWidth="1"/>
    <col min="105" max="105" width="9" bestFit="1" customWidth="1"/>
    <col min="106" max="107" width="10" bestFit="1" customWidth="1"/>
    <col min="108" max="108" width="9" bestFit="1" customWidth="1"/>
    <col min="109" max="111" width="10" bestFit="1" customWidth="1"/>
    <col min="112" max="113" width="9" bestFit="1" customWidth="1"/>
    <col min="114" max="118" width="10" bestFit="1" customWidth="1"/>
    <col min="119" max="119" width="9" bestFit="1" customWidth="1"/>
    <col min="120" max="122" width="10" bestFit="1" customWidth="1"/>
    <col min="123" max="126" width="9" bestFit="1" customWidth="1"/>
    <col min="127" max="127" width="10" bestFit="1" customWidth="1"/>
    <col min="128" max="129" width="9" bestFit="1" customWidth="1"/>
    <col min="130" max="131" width="10" bestFit="1" customWidth="1"/>
    <col min="132" max="132" width="9" bestFit="1" customWidth="1"/>
    <col min="133" max="134" width="10" bestFit="1" customWidth="1"/>
    <col min="135" max="135" width="9" bestFit="1" customWidth="1"/>
    <col min="136" max="137" width="10" bestFit="1" customWidth="1"/>
    <col min="138" max="139" width="9" bestFit="1" customWidth="1"/>
    <col min="140" max="140" width="10" bestFit="1" customWidth="1"/>
    <col min="141" max="142" width="9" bestFit="1" customWidth="1"/>
    <col min="143" max="146" width="10" bestFit="1" customWidth="1"/>
    <col min="147" max="147" width="9" bestFit="1" customWidth="1"/>
    <col min="148" max="148" width="10" bestFit="1" customWidth="1"/>
    <col min="149" max="149" width="9" bestFit="1" customWidth="1"/>
    <col min="150" max="150" width="10" bestFit="1" customWidth="1"/>
    <col min="151" max="151" width="9" bestFit="1" customWidth="1"/>
    <col min="152" max="153" width="10" bestFit="1" customWidth="1"/>
    <col min="154" max="155" width="9" bestFit="1" customWidth="1"/>
    <col min="156" max="162" width="10" bestFit="1" customWidth="1"/>
    <col min="163" max="163" width="9" bestFit="1" customWidth="1"/>
    <col min="164" max="164" width="10" bestFit="1" customWidth="1"/>
    <col min="165" max="165" width="9" bestFit="1" customWidth="1"/>
    <col min="166" max="168" width="10" bestFit="1" customWidth="1"/>
    <col min="169" max="170" width="9" bestFit="1" customWidth="1"/>
    <col min="171" max="171" width="8" bestFit="1" customWidth="1"/>
    <col min="172" max="172" width="9" bestFit="1" customWidth="1"/>
    <col min="173" max="173" width="10" bestFit="1" customWidth="1"/>
    <col min="174" max="174" width="9" bestFit="1" customWidth="1"/>
    <col min="175" max="177" width="10" bestFit="1" customWidth="1"/>
    <col min="178" max="178" width="9" bestFit="1" customWidth="1"/>
    <col min="179" max="180" width="10" bestFit="1" customWidth="1"/>
    <col min="181" max="181" width="9" bestFit="1" customWidth="1"/>
    <col min="182" max="183" width="10" bestFit="1" customWidth="1"/>
    <col min="184" max="184" width="9" bestFit="1" customWidth="1"/>
    <col min="185" max="188" width="10" bestFit="1" customWidth="1"/>
    <col min="189" max="189" width="9" bestFit="1" customWidth="1"/>
    <col min="190" max="193" width="10" bestFit="1" customWidth="1"/>
    <col min="194" max="194" width="9" bestFit="1" customWidth="1"/>
    <col min="195" max="196" width="10" bestFit="1" customWidth="1"/>
    <col min="197" max="197" width="9" bestFit="1" customWidth="1"/>
    <col min="198" max="202" width="10" bestFit="1" customWidth="1"/>
    <col min="203" max="204" width="9" bestFit="1" customWidth="1"/>
    <col min="205" max="212" width="10" bestFit="1" customWidth="1"/>
    <col min="213" max="213" width="9" bestFit="1" customWidth="1"/>
    <col min="214" max="214" width="8" bestFit="1" customWidth="1"/>
    <col min="215" max="216" width="9" bestFit="1" customWidth="1"/>
    <col min="217" max="220" width="10" bestFit="1" customWidth="1"/>
    <col min="221" max="223" width="9" bestFit="1" customWidth="1"/>
    <col min="224" max="225" width="10" bestFit="1" customWidth="1"/>
    <col min="226" max="226" width="9" bestFit="1" customWidth="1"/>
    <col min="227" max="228" width="10" bestFit="1" customWidth="1"/>
    <col min="229" max="231" width="9" bestFit="1" customWidth="1"/>
    <col min="232" max="232" width="10" bestFit="1" customWidth="1"/>
    <col min="233" max="233" width="9" bestFit="1" customWidth="1"/>
    <col min="234" max="235" width="10" bestFit="1" customWidth="1"/>
    <col min="236" max="236" width="7" bestFit="1" customWidth="1"/>
    <col min="237" max="238" width="9" bestFit="1" customWidth="1"/>
    <col min="239" max="243" width="10" bestFit="1" customWidth="1"/>
    <col min="244" max="247" width="9" bestFit="1" customWidth="1"/>
    <col min="248" max="248" width="10" bestFit="1" customWidth="1"/>
    <col min="249" max="249" width="9" bestFit="1" customWidth="1"/>
    <col min="250" max="250" width="10" bestFit="1" customWidth="1"/>
    <col min="251" max="251" width="9" bestFit="1" customWidth="1"/>
    <col min="252" max="254" width="10" bestFit="1" customWidth="1"/>
    <col min="255" max="255" width="9" bestFit="1" customWidth="1"/>
    <col min="256" max="259" width="10" bestFit="1" customWidth="1"/>
    <col min="260" max="260" width="9" bestFit="1" customWidth="1"/>
    <col min="261" max="263" width="10" bestFit="1" customWidth="1"/>
    <col min="264" max="264" width="9" bestFit="1" customWidth="1"/>
    <col min="265" max="265" width="10" bestFit="1" customWidth="1"/>
    <col min="266" max="266" width="9" bestFit="1" customWidth="1"/>
    <col min="267" max="268" width="10" bestFit="1" customWidth="1"/>
    <col min="269" max="269" width="9" bestFit="1" customWidth="1"/>
    <col min="270" max="270" width="10" bestFit="1" customWidth="1"/>
    <col min="271" max="274" width="9" bestFit="1" customWidth="1"/>
    <col min="275" max="275" width="10" bestFit="1" customWidth="1"/>
    <col min="276" max="276" width="9" bestFit="1" customWidth="1"/>
    <col min="277" max="282" width="10" bestFit="1" customWidth="1"/>
    <col min="283" max="283" width="9" bestFit="1" customWidth="1"/>
    <col min="284" max="284" width="10" bestFit="1" customWidth="1"/>
    <col min="285" max="285" width="9" bestFit="1" customWidth="1"/>
    <col min="286" max="287" width="10" bestFit="1" customWidth="1"/>
    <col min="288" max="289" width="9" bestFit="1" customWidth="1"/>
    <col min="290" max="297" width="10" bestFit="1" customWidth="1"/>
    <col min="298" max="298" width="9" bestFit="1" customWidth="1"/>
    <col min="299" max="301" width="10" bestFit="1" customWidth="1"/>
    <col min="302" max="302" width="9" bestFit="1" customWidth="1"/>
    <col min="303" max="303" width="10" bestFit="1" customWidth="1"/>
    <col min="304" max="305" width="9" bestFit="1" customWidth="1"/>
    <col min="306" max="306" width="10" bestFit="1" customWidth="1"/>
    <col min="307" max="308" width="9" bestFit="1" customWidth="1"/>
    <col min="309" max="311" width="10" bestFit="1" customWidth="1"/>
    <col min="312" max="312" width="9" bestFit="1" customWidth="1"/>
    <col min="313" max="316" width="10" bestFit="1" customWidth="1"/>
    <col min="317" max="317" width="7" bestFit="1" customWidth="1"/>
    <col min="318" max="318" width="10" bestFit="1" customWidth="1"/>
    <col min="319" max="319" width="8" bestFit="1" customWidth="1"/>
    <col min="320" max="320" width="10" bestFit="1" customWidth="1"/>
    <col min="321" max="324" width="9" bestFit="1" customWidth="1"/>
    <col min="325" max="325" width="10" bestFit="1" customWidth="1"/>
    <col min="326" max="327" width="9" bestFit="1" customWidth="1"/>
    <col min="328" max="328" width="10" bestFit="1" customWidth="1"/>
    <col min="329" max="329" width="9" bestFit="1" customWidth="1"/>
    <col min="330" max="331" width="10" bestFit="1" customWidth="1"/>
    <col min="332" max="332" width="9" bestFit="1" customWidth="1"/>
    <col min="333" max="333" width="10" bestFit="1" customWidth="1"/>
    <col min="334" max="335" width="9" bestFit="1" customWidth="1"/>
    <col min="336" max="336" width="10" bestFit="1" customWidth="1"/>
    <col min="337" max="338" width="9" bestFit="1" customWidth="1"/>
    <col min="339" max="340" width="10" bestFit="1" customWidth="1"/>
    <col min="341" max="341" width="7" bestFit="1" customWidth="1"/>
    <col min="342" max="343" width="10" bestFit="1" customWidth="1"/>
    <col min="344" max="345" width="9" bestFit="1" customWidth="1"/>
    <col min="346" max="356" width="10" bestFit="1" customWidth="1"/>
    <col min="357" max="357" width="9" bestFit="1" customWidth="1"/>
    <col min="358" max="359" width="10" bestFit="1" customWidth="1"/>
    <col min="360" max="360" width="9" bestFit="1" customWidth="1"/>
    <col min="361" max="363" width="10" bestFit="1" customWidth="1"/>
    <col min="364" max="366" width="9" bestFit="1" customWidth="1"/>
    <col min="367" max="368" width="10" bestFit="1" customWidth="1"/>
    <col min="369" max="370" width="9" bestFit="1" customWidth="1"/>
    <col min="371" max="371" width="10" bestFit="1" customWidth="1"/>
    <col min="372" max="372" width="9" bestFit="1" customWidth="1"/>
    <col min="373" max="373" width="10" bestFit="1" customWidth="1"/>
    <col min="374" max="374" width="9" bestFit="1" customWidth="1"/>
    <col min="375" max="376" width="10" bestFit="1" customWidth="1"/>
    <col min="377" max="378" width="9" bestFit="1" customWidth="1"/>
    <col min="379" max="382" width="10" bestFit="1" customWidth="1"/>
    <col min="383" max="383" width="9" bestFit="1" customWidth="1"/>
    <col min="384" max="384" width="10" bestFit="1" customWidth="1"/>
    <col min="385" max="385" width="9" bestFit="1" customWidth="1"/>
    <col min="386" max="386" width="8" bestFit="1" customWidth="1"/>
    <col min="387" max="388" width="9" bestFit="1" customWidth="1"/>
    <col min="389" max="390" width="10" bestFit="1" customWidth="1"/>
    <col min="391" max="391" width="9" bestFit="1" customWidth="1"/>
    <col min="392" max="392" width="10" bestFit="1" customWidth="1"/>
    <col min="393" max="393" width="9" bestFit="1" customWidth="1"/>
    <col min="394" max="395" width="10" bestFit="1" customWidth="1"/>
    <col min="396" max="396" width="9" bestFit="1" customWidth="1"/>
    <col min="397" max="397" width="10" bestFit="1" customWidth="1"/>
    <col min="398" max="398" width="9" bestFit="1" customWidth="1"/>
    <col min="399" max="399" width="7" bestFit="1" customWidth="1"/>
    <col min="400" max="400" width="9" bestFit="1" customWidth="1"/>
    <col min="401" max="402" width="10" bestFit="1" customWidth="1"/>
    <col min="403" max="403" width="9" bestFit="1" customWidth="1"/>
    <col min="404" max="406" width="10" bestFit="1" customWidth="1"/>
    <col min="407" max="408" width="9" bestFit="1" customWidth="1"/>
    <col min="409" max="409" width="8" bestFit="1" customWidth="1"/>
    <col min="410" max="411" width="9" bestFit="1" customWidth="1"/>
    <col min="412" max="412" width="10" bestFit="1" customWidth="1"/>
    <col min="413" max="414" width="9" bestFit="1" customWidth="1"/>
    <col min="415" max="416" width="10" bestFit="1" customWidth="1"/>
    <col min="417" max="417" width="9" bestFit="1" customWidth="1"/>
    <col min="418" max="419" width="10" bestFit="1" customWidth="1"/>
    <col min="420" max="423" width="9" bestFit="1" customWidth="1"/>
    <col min="424" max="430" width="10" bestFit="1" customWidth="1"/>
    <col min="431" max="431" width="9" bestFit="1" customWidth="1"/>
    <col min="432" max="435" width="10" bestFit="1" customWidth="1"/>
    <col min="436" max="436" width="9" bestFit="1" customWidth="1"/>
    <col min="437" max="437" width="10" bestFit="1" customWidth="1"/>
    <col min="438" max="438" width="9" bestFit="1" customWidth="1"/>
    <col min="439" max="445" width="10" bestFit="1" customWidth="1"/>
    <col min="446" max="449" width="9" bestFit="1" customWidth="1"/>
    <col min="450" max="452" width="10" bestFit="1" customWidth="1"/>
    <col min="453" max="453" width="9" bestFit="1" customWidth="1"/>
    <col min="454" max="455" width="10" bestFit="1" customWidth="1"/>
    <col min="456" max="456" width="9" bestFit="1" customWidth="1"/>
    <col min="457" max="460" width="10" bestFit="1" customWidth="1"/>
    <col min="461" max="461" width="9" bestFit="1" customWidth="1"/>
    <col min="462" max="462" width="7" bestFit="1" customWidth="1"/>
    <col min="463" max="465" width="10" bestFit="1" customWidth="1"/>
    <col min="466" max="467" width="9" bestFit="1" customWidth="1"/>
    <col min="468" max="471" width="10" bestFit="1" customWidth="1"/>
    <col min="472" max="473" width="9" bestFit="1" customWidth="1"/>
    <col min="474" max="474" width="10" bestFit="1" customWidth="1"/>
    <col min="475" max="475" width="9" bestFit="1" customWidth="1"/>
    <col min="476" max="478" width="10" bestFit="1" customWidth="1"/>
    <col min="479" max="481" width="9" bestFit="1" customWidth="1"/>
    <col min="482" max="482" width="8" bestFit="1" customWidth="1"/>
    <col min="483" max="485" width="10" bestFit="1" customWidth="1"/>
    <col min="486" max="486" width="9" bestFit="1" customWidth="1"/>
    <col min="487" max="487" width="10" bestFit="1" customWidth="1"/>
    <col min="488" max="488" width="9" bestFit="1" customWidth="1"/>
    <col min="489" max="491" width="10" bestFit="1" customWidth="1"/>
    <col min="492" max="492" width="9" bestFit="1" customWidth="1"/>
    <col min="493" max="493" width="10" bestFit="1" customWidth="1"/>
    <col min="494" max="494" width="9" bestFit="1" customWidth="1"/>
    <col min="495" max="495" width="6" bestFit="1" customWidth="1"/>
    <col min="496" max="500" width="10" bestFit="1" customWidth="1"/>
    <col min="501" max="501" width="9" bestFit="1" customWidth="1"/>
    <col min="502" max="502" width="10" bestFit="1" customWidth="1"/>
    <col min="503" max="503" width="9" bestFit="1" customWidth="1"/>
    <col min="504" max="504" width="10" bestFit="1" customWidth="1"/>
    <col min="505" max="507" width="9" bestFit="1" customWidth="1"/>
    <col min="508" max="510" width="10" bestFit="1" customWidth="1"/>
    <col min="511" max="512" width="9" bestFit="1" customWidth="1"/>
    <col min="513" max="513" width="10" bestFit="1" customWidth="1"/>
    <col min="514" max="514" width="9" bestFit="1" customWidth="1"/>
    <col min="515" max="516" width="10" bestFit="1" customWidth="1"/>
    <col min="517" max="517" width="9" bestFit="1" customWidth="1"/>
    <col min="518" max="518" width="10" bestFit="1" customWidth="1"/>
    <col min="519" max="519" width="9" bestFit="1" customWidth="1"/>
    <col min="520" max="520" width="10" bestFit="1" customWidth="1"/>
    <col min="521" max="522" width="9" bestFit="1" customWidth="1"/>
    <col min="523" max="523" width="10" bestFit="1" customWidth="1"/>
    <col min="524" max="526" width="9" bestFit="1" customWidth="1"/>
    <col min="527" max="528" width="10" bestFit="1" customWidth="1"/>
    <col min="529" max="530" width="9" bestFit="1" customWidth="1"/>
    <col min="531" max="531" width="10" bestFit="1" customWidth="1"/>
    <col min="532" max="532" width="9" bestFit="1" customWidth="1"/>
    <col min="533" max="533" width="10" bestFit="1" customWidth="1"/>
    <col min="534" max="536" width="9" bestFit="1" customWidth="1"/>
    <col min="537" max="537" width="10" bestFit="1" customWidth="1"/>
    <col min="538" max="538" width="9" bestFit="1" customWidth="1"/>
    <col min="539" max="540" width="10" bestFit="1" customWidth="1"/>
    <col min="541" max="543" width="9" bestFit="1" customWidth="1"/>
    <col min="544" max="544" width="10" bestFit="1" customWidth="1"/>
    <col min="545" max="545" width="9" bestFit="1" customWidth="1"/>
    <col min="546" max="546" width="10" bestFit="1" customWidth="1"/>
    <col min="547" max="547" width="9" bestFit="1" customWidth="1"/>
    <col min="548" max="548" width="8" bestFit="1" customWidth="1"/>
    <col min="549" max="550" width="10" bestFit="1" customWidth="1"/>
    <col min="551" max="551" width="9" bestFit="1" customWidth="1"/>
    <col min="552" max="552" width="10" bestFit="1" customWidth="1"/>
    <col min="553" max="554" width="9" bestFit="1" customWidth="1"/>
    <col min="555" max="555" width="10" bestFit="1" customWidth="1"/>
    <col min="556" max="556" width="9" bestFit="1" customWidth="1"/>
    <col min="557" max="557" width="8" bestFit="1" customWidth="1"/>
    <col min="558" max="559" width="9" bestFit="1" customWidth="1"/>
    <col min="560" max="563" width="10" bestFit="1" customWidth="1"/>
    <col min="564" max="564" width="9" bestFit="1" customWidth="1"/>
    <col min="565" max="568" width="10" bestFit="1" customWidth="1"/>
    <col min="569" max="570" width="9" bestFit="1" customWidth="1"/>
    <col min="571" max="571" width="10" bestFit="1" customWidth="1"/>
    <col min="572" max="572" width="9" bestFit="1" customWidth="1"/>
    <col min="573" max="574" width="10" bestFit="1" customWidth="1"/>
    <col min="575" max="575" width="9" bestFit="1" customWidth="1"/>
    <col min="576" max="576" width="10" bestFit="1" customWidth="1"/>
    <col min="577" max="577" width="9" bestFit="1" customWidth="1"/>
    <col min="578" max="578" width="8" bestFit="1" customWidth="1"/>
    <col min="579" max="579" width="10" bestFit="1" customWidth="1"/>
    <col min="580" max="580" width="9" bestFit="1" customWidth="1"/>
    <col min="581" max="583" width="10" bestFit="1" customWidth="1"/>
    <col min="584" max="588" width="9" bestFit="1" customWidth="1"/>
    <col min="589" max="598" width="10" bestFit="1" customWidth="1"/>
    <col min="599" max="602" width="9" bestFit="1" customWidth="1"/>
    <col min="603" max="604" width="10" bestFit="1" customWidth="1"/>
    <col min="605" max="608" width="9" bestFit="1" customWidth="1"/>
    <col min="609" max="610" width="10" bestFit="1" customWidth="1"/>
    <col min="611" max="611" width="8" bestFit="1" customWidth="1"/>
    <col min="612" max="617" width="10" bestFit="1" customWidth="1"/>
    <col min="618" max="619" width="9" bestFit="1" customWidth="1"/>
    <col min="620" max="621" width="10" bestFit="1" customWidth="1"/>
    <col min="622" max="623" width="9" bestFit="1" customWidth="1"/>
    <col min="624" max="626" width="10" bestFit="1" customWidth="1"/>
    <col min="627" max="627" width="9" bestFit="1" customWidth="1"/>
    <col min="628" max="630" width="10" bestFit="1" customWidth="1"/>
    <col min="631" max="631" width="9" bestFit="1" customWidth="1"/>
    <col min="632" max="632" width="10" bestFit="1" customWidth="1"/>
    <col min="633" max="634" width="9" bestFit="1" customWidth="1"/>
    <col min="635" max="638" width="10" bestFit="1" customWidth="1"/>
    <col min="639" max="640" width="9" bestFit="1" customWidth="1"/>
    <col min="641" max="641" width="10" bestFit="1" customWidth="1"/>
    <col min="642" max="642" width="9" bestFit="1" customWidth="1"/>
    <col min="643" max="644" width="10" bestFit="1" customWidth="1"/>
    <col min="645" max="645" width="9" bestFit="1" customWidth="1"/>
    <col min="646" max="646" width="10" bestFit="1" customWidth="1"/>
    <col min="647" max="649" width="9" bestFit="1" customWidth="1"/>
    <col min="650" max="653" width="10" bestFit="1" customWidth="1"/>
    <col min="654" max="654" width="9" bestFit="1" customWidth="1"/>
    <col min="655" max="658" width="10" bestFit="1" customWidth="1"/>
    <col min="659" max="659" width="9" bestFit="1" customWidth="1"/>
    <col min="660" max="661" width="10" bestFit="1" customWidth="1"/>
    <col min="662" max="662" width="9" bestFit="1" customWidth="1"/>
    <col min="663" max="663" width="10" bestFit="1" customWidth="1"/>
    <col min="664" max="664" width="9" bestFit="1" customWidth="1"/>
    <col min="665" max="668" width="10" bestFit="1" customWidth="1"/>
    <col min="669" max="670" width="9" bestFit="1" customWidth="1"/>
    <col min="671" max="673" width="10" bestFit="1" customWidth="1"/>
    <col min="674" max="677" width="9" bestFit="1" customWidth="1"/>
    <col min="678" max="680" width="10" bestFit="1" customWidth="1"/>
    <col min="681" max="681" width="9" bestFit="1" customWidth="1"/>
    <col min="682" max="684" width="10" bestFit="1" customWidth="1"/>
    <col min="685" max="685" width="9" bestFit="1" customWidth="1"/>
    <col min="686" max="686" width="10" bestFit="1" customWidth="1"/>
    <col min="687" max="688" width="9" bestFit="1" customWidth="1"/>
    <col min="689" max="689" width="7" bestFit="1" customWidth="1"/>
    <col min="690" max="690" width="10" bestFit="1" customWidth="1"/>
    <col min="691" max="691" width="9" bestFit="1" customWidth="1"/>
    <col min="692" max="692" width="10" bestFit="1" customWidth="1"/>
    <col min="693" max="693" width="9" bestFit="1" customWidth="1"/>
    <col min="694" max="694" width="10" bestFit="1" customWidth="1"/>
    <col min="695" max="695" width="9" bestFit="1" customWidth="1"/>
    <col min="696" max="699" width="10" bestFit="1" customWidth="1"/>
    <col min="700" max="700" width="9" bestFit="1" customWidth="1"/>
    <col min="701" max="702" width="10" bestFit="1" customWidth="1"/>
    <col min="703" max="704" width="9" bestFit="1" customWidth="1"/>
    <col min="705" max="705" width="10" bestFit="1" customWidth="1"/>
    <col min="706" max="706" width="8" bestFit="1" customWidth="1"/>
    <col min="707" max="707" width="10" bestFit="1" customWidth="1"/>
    <col min="708" max="708" width="9" bestFit="1" customWidth="1"/>
    <col min="709" max="709" width="10" bestFit="1" customWidth="1"/>
    <col min="710" max="713" width="9" bestFit="1" customWidth="1"/>
    <col min="714" max="714" width="10" bestFit="1" customWidth="1"/>
    <col min="715" max="715" width="9" bestFit="1" customWidth="1"/>
    <col min="716" max="717" width="10" bestFit="1" customWidth="1"/>
    <col min="718" max="719" width="9" bestFit="1" customWidth="1"/>
    <col min="720" max="722" width="10" bestFit="1" customWidth="1"/>
    <col min="723" max="724" width="9" bestFit="1" customWidth="1"/>
    <col min="725" max="725" width="10" bestFit="1" customWidth="1"/>
    <col min="726" max="729" width="9" bestFit="1" customWidth="1"/>
    <col min="730" max="730" width="10" bestFit="1" customWidth="1"/>
    <col min="731" max="732" width="9" bestFit="1" customWidth="1"/>
    <col min="733" max="734" width="10" bestFit="1" customWidth="1"/>
    <col min="735" max="736" width="9" bestFit="1" customWidth="1"/>
    <col min="737" max="737" width="10" bestFit="1" customWidth="1"/>
    <col min="738" max="740" width="9" bestFit="1" customWidth="1"/>
    <col min="741" max="742" width="10" bestFit="1" customWidth="1"/>
    <col min="743" max="744" width="9" bestFit="1" customWidth="1"/>
    <col min="745" max="746" width="10" bestFit="1" customWidth="1"/>
    <col min="747" max="747" width="9" bestFit="1" customWidth="1"/>
    <col min="748" max="748" width="10" bestFit="1" customWidth="1"/>
    <col min="749" max="751" width="9" bestFit="1" customWidth="1"/>
    <col min="752" max="752" width="10" bestFit="1" customWidth="1"/>
    <col min="753" max="753" width="8" bestFit="1" customWidth="1"/>
    <col min="754" max="754" width="10" bestFit="1" customWidth="1"/>
    <col min="755" max="756" width="9" bestFit="1" customWidth="1"/>
    <col min="757" max="759" width="10" bestFit="1" customWidth="1"/>
    <col min="760" max="760" width="9" bestFit="1" customWidth="1"/>
    <col min="761" max="765" width="10" bestFit="1" customWidth="1"/>
    <col min="766" max="767" width="9" bestFit="1" customWidth="1"/>
    <col min="768" max="769" width="10" bestFit="1" customWidth="1"/>
    <col min="770" max="771" width="9" bestFit="1" customWidth="1"/>
    <col min="772" max="775" width="10" bestFit="1" customWidth="1"/>
    <col min="776" max="776" width="8" bestFit="1" customWidth="1"/>
    <col min="777" max="778" width="10" bestFit="1" customWidth="1"/>
    <col min="779" max="779" width="9" bestFit="1" customWidth="1"/>
    <col min="780" max="782" width="10" bestFit="1" customWidth="1"/>
    <col min="783" max="783" width="9" bestFit="1" customWidth="1"/>
    <col min="784" max="785" width="10" bestFit="1" customWidth="1"/>
    <col min="786" max="786" width="8" bestFit="1" customWidth="1"/>
    <col min="787" max="787" width="10" bestFit="1" customWidth="1"/>
    <col min="788" max="788" width="9" bestFit="1" customWidth="1"/>
    <col min="789" max="789" width="10" bestFit="1" customWidth="1"/>
    <col min="790" max="793" width="9" bestFit="1" customWidth="1"/>
    <col min="794" max="794" width="10" bestFit="1" customWidth="1"/>
    <col min="795" max="795" width="9" bestFit="1" customWidth="1"/>
    <col min="796" max="800" width="10" bestFit="1" customWidth="1"/>
    <col min="801" max="802" width="9" bestFit="1" customWidth="1"/>
    <col min="803" max="805" width="10" bestFit="1" customWidth="1"/>
    <col min="806" max="806" width="9" bestFit="1" customWidth="1"/>
    <col min="807" max="813" width="10" bestFit="1" customWidth="1"/>
    <col min="814" max="815" width="9" bestFit="1" customWidth="1"/>
    <col min="816" max="816" width="10" bestFit="1" customWidth="1"/>
    <col min="817" max="817" width="9" bestFit="1" customWidth="1"/>
    <col min="818" max="818" width="10" bestFit="1" customWidth="1"/>
    <col min="819" max="820" width="9" bestFit="1" customWidth="1"/>
    <col min="821" max="821" width="10" bestFit="1" customWidth="1"/>
    <col min="822" max="822" width="9" bestFit="1" customWidth="1"/>
    <col min="823" max="830" width="10" bestFit="1" customWidth="1"/>
    <col min="831" max="832" width="9" bestFit="1" customWidth="1"/>
    <col min="833" max="834" width="10" bestFit="1" customWidth="1"/>
    <col min="835" max="835" width="9" bestFit="1" customWidth="1"/>
    <col min="836" max="837" width="10" bestFit="1" customWidth="1"/>
    <col min="838" max="838" width="9" bestFit="1" customWidth="1"/>
    <col min="839" max="839" width="10" bestFit="1" customWidth="1"/>
    <col min="840" max="843" width="9" bestFit="1" customWidth="1"/>
    <col min="844" max="848" width="10" bestFit="1" customWidth="1"/>
    <col min="849" max="851" width="9" bestFit="1" customWidth="1"/>
    <col min="852" max="852" width="10" bestFit="1" customWidth="1"/>
    <col min="853" max="853" width="9" bestFit="1" customWidth="1"/>
    <col min="854" max="858" width="10" bestFit="1" customWidth="1"/>
    <col min="859" max="859" width="9" bestFit="1" customWidth="1"/>
    <col min="860" max="860" width="10" bestFit="1" customWidth="1"/>
    <col min="861" max="861" width="9" bestFit="1" customWidth="1"/>
    <col min="862" max="867" width="10" bestFit="1" customWidth="1"/>
    <col min="868" max="868" width="9" bestFit="1" customWidth="1"/>
    <col min="869" max="869" width="10" bestFit="1" customWidth="1"/>
    <col min="870" max="871" width="9" bestFit="1" customWidth="1"/>
    <col min="872" max="878" width="10" bestFit="1" customWidth="1"/>
    <col min="879" max="882" width="9" bestFit="1" customWidth="1"/>
    <col min="883" max="883" width="10" bestFit="1" customWidth="1"/>
    <col min="884" max="885" width="9" bestFit="1" customWidth="1"/>
    <col min="886" max="886" width="10" bestFit="1" customWidth="1"/>
    <col min="887" max="887" width="9" bestFit="1" customWidth="1"/>
    <col min="888" max="889" width="10" bestFit="1" customWidth="1"/>
    <col min="890" max="890" width="9" bestFit="1" customWidth="1"/>
    <col min="891" max="893" width="10" bestFit="1" customWidth="1"/>
    <col min="894" max="895" width="9" bestFit="1" customWidth="1"/>
    <col min="896" max="901" width="10" bestFit="1" customWidth="1"/>
    <col min="902" max="902" width="9" bestFit="1" customWidth="1"/>
    <col min="903" max="903" width="10" bestFit="1" customWidth="1"/>
    <col min="904" max="905" width="9" bestFit="1" customWidth="1"/>
    <col min="906" max="906" width="10" bestFit="1" customWidth="1"/>
    <col min="907" max="907" width="9" bestFit="1" customWidth="1"/>
    <col min="908" max="908" width="10" bestFit="1" customWidth="1"/>
    <col min="909" max="909" width="9" bestFit="1" customWidth="1"/>
    <col min="910" max="911" width="10" bestFit="1" customWidth="1"/>
    <col min="912" max="912" width="9" bestFit="1" customWidth="1"/>
    <col min="913" max="913" width="10" bestFit="1" customWidth="1"/>
    <col min="914" max="914" width="9" bestFit="1" customWidth="1"/>
    <col min="915" max="915" width="10" bestFit="1" customWidth="1"/>
    <col min="916" max="916" width="9" bestFit="1" customWidth="1"/>
    <col min="917" max="917" width="10" bestFit="1" customWidth="1"/>
    <col min="918" max="918" width="9" bestFit="1" customWidth="1"/>
    <col min="919" max="920" width="10" bestFit="1" customWidth="1"/>
    <col min="921" max="921" width="9" bestFit="1" customWidth="1"/>
    <col min="922" max="922" width="10" bestFit="1" customWidth="1"/>
    <col min="923" max="923" width="9" bestFit="1" customWidth="1"/>
    <col min="924" max="927" width="10" bestFit="1" customWidth="1"/>
    <col min="928" max="928" width="9" bestFit="1" customWidth="1"/>
    <col min="929" max="929" width="10" bestFit="1" customWidth="1"/>
    <col min="930" max="930" width="9" bestFit="1" customWidth="1"/>
    <col min="931" max="931" width="10" bestFit="1" customWidth="1"/>
    <col min="932" max="932" width="9" bestFit="1" customWidth="1"/>
    <col min="933" max="933" width="10" bestFit="1" customWidth="1"/>
    <col min="934" max="934" width="9" bestFit="1" customWidth="1"/>
    <col min="935" max="936" width="10" bestFit="1" customWidth="1"/>
    <col min="937" max="938" width="9" bestFit="1" customWidth="1"/>
    <col min="939" max="939" width="8" bestFit="1" customWidth="1"/>
    <col min="940" max="941" width="9" bestFit="1" customWidth="1"/>
    <col min="942" max="942" width="10" bestFit="1" customWidth="1"/>
    <col min="943" max="943" width="9" bestFit="1" customWidth="1"/>
    <col min="944" max="944" width="10" bestFit="1" customWidth="1"/>
    <col min="945" max="948" width="9" bestFit="1" customWidth="1"/>
    <col min="949" max="949" width="10" bestFit="1" customWidth="1"/>
    <col min="950" max="950" width="9" bestFit="1" customWidth="1"/>
    <col min="951" max="954" width="10" bestFit="1" customWidth="1"/>
    <col min="955" max="956" width="9" bestFit="1" customWidth="1"/>
    <col min="957" max="958" width="10" bestFit="1" customWidth="1"/>
    <col min="959" max="963" width="9" bestFit="1" customWidth="1"/>
    <col min="964" max="964" width="10" bestFit="1" customWidth="1"/>
    <col min="965" max="965" width="9" bestFit="1" customWidth="1"/>
    <col min="966" max="968" width="10" bestFit="1" customWidth="1"/>
    <col min="969" max="970" width="9" bestFit="1" customWidth="1"/>
    <col min="971" max="972" width="10" bestFit="1" customWidth="1"/>
    <col min="973" max="973" width="9" bestFit="1" customWidth="1"/>
    <col min="974" max="975" width="10" bestFit="1" customWidth="1"/>
    <col min="976" max="976" width="9" bestFit="1" customWidth="1"/>
    <col min="977" max="977" width="10" bestFit="1" customWidth="1"/>
    <col min="978" max="978" width="9" bestFit="1" customWidth="1"/>
    <col min="979" max="982" width="10" bestFit="1" customWidth="1"/>
    <col min="983" max="983" width="9" bestFit="1" customWidth="1"/>
    <col min="984" max="985" width="10" bestFit="1" customWidth="1"/>
    <col min="986" max="986" width="9" bestFit="1" customWidth="1"/>
    <col min="987" max="987" width="10" bestFit="1" customWidth="1"/>
    <col min="988" max="988" width="9" bestFit="1" customWidth="1"/>
    <col min="989" max="989" width="10" bestFit="1" customWidth="1"/>
    <col min="990" max="990" width="9" bestFit="1" customWidth="1"/>
    <col min="991" max="991" width="10" bestFit="1" customWidth="1"/>
    <col min="992" max="993" width="9" bestFit="1" customWidth="1"/>
    <col min="994" max="994" width="10" bestFit="1" customWidth="1"/>
    <col min="995" max="996" width="9" bestFit="1" customWidth="1"/>
    <col min="997" max="997" width="8" bestFit="1" customWidth="1"/>
    <col min="998" max="999" width="10" bestFit="1" customWidth="1"/>
    <col min="1000" max="1000" width="9" bestFit="1" customWidth="1"/>
    <col min="1001" max="1001" width="10" bestFit="1" customWidth="1"/>
    <col min="1002" max="1002" width="9" bestFit="1" customWidth="1"/>
    <col min="1003" max="1003" width="12" bestFit="1" customWidth="1"/>
  </cols>
  <sheetData>
    <row r="4" spans="2:4" x14ac:dyDescent="0.3">
      <c r="B4" s="9" t="s">
        <v>2056</v>
      </c>
      <c r="C4" t="s">
        <v>2059</v>
      </c>
      <c r="D4" t="s">
        <v>2058</v>
      </c>
    </row>
    <row r="5" spans="2:4" x14ac:dyDescent="0.3">
      <c r="B5" s="10" t="s">
        <v>16</v>
      </c>
      <c r="C5">
        <v>39011023.209999971</v>
      </c>
      <c r="D5">
        <v>326</v>
      </c>
    </row>
    <row r="6" spans="2:4" x14ac:dyDescent="0.3">
      <c r="B6" s="11" t="s">
        <v>26</v>
      </c>
      <c r="C6">
        <v>8189984.9799999986</v>
      </c>
      <c r="D6">
        <v>71</v>
      </c>
    </row>
    <row r="7" spans="2:4" x14ac:dyDescent="0.3">
      <c r="B7" s="12" t="s">
        <v>32</v>
      </c>
      <c r="C7">
        <v>1889364.54</v>
      </c>
      <c r="D7">
        <v>17</v>
      </c>
    </row>
    <row r="8" spans="2:4" x14ac:dyDescent="0.3">
      <c r="B8" s="12" t="s">
        <v>53</v>
      </c>
      <c r="C8">
        <v>1446641.63</v>
      </c>
      <c r="D8">
        <v>13</v>
      </c>
    </row>
    <row r="9" spans="2:4" x14ac:dyDescent="0.3">
      <c r="B9" s="12" t="s">
        <v>45</v>
      </c>
      <c r="C9">
        <v>882198.68000000017</v>
      </c>
      <c r="D9">
        <v>9</v>
      </c>
    </row>
    <row r="10" spans="2:4" x14ac:dyDescent="0.3">
      <c r="B10" s="12" t="s">
        <v>39</v>
      </c>
      <c r="C10">
        <v>2389692.9299999997</v>
      </c>
      <c r="D10">
        <v>19</v>
      </c>
    </row>
    <row r="11" spans="2:4" x14ac:dyDescent="0.3">
      <c r="B11" s="12" t="s">
        <v>23</v>
      </c>
      <c r="C11">
        <v>1582087.2000000002</v>
      </c>
      <c r="D11">
        <v>13</v>
      </c>
    </row>
    <row r="12" spans="2:4" x14ac:dyDescent="0.3">
      <c r="B12" s="11" t="s">
        <v>17</v>
      </c>
      <c r="C12">
        <v>7855928.4000000013</v>
      </c>
      <c r="D12">
        <v>64</v>
      </c>
    </row>
    <row r="13" spans="2:4" x14ac:dyDescent="0.3">
      <c r="B13" s="12" t="s">
        <v>32</v>
      </c>
      <c r="C13">
        <v>1786706.71</v>
      </c>
      <c r="D13">
        <v>13</v>
      </c>
    </row>
    <row r="14" spans="2:4" x14ac:dyDescent="0.3">
      <c r="B14" s="12" t="s">
        <v>53</v>
      </c>
      <c r="C14">
        <v>1591067.6300000004</v>
      </c>
      <c r="D14">
        <v>12</v>
      </c>
    </row>
    <row r="15" spans="2:4" x14ac:dyDescent="0.3">
      <c r="B15" s="12" t="s">
        <v>45</v>
      </c>
      <c r="C15">
        <v>941838.22</v>
      </c>
      <c r="D15">
        <v>9</v>
      </c>
    </row>
    <row r="16" spans="2:4" x14ac:dyDescent="0.3">
      <c r="B16" s="12" t="s">
        <v>39</v>
      </c>
      <c r="C16">
        <v>1869406.9100000001</v>
      </c>
      <c r="D16">
        <v>16</v>
      </c>
    </row>
    <row r="17" spans="2:4" x14ac:dyDescent="0.3">
      <c r="B17" s="12" t="s">
        <v>23</v>
      </c>
      <c r="C17">
        <v>1666908.9300000004</v>
      </c>
      <c r="D17">
        <v>14</v>
      </c>
    </row>
    <row r="18" spans="2:4" x14ac:dyDescent="0.3">
      <c r="B18" s="11" t="s">
        <v>69</v>
      </c>
      <c r="C18">
        <v>7517609.8400000026</v>
      </c>
      <c r="D18">
        <v>63</v>
      </c>
    </row>
    <row r="19" spans="2:4" x14ac:dyDescent="0.3">
      <c r="B19" s="12" t="s">
        <v>32</v>
      </c>
      <c r="C19">
        <v>2111972.89</v>
      </c>
      <c r="D19">
        <v>16</v>
      </c>
    </row>
    <row r="20" spans="2:4" x14ac:dyDescent="0.3">
      <c r="B20" s="12" t="s">
        <v>53</v>
      </c>
      <c r="C20">
        <v>1368162.74</v>
      </c>
      <c r="D20">
        <v>12</v>
      </c>
    </row>
    <row r="21" spans="2:4" x14ac:dyDescent="0.3">
      <c r="B21" s="12" t="s">
        <v>45</v>
      </c>
      <c r="C21">
        <v>1447473.5899999999</v>
      </c>
      <c r="D21">
        <v>12</v>
      </c>
    </row>
    <row r="22" spans="2:4" x14ac:dyDescent="0.3">
      <c r="B22" s="12" t="s">
        <v>39</v>
      </c>
      <c r="C22">
        <v>1239919.6700000002</v>
      </c>
      <c r="D22">
        <v>10</v>
      </c>
    </row>
    <row r="23" spans="2:4" x14ac:dyDescent="0.3">
      <c r="B23" s="12" t="s">
        <v>23</v>
      </c>
      <c r="C23">
        <v>1350080.95</v>
      </c>
      <c r="D23">
        <v>13</v>
      </c>
    </row>
    <row r="24" spans="2:4" x14ac:dyDescent="0.3">
      <c r="B24" s="11" t="s">
        <v>55</v>
      </c>
      <c r="C24">
        <v>8650709.2999999989</v>
      </c>
      <c r="D24">
        <v>71</v>
      </c>
    </row>
    <row r="25" spans="2:4" x14ac:dyDescent="0.3">
      <c r="B25" s="12" t="s">
        <v>60</v>
      </c>
      <c r="C25">
        <v>128330.48</v>
      </c>
      <c r="D25">
        <v>1</v>
      </c>
    </row>
    <row r="26" spans="2:4" x14ac:dyDescent="0.3">
      <c r="B26" s="12" t="s">
        <v>32</v>
      </c>
      <c r="C26">
        <v>954896.91999999993</v>
      </c>
      <c r="D26">
        <v>8</v>
      </c>
    </row>
    <row r="27" spans="2:4" x14ac:dyDescent="0.3">
      <c r="B27" s="12" t="s">
        <v>53</v>
      </c>
      <c r="C27">
        <v>1877799.63</v>
      </c>
      <c r="D27">
        <v>15</v>
      </c>
    </row>
    <row r="28" spans="2:4" x14ac:dyDescent="0.3">
      <c r="B28" s="12" t="s">
        <v>45</v>
      </c>
      <c r="C28">
        <v>2339014.67</v>
      </c>
      <c r="D28">
        <v>18</v>
      </c>
    </row>
    <row r="29" spans="2:4" x14ac:dyDescent="0.3">
      <c r="B29" s="12" t="s">
        <v>39</v>
      </c>
      <c r="C29">
        <v>1704275.23</v>
      </c>
      <c r="D29">
        <v>15</v>
      </c>
    </row>
    <row r="30" spans="2:4" x14ac:dyDescent="0.3">
      <c r="B30" s="12" t="s">
        <v>23</v>
      </c>
      <c r="C30">
        <v>1646392.3700000003</v>
      </c>
      <c r="D30">
        <v>14</v>
      </c>
    </row>
    <row r="31" spans="2:4" x14ac:dyDescent="0.3">
      <c r="B31" s="11" t="s">
        <v>47</v>
      </c>
      <c r="C31">
        <v>6796790.6899999995</v>
      </c>
      <c r="D31">
        <v>57</v>
      </c>
    </row>
    <row r="32" spans="2:4" x14ac:dyDescent="0.3">
      <c r="B32" s="12" t="s">
        <v>60</v>
      </c>
      <c r="C32">
        <v>114500.4</v>
      </c>
      <c r="D32">
        <v>1</v>
      </c>
    </row>
    <row r="33" spans="2:4" x14ac:dyDescent="0.3">
      <c r="B33" s="12" t="s">
        <v>32</v>
      </c>
      <c r="C33">
        <v>1552895.9300000002</v>
      </c>
      <c r="D33">
        <v>15</v>
      </c>
    </row>
    <row r="34" spans="2:4" x14ac:dyDescent="0.3">
      <c r="B34" s="12" t="s">
        <v>53</v>
      </c>
      <c r="C34">
        <v>1443653.29</v>
      </c>
      <c r="D34">
        <v>12</v>
      </c>
    </row>
    <row r="35" spans="2:4" x14ac:dyDescent="0.3">
      <c r="B35" s="12" t="s">
        <v>45</v>
      </c>
      <c r="C35">
        <v>1365724.0599999998</v>
      </c>
      <c r="D35">
        <v>11</v>
      </c>
    </row>
    <row r="36" spans="2:4" x14ac:dyDescent="0.3">
      <c r="B36" s="12" t="s">
        <v>39</v>
      </c>
      <c r="C36">
        <v>1426726.27</v>
      </c>
      <c r="D36">
        <v>11</v>
      </c>
    </row>
    <row r="37" spans="2:4" x14ac:dyDescent="0.3">
      <c r="B37" s="12" t="s">
        <v>23</v>
      </c>
      <c r="C37">
        <v>893290.74</v>
      </c>
      <c r="D37">
        <v>7</v>
      </c>
    </row>
    <row r="38" spans="2:4" x14ac:dyDescent="0.3">
      <c r="B38" s="10" t="s">
        <v>62</v>
      </c>
      <c r="C38">
        <v>40045399.62999998</v>
      </c>
      <c r="D38">
        <v>322</v>
      </c>
    </row>
    <row r="39" spans="2:4" x14ac:dyDescent="0.3">
      <c r="B39" s="11" t="s">
        <v>26</v>
      </c>
      <c r="C39">
        <v>8179870.9599999981</v>
      </c>
      <c r="D39">
        <v>67</v>
      </c>
    </row>
    <row r="40" spans="2:4" x14ac:dyDescent="0.3">
      <c r="B40" s="12" t="s">
        <v>60</v>
      </c>
      <c r="C40">
        <v>81651.429999999993</v>
      </c>
      <c r="D40">
        <v>1</v>
      </c>
    </row>
    <row r="41" spans="2:4" x14ac:dyDescent="0.3">
      <c r="B41" s="12" t="s">
        <v>32</v>
      </c>
      <c r="C41">
        <v>1212765.0900000001</v>
      </c>
      <c r="D41">
        <v>11</v>
      </c>
    </row>
    <row r="42" spans="2:4" x14ac:dyDescent="0.3">
      <c r="B42" s="12" t="s">
        <v>53</v>
      </c>
      <c r="C42">
        <v>2020032</v>
      </c>
      <c r="D42">
        <v>14</v>
      </c>
    </row>
    <row r="43" spans="2:4" x14ac:dyDescent="0.3">
      <c r="B43" s="12" t="s">
        <v>45</v>
      </c>
      <c r="C43">
        <v>1549163.16</v>
      </c>
      <c r="D43">
        <v>14</v>
      </c>
    </row>
    <row r="44" spans="2:4" x14ac:dyDescent="0.3">
      <c r="B44" s="12" t="s">
        <v>39</v>
      </c>
      <c r="C44">
        <v>1858674.4099999997</v>
      </c>
      <c r="D44">
        <v>15</v>
      </c>
    </row>
    <row r="45" spans="2:4" x14ac:dyDescent="0.3">
      <c r="B45" s="12" t="s">
        <v>23</v>
      </c>
      <c r="C45">
        <v>1457584.87</v>
      </c>
      <c r="D45">
        <v>12</v>
      </c>
    </row>
    <row r="46" spans="2:4" x14ac:dyDescent="0.3">
      <c r="B46" s="11" t="s">
        <v>17</v>
      </c>
      <c r="C46">
        <v>7242847.1800000006</v>
      </c>
      <c r="D46">
        <v>57</v>
      </c>
    </row>
    <row r="47" spans="2:4" x14ac:dyDescent="0.3">
      <c r="B47" s="12" t="s">
        <v>32</v>
      </c>
      <c r="C47">
        <v>1483001.5899999999</v>
      </c>
      <c r="D47">
        <v>11</v>
      </c>
    </row>
    <row r="48" spans="2:4" x14ac:dyDescent="0.3">
      <c r="B48" s="12" t="s">
        <v>53</v>
      </c>
      <c r="C48">
        <v>1770084.9700000002</v>
      </c>
      <c r="D48">
        <v>13</v>
      </c>
    </row>
    <row r="49" spans="2:4" x14ac:dyDescent="0.3">
      <c r="B49" s="12" t="s">
        <v>45</v>
      </c>
      <c r="C49">
        <v>1239564.71</v>
      </c>
      <c r="D49">
        <v>11</v>
      </c>
    </row>
    <row r="50" spans="2:4" x14ac:dyDescent="0.3">
      <c r="B50" s="12" t="s">
        <v>39</v>
      </c>
      <c r="C50">
        <v>1209676.1300000001</v>
      </c>
      <c r="D50">
        <v>10</v>
      </c>
    </row>
    <row r="51" spans="2:4" x14ac:dyDescent="0.3">
      <c r="B51" s="12" t="s">
        <v>23</v>
      </c>
      <c r="C51">
        <v>1540519.78</v>
      </c>
      <c r="D51">
        <v>12</v>
      </c>
    </row>
    <row r="52" spans="2:4" x14ac:dyDescent="0.3">
      <c r="B52" s="11" t="s">
        <v>69</v>
      </c>
      <c r="C52">
        <v>7822003.459999999</v>
      </c>
      <c r="D52">
        <v>64</v>
      </c>
    </row>
    <row r="53" spans="2:4" x14ac:dyDescent="0.3">
      <c r="B53" s="12" t="s">
        <v>32</v>
      </c>
      <c r="C53">
        <v>1461330.08</v>
      </c>
      <c r="D53">
        <v>13</v>
      </c>
    </row>
    <row r="54" spans="2:4" x14ac:dyDescent="0.3">
      <c r="B54" s="12" t="s">
        <v>53</v>
      </c>
      <c r="C54">
        <v>1467048.93</v>
      </c>
      <c r="D54">
        <v>12</v>
      </c>
    </row>
    <row r="55" spans="2:4" x14ac:dyDescent="0.3">
      <c r="B55" s="12" t="s">
        <v>45</v>
      </c>
      <c r="C55">
        <v>1410364.6999999997</v>
      </c>
      <c r="D55">
        <v>13</v>
      </c>
    </row>
    <row r="56" spans="2:4" x14ac:dyDescent="0.3">
      <c r="B56" s="12" t="s">
        <v>39</v>
      </c>
      <c r="C56">
        <v>1669235.74</v>
      </c>
      <c r="D56">
        <v>13</v>
      </c>
    </row>
    <row r="57" spans="2:4" x14ac:dyDescent="0.3">
      <c r="B57" s="12" t="s">
        <v>23</v>
      </c>
      <c r="C57">
        <v>1814024.01</v>
      </c>
      <c r="D57">
        <v>13</v>
      </c>
    </row>
    <row r="58" spans="2:4" x14ac:dyDescent="0.3">
      <c r="B58" s="11" t="s">
        <v>55</v>
      </c>
      <c r="C58">
        <v>7747369.4299999978</v>
      </c>
      <c r="D58">
        <v>60</v>
      </c>
    </row>
    <row r="59" spans="2:4" x14ac:dyDescent="0.3">
      <c r="B59" s="12" t="s">
        <v>32</v>
      </c>
      <c r="C59">
        <v>1182158.99</v>
      </c>
      <c r="D59">
        <v>10</v>
      </c>
    </row>
    <row r="60" spans="2:4" x14ac:dyDescent="0.3">
      <c r="B60" s="12" t="s">
        <v>53</v>
      </c>
      <c r="C60">
        <v>977182.52</v>
      </c>
      <c r="D60">
        <v>9</v>
      </c>
    </row>
    <row r="61" spans="2:4" x14ac:dyDescent="0.3">
      <c r="B61" s="12" t="s">
        <v>45</v>
      </c>
      <c r="C61">
        <v>1532820.2700000003</v>
      </c>
      <c r="D61">
        <v>11</v>
      </c>
    </row>
    <row r="62" spans="2:4" x14ac:dyDescent="0.3">
      <c r="B62" s="12" t="s">
        <v>39</v>
      </c>
      <c r="C62">
        <v>1764374.4</v>
      </c>
      <c r="D62">
        <v>12</v>
      </c>
    </row>
    <row r="63" spans="2:4" x14ac:dyDescent="0.3">
      <c r="B63" s="12" t="s">
        <v>23</v>
      </c>
      <c r="C63">
        <v>2290833.25</v>
      </c>
      <c r="D63">
        <v>18</v>
      </c>
    </row>
    <row r="64" spans="2:4" x14ac:dyDescent="0.3">
      <c r="B64" s="11" t="s">
        <v>47</v>
      </c>
      <c r="C64">
        <v>9053308.6000000034</v>
      </c>
      <c r="D64">
        <v>74</v>
      </c>
    </row>
    <row r="65" spans="2:4" x14ac:dyDescent="0.3">
      <c r="B65" s="12" t="s">
        <v>32</v>
      </c>
      <c r="C65">
        <v>1299260.97</v>
      </c>
      <c r="D65">
        <v>12</v>
      </c>
    </row>
    <row r="66" spans="2:4" x14ac:dyDescent="0.3">
      <c r="B66" s="12" t="s">
        <v>53</v>
      </c>
      <c r="C66">
        <v>2890226.2800000003</v>
      </c>
      <c r="D66">
        <v>21</v>
      </c>
    </row>
    <row r="67" spans="2:4" x14ac:dyDescent="0.3">
      <c r="B67" s="12" t="s">
        <v>45</v>
      </c>
      <c r="C67">
        <v>1748919.67</v>
      </c>
      <c r="D67">
        <v>17</v>
      </c>
    </row>
    <row r="68" spans="2:4" x14ac:dyDescent="0.3">
      <c r="B68" s="12" t="s">
        <v>39</v>
      </c>
      <c r="C68">
        <v>1164254.6599999999</v>
      </c>
      <c r="D68">
        <v>10</v>
      </c>
    </row>
    <row r="69" spans="2:4" x14ac:dyDescent="0.3">
      <c r="B69" s="12" t="s">
        <v>23</v>
      </c>
      <c r="C69">
        <v>1950647.02</v>
      </c>
      <c r="D69">
        <v>14</v>
      </c>
    </row>
    <row r="70" spans="2:4" x14ac:dyDescent="0.3">
      <c r="B70" s="10" t="s">
        <v>25</v>
      </c>
      <c r="C70">
        <v>43798415.440000013</v>
      </c>
      <c r="D70">
        <v>352</v>
      </c>
    </row>
    <row r="71" spans="2:4" x14ac:dyDescent="0.3">
      <c r="B71" s="11" t="s">
        <v>26</v>
      </c>
      <c r="C71">
        <v>9636741.7799999975</v>
      </c>
      <c r="D71">
        <v>77</v>
      </c>
    </row>
    <row r="72" spans="2:4" x14ac:dyDescent="0.3">
      <c r="B72" s="12" t="s">
        <v>60</v>
      </c>
      <c r="C72">
        <v>85790</v>
      </c>
      <c r="D72">
        <v>1</v>
      </c>
    </row>
    <row r="73" spans="2:4" x14ac:dyDescent="0.3">
      <c r="B73" s="12" t="s">
        <v>32</v>
      </c>
      <c r="C73">
        <v>1665795.0300000003</v>
      </c>
      <c r="D73">
        <v>12</v>
      </c>
    </row>
    <row r="74" spans="2:4" x14ac:dyDescent="0.3">
      <c r="B74" s="12" t="s">
        <v>53</v>
      </c>
      <c r="C74">
        <v>1341817.1100000001</v>
      </c>
      <c r="D74">
        <v>10</v>
      </c>
    </row>
    <row r="75" spans="2:4" x14ac:dyDescent="0.3">
      <c r="B75" s="12" t="s">
        <v>45</v>
      </c>
      <c r="C75">
        <v>2408892.29</v>
      </c>
      <c r="D75">
        <v>19</v>
      </c>
    </row>
    <row r="76" spans="2:4" x14ac:dyDescent="0.3">
      <c r="B76" s="12" t="s">
        <v>39</v>
      </c>
      <c r="C76">
        <v>2291373.3099999996</v>
      </c>
      <c r="D76">
        <v>19</v>
      </c>
    </row>
    <row r="77" spans="2:4" x14ac:dyDescent="0.3">
      <c r="B77" s="12" t="s">
        <v>23</v>
      </c>
      <c r="C77">
        <v>1843074.04</v>
      </c>
      <c r="D77">
        <v>16</v>
      </c>
    </row>
    <row r="78" spans="2:4" x14ac:dyDescent="0.3">
      <c r="B78" s="11" t="s">
        <v>17</v>
      </c>
      <c r="C78">
        <v>8518471.8500000015</v>
      </c>
      <c r="D78">
        <v>69</v>
      </c>
    </row>
    <row r="79" spans="2:4" x14ac:dyDescent="0.3">
      <c r="B79" s="12" t="s">
        <v>60</v>
      </c>
      <c r="C79">
        <v>155436.01999999999</v>
      </c>
      <c r="D79">
        <v>1</v>
      </c>
    </row>
    <row r="80" spans="2:4" x14ac:dyDescent="0.3">
      <c r="B80" s="12" t="s">
        <v>32</v>
      </c>
      <c r="C80">
        <v>2063890.5900000003</v>
      </c>
      <c r="D80">
        <v>15</v>
      </c>
    </row>
    <row r="81" spans="2:4" x14ac:dyDescent="0.3">
      <c r="B81" s="12" t="s">
        <v>53</v>
      </c>
      <c r="C81">
        <v>1353759.4600000002</v>
      </c>
      <c r="D81">
        <v>14</v>
      </c>
    </row>
    <row r="82" spans="2:4" x14ac:dyDescent="0.3">
      <c r="B82" s="12" t="s">
        <v>45</v>
      </c>
      <c r="C82">
        <v>1600622.7200000002</v>
      </c>
      <c r="D82">
        <v>12</v>
      </c>
    </row>
    <row r="83" spans="2:4" x14ac:dyDescent="0.3">
      <c r="B83" s="12" t="s">
        <v>39</v>
      </c>
      <c r="C83">
        <v>1316724.8800000001</v>
      </c>
      <c r="D83">
        <v>12</v>
      </c>
    </row>
    <row r="84" spans="2:4" x14ac:dyDescent="0.3">
      <c r="B84" s="12" t="s">
        <v>23</v>
      </c>
      <c r="C84">
        <v>2028038.18</v>
      </c>
      <c r="D84">
        <v>15</v>
      </c>
    </row>
    <row r="85" spans="2:4" x14ac:dyDescent="0.3">
      <c r="B85" s="11" t="s">
        <v>69</v>
      </c>
      <c r="C85">
        <v>8511130.0800000038</v>
      </c>
      <c r="D85">
        <v>66</v>
      </c>
    </row>
    <row r="86" spans="2:4" x14ac:dyDescent="0.3">
      <c r="B86" s="12" t="s">
        <v>32</v>
      </c>
      <c r="C86">
        <v>1443217.8600000003</v>
      </c>
      <c r="D86">
        <v>12</v>
      </c>
    </row>
    <row r="87" spans="2:4" x14ac:dyDescent="0.3">
      <c r="B87" s="12" t="s">
        <v>53</v>
      </c>
      <c r="C87">
        <v>2222934.59</v>
      </c>
      <c r="D87">
        <v>16</v>
      </c>
    </row>
    <row r="88" spans="2:4" x14ac:dyDescent="0.3">
      <c r="B88" s="12" t="s">
        <v>45</v>
      </c>
      <c r="C88">
        <v>2039434.2100000002</v>
      </c>
      <c r="D88">
        <v>15</v>
      </c>
    </row>
    <row r="89" spans="2:4" x14ac:dyDescent="0.3">
      <c r="B89" s="12" t="s">
        <v>39</v>
      </c>
      <c r="C89">
        <v>1871659.3199999998</v>
      </c>
      <c r="D89">
        <v>14</v>
      </c>
    </row>
    <row r="90" spans="2:4" x14ac:dyDescent="0.3">
      <c r="B90" s="12" t="s">
        <v>23</v>
      </c>
      <c r="C90">
        <v>933884.1</v>
      </c>
      <c r="D90">
        <v>9</v>
      </c>
    </row>
    <row r="91" spans="2:4" x14ac:dyDescent="0.3">
      <c r="B91" s="11" t="s">
        <v>55</v>
      </c>
      <c r="C91">
        <v>8589949.7800000012</v>
      </c>
      <c r="D91">
        <v>70</v>
      </c>
    </row>
    <row r="92" spans="2:4" x14ac:dyDescent="0.3">
      <c r="B92" s="12" t="s">
        <v>32</v>
      </c>
      <c r="C92">
        <v>1601244.1500000006</v>
      </c>
      <c r="D92">
        <v>15</v>
      </c>
    </row>
    <row r="93" spans="2:4" x14ac:dyDescent="0.3">
      <c r="B93" s="12" t="s">
        <v>53</v>
      </c>
      <c r="C93">
        <v>1478797.85</v>
      </c>
      <c r="D93">
        <v>11</v>
      </c>
    </row>
    <row r="94" spans="2:4" x14ac:dyDescent="0.3">
      <c r="B94" s="12" t="s">
        <v>45</v>
      </c>
      <c r="C94">
        <v>2054688.3399999999</v>
      </c>
      <c r="D94">
        <v>16</v>
      </c>
    </row>
    <row r="95" spans="2:4" x14ac:dyDescent="0.3">
      <c r="B95" s="12" t="s">
        <v>39</v>
      </c>
      <c r="C95">
        <v>1052729.4300000002</v>
      </c>
      <c r="D95">
        <v>9</v>
      </c>
    </row>
    <row r="96" spans="2:4" x14ac:dyDescent="0.3">
      <c r="B96" s="12" t="s">
        <v>23</v>
      </c>
      <c r="C96">
        <v>2402490.0099999998</v>
      </c>
      <c r="D96">
        <v>19</v>
      </c>
    </row>
    <row r="97" spans="2:4" x14ac:dyDescent="0.3">
      <c r="B97" s="11" t="s">
        <v>47</v>
      </c>
      <c r="C97">
        <v>8542121.9499999974</v>
      </c>
      <c r="D97">
        <v>70</v>
      </c>
    </row>
    <row r="98" spans="2:4" x14ac:dyDescent="0.3">
      <c r="B98" s="12" t="s">
        <v>32</v>
      </c>
      <c r="C98">
        <v>2297156.11</v>
      </c>
      <c r="D98">
        <v>19</v>
      </c>
    </row>
    <row r="99" spans="2:4" x14ac:dyDescent="0.3">
      <c r="B99" s="12" t="s">
        <v>53</v>
      </c>
      <c r="C99">
        <v>1731893.27</v>
      </c>
      <c r="D99">
        <v>15</v>
      </c>
    </row>
    <row r="100" spans="2:4" x14ac:dyDescent="0.3">
      <c r="B100" s="12" t="s">
        <v>45</v>
      </c>
      <c r="C100">
        <v>1488168.98</v>
      </c>
      <c r="D100">
        <v>12</v>
      </c>
    </row>
    <row r="101" spans="2:4" x14ac:dyDescent="0.3">
      <c r="B101" s="12" t="s">
        <v>39</v>
      </c>
      <c r="C101">
        <v>1856247.9000000001</v>
      </c>
      <c r="D101">
        <v>14</v>
      </c>
    </row>
    <row r="102" spans="2:4" x14ac:dyDescent="0.3">
      <c r="B102" s="12" t="s">
        <v>23</v>
      </c>
      <c r="C102">
        <v>1168655.69</v>
      </c>
      <c r="D102">
        <v>10</v>
      </c>
    </row>
    <row r="103" spans="2:4" x14ac:dyDescent="0.3">
      <c r="B103" s="10" t="s">
        <v>2057</v>
      </c>
      <c r="C103">
        <v>122854838.28000011</v>
      </c>
      <c r="D10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Data</vt:lpstr>
      <vt:lpstr>IF Analysis</vt:lpstr>
      <vt:lpstr>Lookup Analysis</vt:lpstr>
      <vt:lpstr>Formula Analysis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Lighthouse Pune253</dc:creator>
  <cp:lastModifiedBy>Teju Doundkar</cp:lastModifiedBy>
  <dcterms:created xsi:type="dcterms:W3CDTF">2026-01-26T06:07:27Z</dcterms:created>
  <dcterms:modified xsi:type="dcterms:W3CDTF">2026-10-17T15:31:51Z</dcterms:modified>
</cp:coreProperties>
</file>