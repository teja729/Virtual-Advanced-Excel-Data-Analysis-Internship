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C5324D3-4E63-4834-AF66-83B3977FAB5A}" xr6:coauthVersionLast="47" xr6:coauthVersionMax="47" xr10:uidLastSave="{00000000-0000-0000-0000-000000000000}"/>
  <bookViews>
    <workbookView xWindow="-108" yWindow="-108" windowWidth="23256" windowHeight="12456" activeTab="1" xr2:uid="{F42963F1-414A-4B6D-9539-A22E937867C4}"/>
  </bookViews>
  <sheets>
    <sheet name="Messy Data" sheetId="6" r:id="rId1"/>
    <sheet name="Clean Data" sheetId="1" r:id="rId2"/>
    <sheet name="Data Cleaning" sheetId="9" r:id="rId3"/>
    <sheet name="Vlookup" sheetId="2" r:id="rId4"/>
    <sheet name="pivot table" sheetId="3" r:id="rId5"/>
    <sheet name="conditional Formatting" sheetId="5" r:id="rId6"/>
    <sheet name="Array Functions" sheetId="7" r:id="rId7"/>
  </sheets>
  <definedNames>
    <definedName name="_xlnm._FilterDatabase" localSheetId="6" hidden="1">'Array Functions'!$A$1:$K$92</definedName>
    <definedName name="_xlnm.Criteria" localSheetId="6">'Array Functions'!$M$3:$N$4</definedName>
    <definedName name="_xlnm.Extract" localSheetId="6">'Array Functions'!$P$3:$Z$3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F7" i="7"/>
  <c r="E3" i="9"/>
  <c r="E4" i="9"/>
  <c r="E5" i="9"/>
  <c r="E6" i="9"/>
  <c r="E7" i="9"/>
  <c r="E8" i="9"/>
  <c r="E9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2" i="9"/>
  <c r="C3" i="9"/>
  <c r="D3" i="9" s="1"/>
  <c r="C4" i="9"/>
  <c r="D4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E10" i="9" s="1"/>
  <c r="C11" i="9"/>
  <c r="D11" i="9" s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C18" i="9"/>
  <c r="D18" i="9" s="1"/>
  <c r="C19" i="9"/>
  <c r="D19" i="9" s="1"/>
  <c r="C20" i="9"/>
  <c r="D20" i="9" s="1"/>
  <c r="C21" i="9"/>
  <c r="D21" i="9" s="1"/>
  <c r="C22" i="9"/>
  <c r="D22" i="9" s="1"/>
  <c r="C23" i="9"/>
  <c r="D23" i="9" s="1"/>
  <c r="C24" i="9"/>
  <c r="D24" i="9" s="1"/>
  <c r="C25" i="9"/>
  <c r="D25" i="9" s="1"/>
  <c r="C26" i="9"/>
  <c r="D26" i="9" s="1"/>
  <c r="C27" i="9"/>
  <c r="D27" i="9" s="1"/>
  <c r="C28" i="9"/>
  <c r="D28" i="9" s="1"/>
  <c r="C29" i="9"/>
  <c r="D29" i="9" s="1"/>
  <c r="C30" i="9"/>
  <c r="D30" i="9" s="1"/>
  <c r="C31" i="9"/>
  <c r="D31" i="9" s="1"/>
  <c r="C32" i="9"/>
  <c r="D32" i="9" s="1"/>
  <c r="C33" i="9"/>
  <c r="D33" i="9" s="1"/>
  <c r="C34" i="9"/>
  <c r="D34" i="9" s="1"/>
  <c r="C35" i="9"/>
  <c r="D35" i="9" s="1"/>
  <c r="C36" i="9"/>
  <c r="D36" i="9" s="1"/>
  <c r="C37" i="9"/>
  <c r="D37" i="9" s="1"/>
  <c r="C38" i="9"/>
  <c r="D38" i="9" s="1"/>
  <c r="C39" i="9"/>
  <c r="D39" i="9" s="1"/>
  <c r="C40" i="9"/>
  <c r="D40" i="9" s="1"/>
  <c r="C41" i="9"/>
  <c r="D41" i="9" s="1"/>
  <c r="C42" i="9"/>
  <c r="D42" i="9" s="1"/>
  <c r="C43" i="9"/>
  <c r="D43" i="9" s="1"/>
  <c r="C44" i="9"/>
  <c r="D44" i="9" s="1"/>
  <c r="C45" i="9"/>
  <c r="D45" i="9" s="1"/>
  <c r="C46" i="9"/>
  <c r="D46" i="9" s="1"/>
  <c r="C47" i="9"/>
  <c r="D47" i="9" s="1"/>
  <c r="C48" i="9"/>
  <c r="D48" i="9" s="1"/>
  <c r="C49" i="9"/>
  <c r="D49" i="9" s="1"/>
  <c r="C50" i="9"/>
  <c r="D50" i="9" s="1"/>
  <c r="C51" i="9"/>
  <c r="D51" i="9" s="1"/>
  <c r="C52" i="9"/>
  <c r="D52" i="9" s="1"/>
  <c r="C53" i="9"/>
  <c r="D53" i="9" s="1"/>
  <c r="C54" i="9"/>
  <c r="D54" i="9" s="1"/>
  <c r="C55" i="9"/>
  <c r="D55" i="9" s="1"/>
  <c r="C56" i="9"/>
  <c r="D56" i="9" s="1"/>
  <c r="C57" i="9"/>
  <c r="D57" i="9" s="1"/>
  <c r="C58" i="9"/>
  <c r="D58" i="9" s="1"/>
  <c r="C59" i="9"/>
  <c r="D59" i="9" s="1"/>
  <c r="C60" i="9"/>
  <c r="D60" i="9" s="1"/>
  <c r="C61" i="9"/>
  <c r="D61" i="9" s="1"/>
  <c r="C62" i="9"/>
  <c r="D62" i="9" s="1"/>
  <c r="C63" i="9"/>
  <c r="D63" i="9" s="1"/>
  <c r="C64" i="9"/>
  <c r="D64" i="9" s="1"/>
  <c r="C65" i="9"/>
  <c r="D65" i="9" s="1"/>
  <c r="C66" i="9"/>
  <c r="D66" i="9" s="1"/>
  <c r="C67" i="9"/>
  <c r="D67" i="9" s="1"/>
  <c r="C68" i="9"/>
  <c r="D68" i="9" s="1"/>
  <c r="C69" i="9"/>
  <c r="D69" i="9" s="1"/>
  <c r="C70" i="9"/>
  <c r="D70" i="9" s="1"/>
  <c r="C71" i="9"/>
  <c r="D71" i="9" s="1"/>
  <c r="C72" i="9"/>
  <c r="D72" i="9" s="1"/>
  <c r="C73" i="9"/>
  <c r="D73" i="9" s="1"/>
  <c r="C74" i="9"/>
  <c r="D74" i="9" s="1"/>
  <c r="C75" i="9"/>
  <c r="D75" i="9" s="1"/>
  <c r="C76" i="9"/>
  <c r="D76" i="9" s="1"/>
  <c r="C77" i="9"/>
  <c r="D77" i="9" s="1"/>
  <c r="C78" i="9"/>
  <c r="D78" i="9" s="1"/>
  <c r="C79" i="9"/>
  <c r="D79" i="9" s="1"/>
  <c r="C80" i="9"/>
  <c r="D80" i="9" s="1"/>
  <c r="C81" i="9"/>
  <c r="D81" i="9" s="1"/>
  <c r="C82" i="9"/>
  <c r="D82" i="9" s="1"/>
  <c r="C83" i="9"/>
  <c r="D83" i="9" s="1"/>
  <c r="C84" i="9"/>
  <c r="D84" i="9" s="1"/>
  <c r="C85" i="9"/>
  <c r="D85" i="9" s="1"/>
  <c r="C86" i="9"/>
  <c r="D86" i="9" s="1"/>
  <c r="C87" i="9"/>
  <c r="D87" i="9" s="1"/>
  <c r="C88" i="9"/>
  <c r="D88" i="9" s="1"/>
  <c r="C89" i="9"/>
  <c r="D89" i="9" s="1"/>
  <c r="C90" i="9"/>
  <c r="D90" i="9" s="1"/>
  <c r="C91" i="9"/>
  <c r="D91" i="9" s="1"/>
  <c r="C92" i="9"/>
  <c r="D92" i="9" s="1"/>
  <c r="C2" i="9"/>
  <c r="D2" i="9" s="1"/>
  <c r="R4" i="9"/>
  <c r="K92" i="9"/>
  <c r="J92" i="9"/>
  <c r="M92" i="9" s="1"/>
  <c r="I92" i="9"/>
  <c r="H92" i="9"/>
  <c r="L92" i="9" s="1"/>
  <c r="N92" i="9" s="1"/>
  <c r="K91" i="9"/>
  <c r="J91" i="9"/>
  <c r="M91" i="9" s="1"/>
  <c r="I91" i="9"/>
  <c r="H91" i="9"/>
  <c r="L91" i="9" s="1"/>
  <c r="K90" i="9"/>
  <c r="J90" i="9"/>
  <c r="M90" i="9" s="1"/>
  <c r="I90" i="9"/>
  <c r="H90" i="9"/>
  <c r="L90" i="9" s="1"/>
  <c r="N90" i="9" s="1"/>
  <c r="K89" i="9"/>
  <c r="J89" i="9"/>
  <c r="M89" i="9" s="1"/>
  <c r="I89" i="9"/>
  <c r="H89" i="9"/>
  <c r="L89" i="9" s="1"/>
  <c r="N89" i="9" s="1"/>
  <c r="K88" i="9"/>
  <c r="J88" i="9"/>
  <c r="M88" i="9" s="1"/>
  <c r="I88" i="9"/>
  <c r="H88" i="9"/>
  <c r="L88" i="9" s="1"/>
  <c r="N88" i="9" s="1"/>
  <c r="K87" i="9"/>
  <c r="J87" i="9"/>
  <c r="M87" i="9" s="1"/>
  <c r="I87" i="9"/>
  <c r="H87" i="9"/>
  <c r="L87" i="9" s="1"/>
  <c r="N87" i="9" s="1"/>
  <c r="K86" i="9"/>
  <c r="J86" i="9"/>
  <c r="M86" i="9" s="1"/>
  <c r="I86" i="9"/>
  <c r="H86" i="9"/>
  <c r="L86" i="9" s="1"/>
  <c r="N86" i="9" s="1"/>
  <c r="K85" i="9"/>
  <c r="J85" i="9"/>
  <c r="M85" i="9" s="1"/>
  <c r="I85" i="9"/>
  <c r="H85" i="9"/>
  <c r="L85" i="9" s="1"/>
  <c r="N85" i="9" s="1"/>
  <c r="K84" i="9"/>
  <c r="J84" i="9"/>
  <c r="M84" i="9" s="1"/>
  <c r="I84" i="9"/>
  <c r="H84" i="9"/>
  <c r="L84" i="9" s="1"/>
  <c r="N84" i="9" s="1"/>
  <c r="K83" i="9"/>
  <c r="J83" i="9"/>
  <c r="M83" i="9" s="1"/>
  <c r="I83" i="9"/>
  <c r="H83" i="9"/>
  <c r="L83" i="9" s="1"/>
  <c r="K82" i="9"/>
  <c r="J82" i="9"/>
  <c r="M82" i="9" s="1"/>
  <c r="I82" i="9"/>
  <c r="H82" i="9"/>
  <c r="L82" i="9" s="1"/>
  <c r="N82" i="9" s="1"/>
  <c r="K81" i="9"/>
  <c r="J81" i="9"/>
  <c r="M81" i="9" s="1"/>
  <c r="I81" i="9"/>
  <c r="H81" i="9"/>
  <c r="L81" i="9" s="1"/>
  <c r="N81" i="9" s="1"/>
  <c r="K80" i="9"/>
  <c r="J80" i="9"/>
  <c r="M80" i="9" s="1"/>
  <c r="I80" i="9"/>
  <c r="H80" i="9"/>
  <c r="L80" i="9" s="1"/>
  <c r="N80" i="9" s="1"/>
  <c r="K79" i="9"/>
  <c r="J79" i="9"/>
  <c r="M79" i="9" s="1"/>
  <c r="I79" i="9"/>
  <c r="H79" i="9"/>
  <c r="L79" i="9" s="1"/>
  <c r="N79" i="9" s="1"/>
  <c r="K78" i="9"/>
  <c r="J78" i="9"/>
  <c r="M78" i="9" s="1"/>
  <c r="I78" i="9"/>
  <c r="H78" i="9"/>
  <c r="L78" i="9" s="1"/>
  <c r="N78" i="9" s="1"/>
  <c r="K77" i="9"/>
  <c r="J77" i="9"/>
  <c r="M77" i="9" s="1"/>
  <c r="I77" i="9"/>
  <c r="H77" i="9"/>
  <c r="L77" i="9" s="1"/>
  <c r="N77" i="9" s="1"/>
  <c r="K76" i="9"/>
  <c r="J76" i="9"/>
  <c r="M76" i="9" s="1"/>
  <c r="I76" i="9"/>
  <c r="H76" i="9"/>
  <c r="L76" i="9" s="1"/>
  <c r="N76" i="9" s="1"/>
  <c r="K75" i="9"/>
  <c r="J75" i="9"/>
  <c r="M75" i="9" s="1"/>
  <c r="I75" i="9"/>
  <c r="H75" i="9"/>
  <c r="L75" i="9" s="1"/>
  <c r="N75" i="9" s="1"/>
  <c r="K74" i="9"/>
  <c r="J74" i="9"/>
  <c r="M74" i="9" s="1"/>
  <c r="I74" i="9"/>
  <c r="H74" i="9"/>
  <c r="L74" i="9" s="1"/>
  <c r="N74" i="9" s="1"/>
  <c r="K73" i="9"/>
  <c r="J73" i="9"/>
  <c r="M73" i="9" s="1"/>
  <c r="I73" i="9"/>
  <c r="H73" i="9"/>
  <c r="L73" i="9" s="1"/>
  <c r="N73" i="9" s="1"/>
  <c r="K72" i="9"/>
  <c r="J72" i="9"/>
  <c r="M72" i="9" s="1"/>
  <c r="I72" i="9"/>
  <c r="H72" i="9"/>
  <c r="L72" i="9" s="1"/>
  <c r="N72" i="9" s="1"/>
  <c r="K71" i="9"/>
  <c r="J71" i="9"/>
  <c r="M71" i="9" s="1"/>
  <c r="I71" i="9"/>
  <c r="H71" i="9"/>
  <c r="L71" i="9" s="1"/>
  <c r="N71" i="9" s="1"/>
  <c r="K70" i="9"/>
  <c r="J70" i="9"/>
  <c r="M70" i="9" s="1"/>
  <c r="I70" i="9"/>
  <c r="H70" i="9"/>
  <c r="L70" i="9" s="1"/>
  <c r="N70" i="9" s="1"/>
  <c r="K69" i="9"/>
  <c r="J69" i="9"/>
  <c r="M69" i="9" s="1"/>
  <c r="I69" i="9"/>
  <c r="H69" i="9"/>
  <c r="L69" i="9" s="1"/>
  <c r="N69" i="9" s="1"/>
  <c r="K68" i="9"/>
  <c r="J68" i="9"/>
  <c r="M68" i="9" s="1"/>
  <c r="I68" i="9"/>
  <c r="H68" i="9"/>
  <c r="L68" i="9" s="1"/>
  <c r="N68" i="9" s="1"/>
  <c r="K67" i="9"/>
  <c r="J67" i="9"/>
  <c r="M67" i="9" s="1"/>
  <c r="I67" i="9"/>
  <c r="H67" i="9"/>
  <c r="L67" i="9" s="1"/>
  <c r="N67" i="9" s="1"/>
  <c r="K66" i="9"/>
  <c r="J66" i="9"/>
  <c r="M66" i="9" s="1"/>
  <c r="I66" i="9"/>
  <c r="H66" i="9"/>
  <c r="L66" i="9" s="1"/>
  <c r="N66" i="9" s="1"/>
  <c r="K65" i="9"/>
  <c r="J65" i="9"/>
  <c r="M65" i="9" s="1"/>
  <c r="I65" i="9"/>
  <c r="H65" i="9"/>
  <c r="L65" i="9" s="1"/>
  <c r="N65" i="9" s="1"/>
  <c r="K64" i="9"/>
  <c r="J64" i="9"/>
  <c r="M64" i="9" s="1"/>
  <c r="I64" i="9"/>
  <c r="H64" i="9"/>
  <c r="L64" i="9" s="1"/>
  <c r="N64" i="9" s="1"/>
  <c r="K63" i="9"/>
  <c r="J63" i="9"/>
  <c r="M63" i="9" s="1"/>
  <c r="I63" i="9"/>
  <c r="H63" i="9"/>
  <c r="L63" i="9" s="1"/>
  <c r="K62" i="9"/>
  <c r="J62" i="9"/>
  <c r="M62" i="9" s="1"/>
  <c r="I62" i="9"/>
  <c r="H62" i="9"/>
  <c r="L62" i="9" s="1"/>
  <c r="N62" i="9" s="1"/>
  <c r="K61" i="9"/>
  <c r="J61" i="9"/>
  <c r="M61" i="9" s="1"/>
  <c r="I61" i="9"/>
  <c r="H61" i="9"/>
  <c r="L61" i="9" s="1"/>
  <c r="N61" i="9" s="1"/>
  <c r="K60" i="9"/>
  <c r="J60" i="9"/>
  <c r="M60" i="9" s="1"/>
  <c r="I60" i="9"/>
  <c r="H60" i="9"/>
  <c r="L60" i="9" s="1"/>
  <c r="N60" i="9" s="1"/>
  <c r="K59" i="9"/>
  <c r="J59" i="9"/>
  <c r="M59" i="9" s="1"/>
  <c r="I59" i="9"/>
  <c r="H59" i="9"/>
  <c r="L59" i="9" s="1"/>
  <c r="N59" i="9" s="1"/>
  <c r="K58" i="9"/>
  <c r="J58" i="9"/>
  <c r="M58" i="9" s="1"/>
  <c r="I58" i="9"/>
  <c r="H58" i="9"/>
  <c r="L58" i="9" s="1"/>
  <c r="N58" i="9" s="1"/>
  <c r="K57" i="9"/>
  <c r="J57" i="9"/>
  <c r="M57" i="9" s="1"/>
  <c r="I57" i="9"/>
  <c r="H57" i="9"/>
  <c r="L57" i="9" s="1"/>
  <c r="N57" i="9" s="1"/>
  <c r="K56" i="9"/>
  <c r="J56" i="9"/>
  <c r="M56" i="9" s="1"/>
  <c r="I56" i="9"/>
  <c r="H56" i="9"/>
  <c r="L56" i="9" s="1"/>
  <c r="N56" i="9" s="1"/>
  <c r="K55" i="9"/>
  <c r="J55" i="9"/>
  <c r="M55" i="9" s="1"/>
  <c r="I55" i="9"/>
  <c r="H55" i="9"/>
  <c r="L55" i="9" s="1"/>
  <c r="N55" i="9" s="1"/>
  <c r="K54" i="9"/>
  <c r="J54" i="9"/>
  <c r="M54" i="9" s="1"/>
  <c r="I54" i="9"/>
  <c r="H54" i="9"/>
  <c r="L54" i="9" s="1"/>
  <c r="N54" i="9" s="1"/>
  <c r="K53" i="9"/>
  <c r="J53" i="9"/>
  <c r="M53" i="9" s="1"/>
  <c r="I53" i="9"/>
  <c r="H53" i="9"/>
  <c r="L53" i="9" s="1"/>
  <c r="N53" i="9" s="1"/>
  <c r="K52" i="9"/>
  <c r="J52" i="9"/>
  <c r="M52" i="9" s="1"/>
  <c r="I52" i="9"/>
  <c r="H52" i="9"/>
  <c r="L52" i="9" s="1"/>
  <c r="N52" i="9" s="1"/>
  <c r="K51" i="9"/>
  <c r="J51" i="9"/>
  <c r="M51" i="9" s="1"/>
  <c r="I51" i="9"/>
  <c r="H51" i="9"/>
  <c r="L51" i="9" s="1"/>
  <c r="N51" i="9" s="1"/>
  <c r="K50" i="9"/>
  <c r="J50" i="9"/>
  <c r="M50" i="9" s="1"/>
  <c r="I50" i="9"/>
  <c r="H50" i="9"/>
  <c r="L50" i="9" s="1"/>
  <c r="N50" i="9" s="1"/>
  <c r="K49" i="9"/>
  <c r="J49" i="9"/>
  <c r="M49" i="9" s="1"/>
  <c r="I49" i="9"/>
  <c r="H49" i="9"/>
  <c r="L49" i="9" s="1"/>
  <c r="N49" i="9" s="1"/>
  <c r="K48" i="9"/>
  <c r="J48" i="9"/>
  <c r="M48" i="9" s="1"/>
  <c r="I48" i="9"/>
  <c r="H48" i="9"/>
  <c r="L48" i="9" s="1"/>
  <c r="N48" i="9" s="1"/>
  <c r="K47" i="9"/>
  <c r="J47" i="9"/>
  <c r="M47" i="9" s="1"/>
  <c r="I47" i="9"/>
  <c r="H47" i="9"/>
  <c r="L47" i="9" s="1"/>
  <c r="N47" i="9" s="1"/>
  <c r="K46" i="9"/>
  <c r="J46" i="9"/>
  <c r="M46" i="9" s="1"/>
  <c r="I46" i="9"/>
  <c r="H46" i="9"/>
  <c r="L46" i="9" s="1"/>
  <c r="N46" i="9" s="1"/>
  <c r="K45" i="9"/>
  <c r="J45" i="9"/>
  <c r="M45" i="9" s="1"/>
  <c r="I45" i="9"/>
  <c r="H45" i="9"/>
  <c r="L45" i="9" s="1"/>
  <c r="N45" i="9" s="1"/>
  <c r="K44" i="9"/>
  <c r="J44" i="9"/>
  <c r="M44" i="9" s="1"/>
  <c r="I44" i="9"/>
  <c r="H44" i="9"/>
  <c r="L44" i="9" s="1"/>
  <c r="N44" i="9" s="1"/>
  <c r="K43" i="9"/>
  <c r="J43" i="9"/>
  <c r="M43" i="9" s="1"/>
  <c r="I43" i="9"/>
  <c r="H43" i="9"/>
  <c r="L43" i="9" s="1"/>
  <c r="N43" i="9" s="1"/>
  <c r="K42" i="9"/>
  <c r="J42" i="9"/>
  <c r="M42" i="9" s="1"/>
  <c r="I42" i="9"/>
  <c r="H42" i="9"/>
  <c r="L42" i="9" s="1"/>
  <c r="N42" i="9" s="1"/>
  <c r="K41" i="9"/>
  <c r="J41" i="9"/>
  <c r="M41" i="9" s="1"/>
  <c r="I41" i="9"/>
  <c r="H41" i="9"/>
  <c r="L41" i="9" s="1"/>
  <c r="N41" i="9" s="1"/>
  <c r="K40" i="9"/>
  <c r="J40" i="9"/>
  <c r="M40" i="9" s="1"/>
  <c r="I40" i="9"/>
  <c r="H40" i="9"/>
  <c r="L40" i="9" s="1"/>
  <c r="N40" i="9" s="1"/>
  <c r="K39" i="9"/>
  <c r="J39" i="9"/>
  <c r="M39" i="9" s="1"/>
  <c r="I39" i="9"/>
  <c r="H39" i="9"/>
  <c r="L39" i="9" s="1"/>
  <c r="N39" i="9" s="1"/>
  <c r="K38" i="9"/>
  <c r="J38" i="9"/>
  <c r="M38" i="9" s="1"/>
  <c r="I38" i="9"/>
  <c r="H38" i="9"/>
  <c r="L38" i="9" s="1"/>
  <c r="N38" i="9" s="1"/>
  <c r="K37" i="9"/>
  <c r="J37" i="9"/>
  <c r="M37" i="9" s="1"/>
  <c r="I37" i="9"/>
  <c r="H37" i="9"/>
  <c r="L37" i="9" s="1"/>
  <c r="N37" i="9" s="1"/>
  <c r="K36" i="9"/>
  <c r="J36" i="9"/>
  <c r="M36" i="9" s="1"/>
  <c r="I36" i="9"/>
  <c r="H36" i="9"/>
  <c r="L36" i="9" s="1"/>
  <c r="N36" i="9" s="1"/>
  <c r="K35" i="9"/>
  <c r="J35" i="9"/>
  <c r="M35" i="9" s="1"/>
  <c r="I35" i="9"/>
  <c r="H35" i="9"/>
  <c r="L35" i="9" s="1"/>
  <c r="N35" i="9" s="1"/>
  <c r="K34" i="9"/>
  <c r="J34" i="9"/>
  <c r="M34" i="9" s="1"/>
  <c r="I34" i="9"/>
  <c r="H34" i="9"/>
  <c r="L34" i="9" s="1"/>
  <c r="N34" i="9" s="1"/>
  <c r="K33" i="9"/>
  <c r="J33" i="9"/>
  <c r="M33" i="9" s="1"/>
  <c r="I33" i="9"/>
  <c r="H33" i="9"/>
  <c r="L33" i="9" s="1"/>
  <c r="N33" i="9" s="1"/>
  <c r="K32" i="9"/>
  <c r="J32" i="9"/>
  <c r="M32" i="9" s="1"/>
  <c r="I32" i="9"/>
  <c r="H32" i="9"/>
  <c r="L32" i="9" s="1"/>
  <c r="N32" i="9" s="1"/>
  <c r="K31" i="9"/>
  <c r="J31" i="9"/>
  <c r="M31" i="9" s="1"/>
  <c r="I31" i="9"/>
  <c r="H31" i="9"/>
  <c r="L31" i="9" s="1"/>
  <c r="N31" i="9" s="1"/>
  <c r="K30" i="9"/>
  <c r="J30" i="9"/>
  <c r="M30" i="9" s="1"/>
  <c r="I30" i="9"/>
  <c r="H30" i="9"/>
  <c r="L30" i="9" s="1"/>
  <c r="N30" i="9" s="1"/>
  <c r="K29" i="9"/>
  <c r="J29" i="9"/>
  <c r="M29" i="9" s="1"/>
  <c r="I29" i="9"/>
  <c r="H29" i="9"/>
  <c r="L29" i="9" s="1"/>
  <c r="N29" i="9" s="1"/>
  <c r="K28" i="9"/>
  <c r="J28" i="9"/>
  <c r="M28" i="9" s="1"/>
  <c r="I28" i="9"/>
  <c r="H28" i="9"/>
  <c r="L28" i="9" s="1"/>
  <c r="N28" i="9" s="1"/>
  <c r="K27" i="9"/>
  <c r="J27" i="9"/>
  <c r="M27" i="9" s="1"/>
  <c r="I27" i="9"/>
  <c r="H27" i="9"/>
  <c r="L27" i="9" s="1"/>
  <c r="N27" i="9" s="1"/>
  <c r="K26" i="9"/>
  <c r="J26" i="9"/>
  <c r="M26" i="9" s="1"/>
  <c r="I26" i="9"/>
  <c r="H26" i="9"/>
  <c r="L26" i="9" s="1"/>
  <c r="K25" i="9"/>
  <c r="J25" i="9"/>
  <c r="M25" i="9" s="1"/>
  <c r="I25" i="9"/>
  <c r="H25" i="9"/>
  <c r="L25" i="9" s="1"/>
  <c r="N25" i="9" s="1"/>
  <c r="K24" i="9"/>
  <c r="J24" i="9"/>
  <c r="M24" i="9" s="1"/>
  <c r="I24" i="9"/>
  <c r="H24" i="9"/>
  <c r="L24" i="9" s="1"/>
  <c r="N24" i="9" s="1"/>
  <c r="K23" i="9"/>
  <c r="J23" i="9"/>
  <c r="M23" i="9" s="1"/>
  <c r="I23" i="9"/>
  <c r="H23" i="9"/>
  <c r="L23" i="9" s="1"/>
  <c r="N23" i="9" s="1"/>
  <c r="K22" i="9"/>
  <c r="J22" i="9"/>
  <c r="M22" i="9" s="1"/>
  <c r="I22" i="9"/>
  <c r="H22" i="9"/>
  <c r="L22" i="9" s="1"/>
  <c r="K21" i="9"/>
  <c r="J21" i="9"/>
  <c r="M21" i="9" s="1"/>
  <c r="I21" i="9"/>
  <c r="H21" i="9"/>
  <c r="L21" i="9" s="1"/>
  <c r="K20" i="9"/>
  <c r="J20" i="9"/>
  <c r="M20" i="9" s="1"/>
  <c r="I20" i="9"/>
  <c r="H20" i="9"/>
  <c r="L20" i="9" s="1"/>
  <c r="N20" i="9" s="1"/>
  <c r="J19" i="9"/>
  <c r="M19" i="9" s="1"/>
  <c r="I19" i="9"/>
  <c r="H19" i="9"/>
  <c r="L19" i="9" s="1"/>
  <c r="N19" i="9" s="1"/>
  <c r="K18" i="9"/>
  <c r="J18" i="9"/>
  <c r="M18" i="9" s="1"/>
  <c r="I18" i="9"/>
  <c r="H18" i="9"/>
  <c r="L18" i="9" s="1"/>
  <c r="N18" i="9" s="1"/>
  <c r="K17" i="9"/>
  <c r="J17" i="9"/>
  <c r="M17" i="9" s="1"/>
  <c r="I17" i="9"/>
  <c r="H17" i="9"/>
  <c r="L17" i="9" s="1"/>
  <c r="N17" i="9" s="1"/>
  <c r="K16" i="9"/>
  <c r="J16" i="9"/>
  <c r="M16" i="9" s="1"/>
  <c r="I16" i="9"/>
  <c r="H16" i="9"/>
  <c r="L16" i="9" s="1"/>
  <c r="N16" i="9" s="1"/>
  <c r="K15" i="9"/>
  <c r="J15" i="9"/>
  <c r="M15" i="9" s="1"/>
  <c r="I15" i="9"/>
  <c r="H15" i="9"/>
  <c r="L15" i="9" s="1"/>
  <c r="N15" i="9" s="1"/>
  <c r="K14" i="9"/>
  <c r="J14" i="9"/>
  <c r="M14" i="9" s="1"/>
  <c r="I14" i="9"/>
  <c r="H14" i="9"/>
  <c r="L14" i="9" s="1"/>
  <c r="N14" i="9" s="1"/>
  <c r="K13" i="9"/>
  <c r="J13" i="9"/>
  <c r="M13" i="9" s="1"/>
  <c r="I13" i="9"/>
  <c r="H13" i="9"/>
  <c r="L13" i="9" s="1"/>
  <c r="N13" i="9" s="1"/>
  <c r="K12" i="9"/>
  <c r="J12" i="9"/>
  <c r="M12" i="9" s="1"/>
  <c r="I12" i="9"/>
  <c r="H12" i="9"/>
  <c r="L12" i="9" s="1"/>
  <c r="N12" i="9" s="1"/>
  <c r="K11" i="9"/>
  <c r="J11" i="9"/>
  <c r="M11" i="9" s="1"/>
  <c r="I11" i="9"/>
  <c r="H11" i="9"/>
  <c r="K10" i="9"/>
  <c r="J10" i="9"/>
  <c r="M10" i="9" s="1"/>
  <c r="I10" i="9"/>
  <c r="H10" i="9"/>
  <c r="L10" i="9" s="1"/>
  <c r="N10" i="9" s="1"/>
  <c r="K9" i="9"/>
  <c r="J9" i="9"/>
  <c r="M9" i="9" s="1"/>
  <c r="H9" i="9"/>
  <c r="L9" i="9" s="1"/>
  <c r="N9" i="9" s="1"/>
  <c r="K8" i="9"/>
  <c r="J8" i="9"/>
  <c r="M8" i="9" s="1"/>
  <c r="I8" i="9"/>
  <c r="H8" i="9"/>
  <c r="L8" i="9" s="1"/>
  <c r="N8" i="9" s="1"/>
  <c r="K7" i="9"/>
  <c r="J7" i="9"/>
  <c r="M7" i="9" s="1"/>
  <c r="I7" i="9"/>
  <c r="H7" i="9"/>
  <c r="L7" i="9" s="1"/>
  <c r="N7" i="9" s="1"/>
  <c r="K6" i="9"/>
  <c r="J6" i="9"/>
  <c r="M6" i="9" s="1"/>
  <c r="I6" i="9"/>
  <c r="H6" i="9"/>
  <c r="L6" i="9" s="1"/>
  <c r="N6" i="9" s="1"/>
  <c r="K5" i="9"/>
  <c r="J5" i="9"/>
  <c r="M5" i="9" s="1"/>
  <c r="I5" i="9"/>
  <c r="H5" i="9"/>
  <c r="L5" i="9" s="1"/>
  <c r="N5" i="9" s="1"/>
  <c r="K4" i="9"/>
  <c r="J4" i="9"/>
  <c r="M4" i="9" s="1"/>
  <c r="I4" i="9"/>
  <c r="H4" i="9"/>
  <c r="L4" i="9" s="1"/>
  <c r="N4" i="9" s="1"/>
  <c r="K3" i="9"/>
  <c r="J3" i="9"/>
  <c r="M3" i="9" s="1"/>
  <c r="I3" i="9"/>
  <c r="H3" i="9"/>
  <c r="L3" i="9" s="1"/>
  <c r="N3" i="9" s="1"/>
  <c r="K2" i="9"/>
  <c r="J2" i="9"/>
  <c r="M2" i="9" s="1"/>
  <c r="I2" i="9"/>
  <c r="H2" i="9"/>
  <c r="L2" i="9" s="1"/>
  <c r="N2" i="9" s="1"/>
  <c r="N8" i="6"/>
  <c r="N5" i="6"/>
  <c r="K7" i="6"/>
  <c r="E2" i="6"/>
  <c r="H3" i="7"/>
  <c r="G3" i="7"/>
  <c r="J3" i="7" s="1"/>
  <c r="F3" i="7"/>
  <c r="E3" i="7"/>
  <c r="H83" i="7"/>
  <c r="G83" i="7"/>
  <c r="J83" i="7" s="1"/>
  <c r="F83" i="7"/>
  <c r="E83" i="7"/>
  <c r="I83" i="7" s="1"/>
  <c r="K83" i="7" s="1"/>
  <c r="H27" i="7"/>
  <c r="G27" i="7"/>
  <c r="J27" i="7" s="1"/>
  <c r="F27" i="7"/>
  <c r="E27" i="7"/>
  <c r="I27" i="7" s="1"/>
  <c r="K27" i="7" s="1"/>
  <c r="H36" i="7"/>
  <c r="G36" i="7"/>
  <c r="J36" i="7" s="1"/>
  <c r="F36" i="7"/>
  <c r="E36" i="7"/>
  <c r="I36" i="7" s="1"/>
  <c r="H53" i="7"/>
  <c r="G53" i="7"/>
  <c r="J53" i="7" s="1"/>
  <c r="F53" i="7"/>
  <c r="E53" i="7"/>
  <c r="I53" i="7" s="1"/>
  <c r="K53" i="7" s="1"/>
  <c r="H13" i="7"/>
  <c r="G13" i="7"/>
  <c r="J13" i="7" s="1"/>
  <c r="F13" i="7"/>
  <c r="E13" i="7"/>
  <c r="I13" i="7" s="1"/>
  <c r="K13" i="7" s="1"/>
  <c r="H46" i="7"/>
  <c r="G46" i="7"/>
  <c r="J46" i="7" s="1"/>
  <c r="F46" i="7"/>
  <c r="E46" i="7"/>
  <c r="I46" i="7" s="1"/>
  <c r="K46" i="7" s="1"/>
  <c r="H73" i="7"/>
  <c r="G73" i="7"/>
  <c r="J73" i="7" s="1"/>
  <c r="F73" i="7"/>
  <c r="E73" i="7"/>
  <c r="I73" i="7" s="1"/>
  <c r="K73" i="7" s="1"/>
  <c r="H28" i="7"/>
  <c r="G28" i="7"/>
  <c r="J28" i="7" s="1"/>
  <c r="F28" i="7"/>
  <c r="E28" i="7"/>
  <c r="I28" i="7" s="1"/>
  <c r="K28" i="7" s="1"/>
  <c r="H12" i="7"/>
  <c r="G12" i="7"/>
  <c r="J12" i="7" s="1"/>
  <c r="F12" i="7"/>
  <c r="E12" i="7"/>
  <c r="I12" i="7" s="1"/>
  <c r="K12" i="7" s="1"/>
  <c r="H71" i="7"/>
  <c r="G71" i="7"/>
  <c r="J71" i="7" s="1"/>
  <c r="F71" i="7"/>
  <c r="E71" i="7"/>
  <c r="I71" i="7" s="1"/>
  <c r="K71" i="7" s="1"/>
  <c r="H64" i="7"/>
  <c r="G64" i="7"/>
  <c r="J64" i="7" s="1"/>
  <c r="F64" i="7"/>
  <c r="E64" i="7"/>
  <c r="I64" i="7" s="1"/>
  <c r="K64" i="7" s="1"/>
  <c r="H91" i="7"/>
  <c r="G91" i="7"/>
  <c r="J91" i="7" s="1"/>
  <c r="F91" i="7"/>
  <c r="E91" i="7"/>
  <c r="I91" i="7" s="1"/>
  <c r="K91" i="7" s="1"/>
  <c r="H87" i="7"/>
  <c r="G87" i="7"/>
  <c r="J87" i="7" s="1"/>
  <c r="F87" i="7"/>
  <c r="E87" i="7"/>
  <c r="I87" i="7" s="1"/>
  <c r="H24" i="7"/>
  <c r="G24" i="7"/>
  <c r="J24" i="7" s="1"/>
  <c r="F24" i="7"/>
  <c r="E24" i="7"/>
  <c r="I24" i="7" s="1"/>
  <c r="K24" i="7" s="1"/>
  <c r="H16" i="7"/>
  <c r="G16" i="7"/>
  <c r="J16" i="7" s="1"/>
  <c r="F16" i="7"/>
  <c r="E16" i="7"/>
  <c r="I16" i="7" s="1"/>
  <c r="K16" i="7" s="1"/>
  <c r="H51" i="7"/>
  <c r="G51" i="7"/>
  <c r="J51" i="7" s="1"/>
  <c r="F51" i="7"/>
  <c r="E51" i="7"/>
  <c r="I51" i="7" s="1"/>
  <c r="K51" i="7" s="1"/>
  <c r="H33" i="7"/>
  <c r="G33" i="7"/>
  <c r="J33" i="7" s="1"/>
  <c r="F33" i="7"/>
  <c r="E33" i="7"/>
  <c r="I33" i="7" s="1"/>
  <c r="K33" i="7" s="1"/>
  <c r="H10" i="7"/>
  <c r="G10" i="7"/>
  <c r="J10" i="7" s="1"/>
  <c r="F10" i="7"/>
  <c r="E10" i="7"/>
  <c r="I10" i="7" s="1"/>
  <c r="K10" i="7" s="1"/>
  <c r="H21" i="7"/>
  <c r="G21" i="7"/>
  <c r="J21" i="7" s="1"/>
  <c r="F21" i="7"/>
  <c r="E21" i="7"/>
  <c r="I21" i="7" s="1"/>
  <c r="K21" i="7" s="1"/>
  <c r="H9" i="7"/>
  <c r="G9" i="7"/>
  <c r="J9" i="7" s="1"/>
  <c r="F9" i="7"/>
  <c r="E9" i="7"/>
  <c r="I9" i="7" s="1"/>
  <c r="K9" i="7" s="1"/>
  <c r="H32" i="7"/>
  <c r="G32" i="7"/>
  <c r="J32" i="7" s="1"/>
  <c r="F32" i="7"/>
  <c r="E32" i="7"/>
  <c r="I32" i="7" s="1"/>
  <c r="K32" i="7" s="1"/>
  <c r="H67" i="7"/>
  <c r="G67" i="7"/>
  <c r="J67" i="7" s="1"/>
  <c r="F67" i="7"/>
  <c r="E67" i="7"/>
  <c r="I67" i="7" s="1"/>
  <c r="K67" i="7" s="1"/>
  <c r="H48" i="7"/>
  <c r="G48" i="7"/>
  <c r="J48" i="7" s="1"/>
  <c r="F48" i="7"/>
  <c r="E48" i="7"/>
  <c r="I48" i="7" s="1"/>
  <c r="K48" i="7" s="1"/>
  <c r="H54" i="7"/>
  <c r="G54" i="7"/>
  <c r="J54" i="7" s="1"/>
  <c r="F54" i="7"/>
  <c r="E54" i="7"/>
  <c r="I54" i="7" s="1"/>
  <c r="K54" i="7" s="1"/>
  <c r="H52" i="7"/>
  <c r="G52" i="7"/>
  <c r="J52" i="7" s="1"/>
  <c r="F52" i="7"/>
  <c r="E52" i="7"/>
  <c r="I52" i="7" s="1"/>
  <c r="K52" i="7" s="1"/>
  <c r="H76" i="7"/>
  <c r="G76" i="7"/>
  <c r="J76" i="7" s="1"/>
  <c r="F76" i="7"/>
  <c r="E76" i="7"/>
  <c r="I76" i="7" s="1"/>
  <c r="K76" i="7" s="1"/>
  <c r="H41" i="7"/>
  <c r="G41" i="7"/>
  <c r="J41" i="7" s="1"/>
  <c r="F41" i="7"/>
  <c r="E41" i="7"/>
  <c r="I41" i="7" s="1"/>
  <c r="H50" i="7"/>
  <c r="G50" i="7"/>
  <c r="J50" i="7" s="1"/>
  <c r="F50" i="7"/>
  <c r="E50" i="7"/>
  <c r="I50" i="7" s="1"/>
  <c r="K50" i="7" s="1"/>
  <c r="H45" i="7"/>
  <c r="G45" i="7"/>
  <c r="J45" i="7" s="1"/>
  <c r="F45" i="7"/>
  <c r="E45" i="7"/>
  <c r="I45" i="7" s="1"/>
  <c r="K45" i="7" s="1"/>
  <c r="H57" i="7"/>
  <c r="G57" i="7"/>
  <c r="J57" i="7" s="1"/>
  <c r="F57" i="7"/>
  <c r="E57" i="7"/>
  <c r="I57" i="7" s="1"/>
  <c r="K57" i="7" s="1"/>
  <c r="H90" i="7"/>
  <c r="G90" i="7"/>
  <c r="J90" i="7" s="1"/>
  <c r="F90" i="7"/>
  <c r="E90" i="7"/>
  <c r="I90" i="7" s="1"/>
  <c r="K90" i="7" s="1"/>
  <c r="H84" i="7"/>
  <c r="G84" i="7"/>
  <c r="J84" i="7" s="1"/>
  <c r="F84" i="7"/>
  <c r="E84" i="7"/>
  <c r="I84" i="7" s="1"/>
  <c r="K84" i="7" s="1"/>
  <c r="H89" i="7"/>
  <c r="G89" i="7"/>
  <c r="J89" i="7" s="1"/>
  <c r="F89" i="7"/>
  <c r="E89" i="7"/>
  <c r="I89" i="7" s="1"/>
  <c r="K89" i="7" s="1"/>
  <c r="H20" i="7"/>
  <c r="G20" i="7"/>
  <c r="J20" i="7" s="1"/>
  <c r="F20" i="7"/>
  <c r="E20" i="7"/>
  <c r="I20" i="7" s="1"/>
  <c r="K20" i="7" s="1"/>
  <c r="H81" i="7"/>
  <c r="G81" i="7"/>
  <c r="J81" i="7" s="1"/>
  <c r="F81" i="7"/>
  <c r="E81" i="7"/>
  <c r="I81" i="7" s="1"/>
  <c r="K81" i="7" s="1"/>
  <c r="H29" i="7"/>
  <c r="G29" i="7"/>
  <c r="J29" i="7" s="1"/>
  <c r="F29" i="7"/>
  <c r="E29" i="7"/>
  <c r="I29" i="7" s="1"/>
  <c r="K29" i="7" s="1"/>
  <c r="H92" i="7"/>
  <c r="G92" i="7"/>
  <c r="J92" i="7" s="1"/>
  <c r="F92" i="7"/>
  <c r="E92" i="7"/>
  <c r="I92" i="7" s="1"/>
  <c r="K92" i="7" s="1"/>
  <c r="H61" i="7"/>
  <c r="G61" i="7"/>
  <c r="J61" i="7" s="1"/>
  <c r="F61" i="7"/>
  <c r="E61" i="7"/>
  <c r="H55" i="7"/>
  <c r="G55" i="7"/>
  <c r="J55" i="7" s="1"/>
  <c r="F55" i="7"/>
  <c r="E55" i="7"/>
  <c r="I55" i="7" s="1"/>
  <c r="K55" i="7" s="1"/>
  <c r="H15" i="7"/>
  <c r="G15" i="7"/>
  <c r="J15" i="7" s="1"/>
  <c r="F15" i="7"/>
  <c r="E15" i="7"/>
  <c r="I15" i="7" s="1"/>
  <c r="K15" i="7" s="1"/>
  <c r="H63" i="7"/>
  <c r="G63" i="7"/>
  <c r="J63" i="7" s="1"/>
  <c r="F63" i="7"/>
  <c r="E63" i="7"/>
  <c r="I63" i="7" s="1"/>
  <c r="K63" i="7" s="1"/>
  <c r="H78" i="7"/>
  <c r="G78" i="7"/>
  <c r="J78" i="7" s="1"/>
  <c r="F78" i="7"/>
  <c r="E78" i="7"/>
  <c r="I78" i="7" s="1"/>
  <c r="K78" i="7" s="1"/>
  <c r="H79" i="7"/>
  <c r="G79" i="7"/>
  <c r="J79" i="7" s="1"/>
  <c r="F79" i="7"/>
  <c r="E79" i="7"/>
  <c r="I79" i="7" s="1"/>
  <c r="K79" i="7" s="1"/>
  <c r="H23" i="7"/>
  <c r="G23" i="7"/>
  <c r="J23" i="7" s="1"/>
  <c r="F23" i="7"/>
  <c r="E23" i="7"/>
  <c r="I23" i="7" s="1"/>
  <c r="K23" i="7" s="1"/>
  <c r="H47" i="7"/>
  <c r="G47" i="7"/>
  <c r="J47" i="7" s="1"/>
  <c r="F47" i="7"/>
  <c r="E47" i="7"/>
  <c r="I47" i="7" s="1"/>
  <c r="K47" i="7" s="1"/>
  <c r="H59" i="7"/>
  <c r="G59" i="7"/>
  <c r="J59" i="7" s="1"/>
  <c r="F59" i="7"/>
  <c r="E59" i="7"/>
  <c r="I59" i="7" s="1"/>
  <c r="K59" i="7" s="1"/>
  <c r="H18" i="7"/>
  <c r="G18" i="7"/>
  <c r="J18" i="7" s="1"/>
  <c r="F18" i="7"/>
  <c r="E18" i="7"/>
  <c r="I18" i="7" s="1"/>
  <c r="K18" i="7" s="1"/>
  <c r="H49" i="7"/>
  <c r="G49" i="7"/>
  <c r="J49" i="7" s="1"/>
  <c r="F49" i="7"/>
  <c r="E49" i="7"/>
  <c r="I49" i="7" s="1"/>
  <c r="H19" i="7"/>
  <c r="G19" i="7"/>
  <c r="J19" i="7" s="1"/>
  <c r="F19" i="7"/>
  <c r="E19" i="7"/>
  <c r="I19" i="7" s="1"/>
  <c r="K19" i="7" s="1"/>
  <c r="H77" i="7"/>
  <c r="G77" i="7"/>
  <c r="J77" i="7" s="1"/>
  <c r="F77" i="7"/>
  <c r="E77" i="7"/>
  <c r="I77" i="7" s="1"/>
  <c r="K77" i="7" s="1"/>
  <c r="H22" i="7"/>
  <c r="G22" i="7"/>
  <c r="J22" i="7" s="1"/>
  <c r="F22" i="7"/>
  <c r="E22" i="7"/>
  <c r="I22" i="7" s="1"/>
  <c r="K22" i="7" s="1"/>
  <c r="H35" i="7"/>
  <c r="G35" i="7"/>
  <c r="J35" i="7" s="1"/>
  <c r="F35" i="7"/>
  <c r="E35" i="7"/>
  <c r="I35" i="7" s="1"/>
  <c r="K35" i="7" s="1"/>
  <c r="H62" i="7"/>
  <c r="G62" i="7"/>
  <c r="J62" i="7" s="1"/>
  <c r="F62" i="7"/>
  <c r="E62" i="7"/>
  <c r="I62" i="7" s="1"/>
  <c r="K62" i="7" s="1"/>
  <c r="H44" i="7"/>
  <c r="G44" i="7"/>
  <c r="J44" i="7" s="1"/>
  <c r="F44" i="7"/>
  <c r="E44" i="7"/>
  <c r="I44" i="7" s="1"/>
  <c r="K44" i="7" s="1"/>
  <c r="H6" i="7"/>
  <c r="G6" i="7"/>
  <c r="J6" i="7" s="1"/>
  <c r="F6" i="7"/>
  <c r="E6" i="7"/>
  <c r="I6" i="7" s="1"/>
  <c r="K6" i="7" s="1"/>
  <c r="H56" i="7"/>
  <c r="G56" i="7"/>
  <c r="J56" i="7" s="1"/>
  <c r="F56" i="7"/>
  <c r="E56" i="7"/>
  <c r="I56" i="7" s="1"/>
  <c r="H88" i="7"/>
  <c r="G88" i="7"/>
  <c r="J88" i="7" s="1"/>
  <c r="F88" i="7"/>
  <c r="E88" i="7"/>
  <c r="I88" i="7" s="1"/>
  <c r="K88" i="7" s="1"/>
  <c r="H37" i="7"/>
  <c r="G37" i="7"/>
  <c r="J37" i="7" s="1"/>
  <c r="F37" i="7"/>
  <c r="E37" i="7"/>
  <c r="I37" i="7" s="1"/>
  <c r="K37" i="7" s="1"/>
  <c r="H14" i="7"/>
  <c r="G14" i="7"/>
  <c r="J14" i="7" s="1"/>
  <c r="F14" i="7"/>
  <c r="E14" i="7"/>
  <c r="I14" i="7" s="1"/>
  <c r="K14" i="7" s="1"/>
  <c r="H86" i="7"/>
  <c r="G86" i="7"/>
  <c r="J86" i="7" s="1"/>
  <c r="F86" i="7"/>
  <c r="E86" i="7"/>
  <c r="I86" i="7" s="1"/>
  <c r="H72" i="7"/>
  <c r="G72" i="7"/>
  <c r="J72" i="7" s="1"/>
  <c r="F72" i="7"/>
  <c r="E72" i="7"/>
  <c r="I72" i="7" s="1"/>
  <c r="K72" i="7" s="1"/>
  <c r="H17" i="7"/>
  <c r="G17" i="7"/>
  <c r="J17" i="7" s="1"/>
  <c r="F17" i="7"/>
  <c r="E17" i="7"/>
  <c r="I17" i="7" s="1"/>
  <c r="H30" i="7"/>
  <c r="G30" i="7"/>
  <c r="J30" i="7" s="1"/>
  <c r="F30" i="7"/>
  <c r="E30" i="7"/>
  <c r="I30" i="7" s="1"/>
  <c r="K30" i="7" s="1"/>
  <c r="H38" i="7"/>
  <c r="G38" i="7"/>
  <c r="J38" i="7" s="1"/>
  <c r="F38" i="7"/>
  <c r="E38" i="7"/>
  <c r="H85" i="7"/>
  <c r="G85" i="7"/>
  <c r="J85" i="7" s="1"/>
  <c r="F85" i="7"/>
  <c r="E85" i="7"/>
  <c r="I85" i="7" s="1"/>
  <c r="K85" i="7" s="1"/>
  <c r="H7" i="7"/>
  <c r="G7" i="7"/>
  <c r="J7" i="7" s="1"/>
  <c r="E7" i="7"/>
  <c r="I7" i="7" s="1"/>
  <c r="K7" i="7" s="1"/>
  <c r="H69" i="7"/>
  <c r="G69" i="7"/>
  <c r="J69" i="7" s="1"/>
  <c r="F69" i="7"/>
  <c r="E69" i="7"/>
  <c r="I69" i="7" s="1"/>
  <c r="H4" i="7"/>
  <c r="G4" i="7"/>
  <c r="J4" i="7" s="1"/>
  <c r="F4" i="7"/>
  <c r="E4" i="7"/>
  <c r="H70" i="7"/>
  <c r="G70" i="7"/>
  <c r="J70" i="7" s="1"/>
  <c r="F70" i="7"/>
  <c r="E70" i="7"/>
  <c r="I70" i="7" s="1"/>
  <c r="K70" i="7" s="1"/>
  <c r="H68" i="7"/>
  <c r="G68" i="7"/>
  <c r="J68" i="7" s="1"/>
  <c r="F68" i="7"/>
  <c r="E68" i="7"/>
  <c r="I68" i="7" s="1"/>
  <c r="H42" i="7"/>
  <c r="G42" i="7"/>
  <c r="J42" i="7" s="1"/>
  <c r="F42" i="7"/>
  <c r="E42" i="7"/>
  <c r="I42" i="7" s="1"/>
  <c r="K42" i="7" s="1"/>
  <c r="H8" i="7"/>
  <c r="G8" i="7"/>
  <c r="J8" i="7" s="1"/>
  <c r="F8" i="7"/>
  <c r="E8" i="7"/>
  <c r="I8" i="7" s="1"/>
  <c r="K8" i="7" s="1"/>
  <c r="H39" i="7"/>
  <c r="G39" i="7"/>
  <c r="J39" i="7" s="1"/>
  <c r="F39" i="7"/>
  <c r="E39" i="7"/>
  <c r="I39" i="7" s="1"/>
  <c r="K39" i="7" s="1"/>
  <c r="H60" i="7"/>
  <c r="G60" i="7"/>
  <c r="J60" i="7" s="1"/>
  <c r="F60" i="7"/>
  <c r="E60" i="7"/>
  <c r="I60" i="7" s="1"/>
  <c r="K60" i="7" s="1"/>
  <c r="H11" i="7"/>
  <c r="G11" i="7"/>
  <c r="J11" i="7" s="1"/>
  <c r="F11" i="7"/>
  <c r="E11" i="7"/>
  <c r="I11" i="7" s="1"/>
  <c r="K11" i="7" s="1"/>
  <c r="H58" i="7"/>
  <c r="G58" i="7"/>
  <c r="J58" i="7" s="1"/>
  <c r="F58" i="7"/>
  <c r="E58" i="7"/>
  <c r="I58" i="7" s="1"/>
  <c r="K58" i="7" s="1"/>
  <c r="H65" i="7"/>
  <c r="G65" i="7"/>
  <c r="J65" i="7" s="1"/>
  <c r="F65" i="7"/>
  <c r="E65" i="7"/>
  <c r="I65" i="7" s="1"/>
  <c r="K65" i="7" s="1"/>
  <c r="H66" i="7"/>
  <c r="G66" i="7"/>
  <c r="J66" i="7" s="1"/>
  <c r="F66" i="7"/>
  <c r="E66" i="7"/>
  <c r="I66" i="7" s="1"/>
  <c r="K66" i="7" s="1"/>
  <c r="H75" i="7"/>
  <c r="G75" i="7"/>
  <c r="J75" i="7" s="1"/>
  <c r="F75" i="7"/>
  <c r="E75" i="7"/>
  <c r="I75" i="7" s="1"/>
  <c r="K75" i="7" s="1"/>
  <c r="H34" i="7"/>
  <c r="G34" i="7"/>
  <c r="J34" i="7" s="1"/>
  <c r="F34" i="7"/>
  <c r="E34" i="7"/>
  <c r="I34" i="7" s="1"/>
  <c r="K34" i="7" s="1"/>
  <c r="H2" i="7"/>
  <c r="G2" i="7"/>
  <c r="J2" i="7" s="1"/>
  <c r="F2" i="7"/>
  <c r="E2" i="7"/>
  <c r="I2" i="7" s="1"/>
  <c r="K2" i="7" s="1"/>
  <c r="H31" i="7"/>
  <c r="G31" i="7"/>
  <c r="J31" i="7" s="1"/>
  <c r="F31" i="7"/>
  <c r="E31" i="7"/>
  <c r="I31" i="7" s="1"/>
  <c r="K31" i="7" s="1"/>
  <c r="H25" i="7"/>
  <c r="G25" i="7"/>
  <c r="J25" i="7" s="1"/>
  <c r="F25" i="7"/>
  <c r="E25" i="7"/>
  <c r="I25" i="7" s="1"/>
  <c r="K25" i="7" s="1"/>
  <c r="H5" i="7"/>
  <c r="G5" i="7"/>
  <c r="J5" i="7" s="1"/>
  <c r="F5" i="7"/>
  <c r="E5" i="7"/>
  <c r="I5" i="7" s="1"/>
  <c r="K5" i="7" s="1"/>
  <c r="H26" i="7"/>
  <c r="G26" i="7"/>
  <c r="J26" i="7" s="1"/>
  <c r="F26" i="7"/>
  <c r="E26" i="7"/>
  <c r="I26" i="7" s="1"/>
  <c r="K26" i="7" s="1"/>
  <c r="H40" i="7"/>
  <c r="G40" i="7"/>
  <c r="J40" i="7" s="1"/>
  <c r="F40" i="7"/>
  <c r="E40" i="7"/>
  <c r="I40" i="7" s="1"/>
  <c r="K40" i="7" s="1"/>
  <c r="H74" i="7"/>
  <c r="G74" i="7"/>
  <c r="J74" i="7" s="1"/>
  <c r="F74" i="7"/>
  <c r="E74" i="7"/>
  <c r="I74" i="7" s="1"/>
  <c r="K74" i="7" s="1"/>
  <c r="H80" i="7"/>
  <c r="G80" i="7"/>
  <c r="J80" i="7" s="1"/>
  <c r="F80" i="7"/>
  <c r="E80" i="7"/>
  <c r="I80" i="7" s="1"/>
  <c r="H43" i="7"/>
  <c r="G43" i="7"/>
  <c r="J43" i="7" s="1"/>
  <c r="F43" i="7"/>
  <c r="E43" i="7"/>
  <c r="I43" i="7" s="1"/>
  <c r="H82" i="7"/>
  <c r="G82" i="7"/>
  <c r="J82" i="7" s="1"/>
  <c r="F82" i="7"/>
  <c r="E82" i="7"/>
  <c r="I82" i="7" s="1"/>
  <c r="K82" i="7" s="1"/>
  <c r="I92" i="6"/>
  <c r="H92" i="6"/>
  <c r="G92" i="6"/>
  <c r="J92" i="6" s="1"/>
  <c r="F92" i="6"/>
  <c r="E92" i="6"/>
  <c r="H91" i="6"/>
  <c r="G91" i="6"/>
  <c r="J91" i="6" s="1"/>
  <c r="F91" i="6"/>
  <c r="E91" i="6"/>
  <c r="I91" i="6" s="1"/>
  <c r="K91" i="6" s="1"/>
  <c r="H90" i="6"/>
  <c r="G90" i="6"/>
  <c r="J90" i="6" s="1"/>
  <c r="F90" i="6"/>
  <c r="E90" i="6"/>
  <c r="I90" i="6" s="1"/>
  <c r="K90" i="6" s="1"/>
  <c r="H89" i="6"/>
  <c r="G89" i="6"/>
  <c r="J89" i="6" s="1"/>
  <c r="F89" i="6"/>
  <c r="E89" i="6"/>
  <c r="I89" i="6" s="1"/>
  <c r="K89" i="6" s="1"/>
  <c r="H88" i="6"/>
  <c r="G88" i="6"/>
  <c r="J88" i="6" s="1"/>
  <c r="F88" i="6"/>
  <c r="E88" i="6"/>
  <c r="I88" i="6" s="1"/>
  <c r="K88" i="6" s="1"/>
  <c r="H87" i="6"/>
  <c r="G87" i="6"/>
  <c r="J87" i="6" s="1"/>
  <c r="F87" i="6"/>
  <c r="E87" i="6"/>
  <c r="I87" i="6" s="1"/>
  <c r="K87" i="6" s="1"/>
  <c r="J86" i="6"/>
  <c r="H86" i="6"/>
  <c r="G86" i="6"/>
  <c r="F86" i="6"/>
  <c r="E86" i="6"/>
  <c r="I86" i="6" s="1"/>
  <c r="K86" i="6" s="1"/>
  <c r="H85" i="6"/>
  <c r="G85" i="6"/>
  <c r="J85" i="6" s="1"/>
  <c r="F85" i="6"/>
  <c r="E85" i="6"/>
  <c r="I85" i="6" s="1"/>
  <c r="K85" i="6" s="1"/>
  <c r="H84" i="6"/>
  <c r="G84" i="6"/>
  <c r="J84" i="6" s="1"/>
  <c r="F84" i="6"/>
  <c r="E84" i="6"/>
  <c r="I84" i="6" s="1"/>
  <c r="K84" i="6" s="1"/>
  <c r="H83" i="6"/>
  <c r="G83" i="6"/>
  <c r="J83" i="6" s="1"/>
  <c r="F83" i="6"/>
  <c r="E83" i="6"/>
  <c r="I83" i="6" s="1"/>
  <c r="K83" i="6" s="1"/>
  <c r="H82" i="6"/>
  <c r="G82" i="6"/>
  <c r="J82" i="6" s="1"/>
  <c r="F82" i="6"/>
  <c r="E82" i="6"/>
  <c r="I82" i="6" s="1"/>
  <c r="K82" i="6" s="1"/>
  <c r="H81" i="6"/>
  <c r="G81" i="6"/>
  <c r="J81" i="6" s="1"/>
  <c r="F81" i="6"/>
  <c r="E81" i="6"/>
  <c r="I81" i="6" s="1"/>
  <c r="K81" i="6" s="1"/>
  <c r="H80" i="6"/>
  <c r="G80" i="6"/>
  <c r="J80" i="6" s="1"/>
  <c r="F80" i="6"/>
  <c r="E80" i="6"/>
  <c r="I80" i="6" s="1"/>
  <c r="K80" i="6" s="1"/>
  <c r="H79" i="6"/>
  <c r="G79" i="6"/>
  <c r="J79" i="6" s="1"/>
  <c r="F79" i="6"/>
  <c r="E79" i="6"/>
  <c r="I79" i="6" s="1"/>
  <c r="K79" i="6" s="1"/>
  <c r="H78" i="6"/>
  <c r="G78" i="6"/>
  <c r="J78" i="6" s="1"/>
  <c r="F78" i="6"/>
  <c r="E78" i="6"/>
  <c r="I78" i="6" s="1"/>
  <c r="K78" i="6" s="1"/>
  <c r="H77" i="6"/>
  <c r="G77" i="6"/>
  <c r="J77" i="6" s="1"/>
  <c r="F77" i="6"/>
  <c r="E77" i="6"/>
  <c r="I77" i="6" s="1"/>
  <c r="K77" i="6" s="1"/>
  <c r="H76" i="6"/>
  <c r="G76" i="6"/>
  <c r="J76" i="6" s="1"/>
  <c r="F76" i="6"/>
  <c r="E76" i="6"/>
  <c r="I76" i="6" s="1"/>
  <c r="K76" i="6" s="1"/>
  <c r="H75" i="6"/>
  <c r="G75" i="6"/>
  <c r="J75" i="6" s="1"/>
  <c r="F75" i="6"/>
  <c r="E75" i="6"/>
  <c r="I75" i="6" s="1"/>
  <c r="K75" i="6" s="1"/>
  <c r="H74" i="6"/>
  <c r="G74" i="6"/>
  <c r="J74" i="6" s="1"/>
  <c r="F74" i="6"/>
  <c r="E74" i="6"/>
  <c r="I74" i="6" s="1"/>
  <c r="K74" i="6" s="1"/>
  <c r="H73" i="6"/>
  <c r="G73" i="6"/>
  <c r="J73" i="6" s="1"/>
  <c r="F73" i="6"/>
  <c r="E73" i="6"/>
  <c r="I73" i="6" s="1"/>
  <c r="K73" i="6" s="1"/>
  <c r="J72" i="6"/>
  <c r="H72" i="6"/>
  <c r="G72" i="6"/>
  <c r="F72" i="6"/>
  <c r="E72" i="6"/>
  <c r="I72" i="6" s="1"/>
  <c r="K72" i="6" s="1"/>
  <c r="H71" i="6"/>
  <c r="G71" i="6"/>
  <c r="J71" i="6" s="1"/>
  <c r="F71" i="6"/>
  <c r="E71" i="6"/>
  <c r="I71" i="6" s="1"/>
  <c r="K71" i="6" s="1"/>
  <c r="H70" i="6"/>
  <c r="G70" i="6"/>
  <c r="J70" i="6" s="1"/>
  <c r="F70" i="6"/>
  <c r="E70" i="6"/>
  <c r="I70" i="6" s="1"/>
  <c r="K70" i="6" s="1"/>
  <c r="H69" i="6"/>
  <c r="G69" i="6"/>
  <c r="J69" i="6" s="1"/>
  <c r="F69" i="6"/>
  <c r="E69" i="6"/>
  <c r="I69" i="6" s="1"/>
  <c r="K69" i="6" s="1"/>
  <c r="H68" i="6"/>
  <c r="G68" i="6"/>
  <c r="J68" i="6" s="1"/>
  <c r="F68" i="6"/>
  <c r="E68" i="6"/>
  <c r="I68" i="6" s="1"/>
  <c r="K68" i="6" s="1"/>
  <c r="H67" i="6"/>
  <c r="G67" i="6"/>
  <c r="J67" i="6" s="1"/>
  <c r="F67" i="6"/>
  <c r="E67" i="6"/>
  <c r="I67" i="6" s="1"/>
  <c r="K67" i="6" s="1"/>
  <c r="H66" i="6"/>
  <c r="G66" i="6"/>
  <c r="J66" i="6" s="1"/>
  <c r="F66" i="6"/>
  <c r="E66" i="6"/>
  <c r="I66" i="6" s="1"/>
  <c r="K66" i="6" s="1"/>
  <c r="H65" i="6"/>
  <c r="G65" i="6"/>
  <c r="J65" i="6" s="1"/>
  <c r="F65" i="6"/>
  <c r="E65" i="6"/>
  <c r="I65" i="6" s="1"/>
  <c r="K65" i="6" s="1"/>
  <c r="H64" i="6"/>
  <c r="G64" i="6"/>
  <c r="J64" i="6" s="1"/>
  <c r="F64" i="6"/>
  <c r="E64" i="6"/>
  <c r="I64" i="6" s="1"/>
  <c r="K64" i="6" s="1"/>
  <c r="H63" i="6"/>
  <c r="G63" i="6"/>
  <c r="J63" i="6" s="1"/>
  <c r="F63" i="6"/>
  <c r="E63" i="6"/>
  <c r="I63" i="6" s="1"/>
  <c r="K63" i="6" s="1"/>
  <c r="H62" i="6"/>
  <c r="G62" i="6"/>
  <c r="J62" i="6" s="1"/>
  <c r="F62" i="6"/>
  <c r="E62" i="6"/>
  <c r="I62" i="6" s="1"/>
  <c r="K62" i="6" s="1"/>
  <c r="H61" i="6"/>
  <c r="G61" i="6"/>
  <c r="J61" i="6" s="1"/>
  <c r="F61" i="6"/>
  <c r="E61" i="6"/>
  <c r="I61" i="6" s="1"/>
  <c r="K61" i="6" s="1"/>
  <c r="H60" i="6"/>
  <c r="G60" i="6"/>
  <c r="J60" i="6" s="1"/>
  <c r="F60" i="6"/>
  <c r="E60" i="6"/>
  <c r="I60" i="6" s="1"/>
  <c r="K60" i="6" s="1"/>
  <c r="H59" i="6"/>
  <c r="G59" i="6"/>
  <c r="J59" i="6" s="1"/>
  <c r="F59" i="6"/>
  <c r="E59" i="6"/>
  <c r="I59" i="6" s="1"/>
  <c r="K59" i="6" s="1"/>
  <c r="H58" i="6"/>
  <c r="G58" i="6"/>
  <c r="J58" i="6" s="1"/>
  <c r="F58" i="6"/>
  <c r="E58" i="6"/>
  <c r="I58" i="6" s="1"/>
  <c r="K58" i="6" s="1"/>
  <c r="H57" i="6"/>
  <c r="G57" i="6"/>
  <c r="J57" i="6" s="1"/>
  <c r="F57" i="6"/>
  <c r="E57" i="6"/>
  <c r="I57" i="6" s="1"/>
  <c r="K57" i="6" s="1"/>
  <c r="H56" i="6"/>
  <c r="G56" i="6"/>
  <c r="J56" i="6" s="1"/>
  <c r="F56" i="6"/>
  <c r="E56" i="6"/>
  <c r="I56" i="6" s="1"/>
  <c r="K56" i="6" s="1"/>
  <c r="H55" i="6"/>
  <c r="G55" i="6"/>
  <c r="J55" i="6" s="1"/>
  <c r="F55" i="6"/>
  <c r="E55" i="6"/>
  <c r="I55" i="6" s="1"/>
  <c r="K55" i="6" s="1"/>
  <c r="H54" i="6"/>
  <c r="G54" i="6"/>
  <c r="J54" i="6" s="1"/>
  <c r="F54" i="6"/>
  <c r="E54" i="6"/>
  <c r="I54" i="6" s="1"/>
  <c r="K54" i="6" s="1"/>
  <c r="H53" i="6"/>
  <c r="G53" i="6"/>
  <c r="J53" i="6" s="1"/>
  <c r="F53" i="6"/>
  <c r="E53" i="6"/>
  <c r="I53" i="6" s="1"/>
  <c r="K53" i="6" s="1"/>
  <c r="H52" i="6"/>
  <c r="G52" i="6"/>
  <c r="J52" i="6" s="1"/>
  <c r="F52" i="6"/>
  <c r="E52" i="6"/>
  <c r="I52" i="6" s="1"/>
  <c r="K52" i="6" s="1"/>
  <c r="H51" i="6"/>
  <c r="G51" i="6"/>
  <c r="J51" i="6" s="1"/>
  <c r="F51" i="6"/>
  <c r="E51" i="6"/>
  <c r="I51" i="6" s="1"/>
  <c r="K51" i="6" s="1"/>
  <c r="H50" i="6"/>
  <c r="G50" i="6"/>
  <c r="J50" i="6" s="1"/>
  <c r="F50" i="6"/>
  <c r="E50" i="6"/>
  <c r="I50" i="6" s="1"/>
  <c r="K50" i="6" s="1"/>
  <c r="H49" i="6"/>
  <c r="G49" i="6"/>
  <c r="J49" i="6" s="1"/>
  <c r="F49" i="6"/>
  <c r="E49" i="6"/>
  <c r="I49" i="6" s="1"/>
  <c r="K49" i="6" s="1"/>
  <c r="H48" i="6"/>
  <c r="G48" i="6"/>
  <c r="J48" i="6" s="1"/>
  <c r="F48" i="6"/>
  <c r="E48" i="6"/>
  <c r="I48" i="6" s="1"/>
  <c r="K48" i="6" s="1"/>
  <c r="H47" i="6"/>
  <c r="G47" i="6"/>
  <c r="J47" i="6" s="1"/>
  <c r="F47" i="6"/>
  <c r="E47" i="6"/>
  <c r="I47" i="6" s="1"/>
  <c r="K47" i="6" s="1"/>
  <c r="H46" i="6"/>
  <c r="G46" i="6"/>
  <c r="J46" i="6" s="1"/>
  <c r="F46" i="6"/>
  <c r="E46" i="6"/>
  <c r="I46" i="6" s="1"/>
  <c r="K46" i="6" s="1"/>
  <c r="H45" i="6"/>
  <c r="G45" i="6"/>
  <c r="J45" i="6" s="1"/>
  <c r="F45" i="6"/>
  <c r="E45" i="6"/>
  <c r="I45" i="6" s="1"/>
  <c r="K45" i="6" s="1"/>
  <c r="H44" i="6"/>
  <c r="G44" i="6"/>
  <c r="J44" i="6" s="1"/>
  <c r="F44" i="6"/>
  <c r="E44" i="6"/>
  <c r="I44" i="6" s="1"/>
  <c r="K44" i="6" s="1"/>
  <c r="H43" i="6"/>
  <c r="G43" i="6"/>
  <c r="J43" i="6" s="1"/>
  <c r="F43" i="6"/>
  <c r="E43" i="6"/>
  <c r="I43" i="6" s="1"/>
  <c r="K43" i="6" s="1"/>
  <c r="H42" i="6"/>
  <c r="G42" i="6"/>
  <c r="J42" i="6" s="1"/>
  <c r="F42" i="6"/>
  <c r="E42" i="6"/>
  <c r="I42" i="6" s="1"/>
  <c r="K42" i="6" s="1"/>
  <c r="H41" i="6"/>
  <c r="G41" i="6"/>
  <c r="J41" i="6" s="1"/>
  <c r="F41" i="6"/>
  <c r="E41" i="6"/>
  <c r="I41" i="6" s="1"/>
  <c r="K41" i="6" s="1"/>
  <c r="H40" i="6"/>
  <c r="G40" i="6"/>
  <c r="J40" i="6" s="1"/>
  <c r="F40" i="6"/>
  <c r="E40" i="6"/>
  <c r="I40" i="6" s="1"/>
  <c r="K40" i="6" s="1"/>
  <c r="H39" i="6"/>
  <c r="G39" i="6"/>
  <c r="J39" i="6" s="1"/>
  <c r="F39" i="6"/>
  <c r="E39" i="6"/>
  <c r="I39" i="6" s="1"/>
  <c r="K39" i="6" s="1"/>
  <c r="H38" i="6"/>
  <c r="G38" i="6"/>
  <c r="J38" i="6" s="1"/>
  <c r="F38" i="6"/>
  <c r="E38" i="6"/>
  <c r="I38" i="6" s="1"/>
  <c r="K38" i="6" s="1"/>
  <c r="H37" i="6"/>
  <c r="G37" i="6"/>
  <c r="J37" i="6" s="1"/>
  <c r="F37" i="6"/>
  <c r="E37" i="6"/>
  <c r="I37" i="6" s="1"/>
  <c r="K37" i="6" s="1"/>
  <c r="H36" i="6"/>
  <c r="G36" i="6"/>
  <c r="J36" i="6" s="1"/>
  <c r="F36" i="6"/>
  <c r="E36" i="6"/>
  <c r="I36" i="6" s="1"/>
  <c r="K36" i="6" s="1"/>
  <c r="H35" i="6"/>
  <c r="G35" i="6"/>
  <c r="J35" i="6" s="1"/>
  <c r="F35" i="6"/>
  <c r="E35" i="6"/>
  <c r="I35" i="6" s="1"/>
  <c r="K35" i="6" s="1"/>
  <c r="J34" i="6"/>
  <c r="H34" i="6"/>
  <c r="G34" i="6"/>
  <c r="F34" i="6"/>
  <c r="E34" i="6"/>
  <c r="I34" i="6" s="1"/>
  <c r="K34" i="6" s="1"/>
  <c r="H33" i="6"/>
  <c r="G33" i="6"/>
  <c r="J33" i="6" s="1"/>
  <c r="F33" i="6"/>
  <c r="E33" i="6"/>
  <c r="I33" i="6" s="1"/>
  <c r="K33" i="6" s="1"/>
  <c r="H32" i="6"/>
  <c r="G32" i="6"/>
  <c r="J32" i="6" s="1"/>
  <c r="F32" i="6"/>
  <c r="E32" i="6"/>
  <c r="I32" i="6" s="1"/>
  <c r="K32" i="6" s="1"/>
  <c r="H31" i="6"/>
  <c r="G31" i="6"/>
  <c r="J31" i="6" s="1"/>
  <c r="F31" i="6"/>
  <c r="E31" i="6"/>
  <c r="I31" i="6" s="1"/>
  <c r="K31" i="6" s="1"/>
  <c r="H30" i="6"/>
  <c r="G30" i="6"/>
  <c r="J30" i="6" s="1"/>
  <c r="F30" i="6"/>
  <c r="E30" i="6"/>
  <c r="I30" i="6" s="1"/>
  <c r="K30" i="6" s="1"/>
  <c r="H29" i="6"/>
  <c r="G29" i="6"/>
  <c r="J29" i="6" s="1"/>
  <c r="F29" i="6"/>
  <c r="E29" i="6"/>
  <c r="I29" i="6" s="1"/>
  <c r="K29" i="6" s="1"/>
  <c r="H28" i="6"/>
  <c r="G28" i="6"/>
  <c r="J28" i="6" s="1"/>
  <c r="F28" i="6"/>
  <c r="E28" i="6"/>
  <c r="I28" i="6" s="1"/>
  <c r="K28" i="6" s="1"/>
  <c r="H27" i="6"/>
  <c r="G27" i="6"/>
  <c r="J27" i="6" s="1"/>
  <c r="F27" i="6"/>
  <c r="E27" i="6"/>
  <c r="I27" i="6" s="1"/>
  <c r="K27" i="6" s="1"/>
  <c r="H26" i="6"/>
  <c r="G26" i="6"/>
  <c r="J26" i="6" s="1"/>
  <c r="F26" i="6"/>
  <c r="E26" i="6"/>
  <c r="I26" i="6" s="1"/>
  <c r="K26" i="6" s="1"/>
  <c r="H25" i="6"/>
  <c r="G25" i="6"/>
  <c r="J25" i="6" s="1"/>
  <c r="F25" i="6"/>
  <c r="E25" i="6"/>
  <c r="I25" i="6" s="1"/>
  <c r="K25" i="6" s="1"/>
  <c r="H24" i="6"/>
  <c r="G24" i="6"/>
  <c r="J24" i="6" s="1"/>
  <c r="F24" i="6"/>
  <c r="E24" i="6"/>
  <c r="I24" i="6" s="1"/>
  <c r="K24" i="6" s="1"/>
  <c r="H23" i="6"/>
  <c r="G23" i="6"/>
  <c r="J23" i="6" s="1"/>
  <c r="F23" i="6"/>
  <c r="E23" i="6"/>
  <c r="I23" i="6" s="1"/>
  <c r="K23" i="6" s="1"/>
  <c r="H22" i="6"/>
  <c r="G22" i="6"/>
  <c r="J22" i="6" s="1"/>
  <c r="F22" i="6"/>
  <c r="E22" i="6"/>
  <c r="I22" i="6" s="1"/>
  <c r="K22" i="6" s="1"/>
  <c r="H21" i="6"/>
  <c r="G21" i="6"/>
  <c r="J21" i="6" s="1"/>
  <c r="F21" i="6"/>
  <c r="E21" i="6"/>
  <c r="I21" i="6" s="1"/>
  <c r="K21" i="6" s="1"/>
  <c r="H20" i="6"/>
  <c r="G20" i="6"/>
  <c r="J20" i="6" s="1"/>
  <c r="F20" i="6"/>
  <c r="E20" i="6"/>
  <c r="I20" i="6" s="1"/>
  <c r="K20" i="6" s="1"/>
  <c r="G19" i="6"/>
  <c r="J19" i="6" s="1"/>
  <c r="F19" i="6"/>
  <c r="E19" i="6"/>
  <c r="I19" i="6" s="1"/>
  <c r="K19" i="6" s="1"/>
  <c r="H18" i="6"/>
  <c r="G18" i="6"/>
  <c r="J18" i="6" s="1"/>
  <c r="F18" i="6"/>
  <c r="E18" i="6"/>
  <c r="I18" i="6" s="1"/>
  <c r="K18" i="6" s="1"/>
  <c r="H17" i="6"/>
  <c r="G17" i="6"/>
  <c r="J17" i="6" s="1"/>
  <c r="F17" i="6"/>
  <c r="E17" i="6"/>
  <c r="I17" i="6" s="1"/>
  <c r="K17" i="6" s="1"/>
  <c r="H16" i="6"/>
  <c r="G16" i="6"/>
  <c r="J16" i="6" s="1"/>
  <c r="F16" i="6"/>
  <c r="I16" i="6" s="1"/>
  <c r="E16" i="6"/>
  <c r="H15" i="6"/>
  <c r="G15" i="6"/>
  <c r="J15" i="6" s="1"/>
  <c r="F15" i="6"/>
  <c r="E15" i="6"/>
  <c r="I15" i="6" s="1"/>
  <c r="K15" i="6" s="1"/>
  <c r="H14" i="6"/>
  <c r="G14" i="6"/>
  <c r="J14" i="6" s="1"/>
  <c r="F14" i="6"/>
  <c r="E14" i="6"/>
  <c r="I14" i="6" s="1"/>
  <c r="K14" i="6" s="1"/>
  <c r="H13" i="6"/>
  <c r="G13" i="6"/>
  <c r="J13" i="6" s="1"/>
  <c r="F13" i="6"/>
  <c r="E13" i="6"/>
  <c r="I13" i="6" s="1"/>
  <c r="K13" i="6" s="1"/>
  <c r="H12" i="6"/>
  <c r="G12" i="6"/>
  <c r="J12" i="6" s="1"/>
  <c r="F12" i="6"/>
  <c r="E12" i="6"/>
  <c r="I12" i="6" s="1"/>
  <c r="K12" i="6" s="1"/>
  <c r="H11" i="6"/>
  <c r="G11" i="6"/>
  <c r="J11" i="6" s="1"/>
  <c r="F11" i="6"/>
  <c r="E11" i="6"/>
  <c r="I11" i="6" s="1"/>
  <c r="K11" i="6" s="1"/>
  <c r="H10" i="6"/>
  <c r="G10" i="6"/>
  <c r="J10" i="6" s="1"/>
  <c r="F10" i="6"/>
  <c r="E10" i="6"/>
  <c r="I10" i="6" s="1"/>
  <c r="K10" i="6" s="1"/>
  <c r="H9" i="6"/>
  <c r="G9" i="6"/>
  <c r="J9" i="6" s="1"/>
  <c r="E9" i="6"/>
  <c r="I9" i="6" s="1"/>
  <c r="K9" i="6" s="1"/>
  <c r="H8" i="6"/>
  <c r="G8" i="6"/>
  <c r="J8" i="6" s="1"/>
  <c r="F8" i="6"/>
  <c r="E8" i="6"/>
  <c r="I8" i="6" s="1"/>
  <c r="K8" i="6" s="1"/>
  <c r="H7" i="6"/>
  <c r="G7" i="6"/>
  <c r="J7" i="6" s="1"/>
  <c r="F7" i="6"/>
  <c r="E7" i="6"/>
  <c r="I7" i="6" s="1"/>
  <c r="H6" i="6"/>
  <c r="G6" i="6"/>
  <c r="J6" i="6" s="1"/>
  <c r="F6" i="6"/>
  <c r="E6" i="6"/>
  <c r="I6" i="6" s="1"/>
  <c r="K6" i="6" s="1"/>
  <c r="H5" i="6"/>
  <c r="G5" i="6"/>
  <c r="J5" i="6" s="1"/>
  <c r="F5" i="6"/>
  <c r="E5" i="6"/>
  <c r="I5" i="6" s="1"/>
  <c r="K5" i="6" s="1"/>
  <c r="H4" i="6"/>
  <c r="G4" i="6"/>
  <c r="J4" i="6" s="1"/>
  <c r="F4" i="6"/>
  <c r="E4" i="6"/>
  <c r="I4" i="6" s="1"/>
  <c r="K4" i="6" s="1"/>
  <c r="H3" i="6"/>
  <c r="G3" i="6"/>
  <c r="J3" i="6" s="1"/>
  <c r="F3" i="6"/>
  <c r="E3" i="6"/>
  <c r="I3" i="6" s="1"/>
  <c r="K3" i="6" s="1"/>
  <c r="H2" i="6"/>
  <c r="G2" i="6"/>
  <c r="J2" i="6" s="1"/>
  <c r="F2" i="6"/>
  <c r="I2" i="6"/>
  <c r="K2" i="6" s="1"/>
  <c r="H92" i="5"/>
  <c r="G92" i="5"/>
  <c r="J92" i="5" s="1"/>
  <c r="F92" i="5"/>
  <c r="E92" i="5"/>
  <c r="I92" i="5" s="1"/>
  <c r="K92" i="5" s="1"/>
  <c r="H91" i="5"/>
  <c r="G91" i="5"/>
  <c r="J91" i="5" s="1"/>
  <c r="F91" i="5"/>
  <c r="E91" i="5"/>
  <c r="I91" i="5" s="1"/>
  <c r="K91" i="5" s="1"/>
  <c r="H90" i="5"/>
  <c r="G90" i="5"/>
  <c r="J90" i="5" s="1"/>
  <c r="F90" i="5"/>
  <c r="E90" i="5"/>
  <c r="I90" i="5" s="1"/>
  <c r="K90" i="5" s="1"/>
  <c r="H89" i="5"/>
  <c r="G89" i="5"/>
  <c r="J89" i="5" s="1"/>
  <c r="F89" i="5"/>
  <c r="E89" i="5"/>
  <c r="I89" i="5" s="1"/>
  <c r="K89" i="5" s="1"/>
  <c r="H88" i="5"/>
  <c r="G88" i="5"/>
  <c r="J88" i="5" s="1"/>
  <c r="F88" i="5"/>
  <c r="E88" i="5"/>
  <c r="I88" i="5" s="1"/>
  <c r="K88" i="5" s="1"/>
  <c r="H87" i="5"/>
  <c r="G87" i="5"/>
  <c r="J87" i="5" s="1"/>
  <c r="F87" i="5"/>
  <c r="E87" i="5"/>
  <c r="I87" i="5" s="1"/>
  <c r="K87" i="5" s="1"/>
  <c r="H86" i="5"/>
  <c r="G86" i="5"/>
  <c r="J86" i="5" s="1"/>
  <c r="F86" i="5"/>
  <c r="E86" i="5"/>
  <c r="I86" i="5" s="1"/>
  <c r="K86" i="5" s="1"/>
  <c r="H85" i="5"/>
  <c r="G85" i="5"/>
  <c r="J85" i="5" s="1"/>
  <c r="F85" i="5"/>
  <c r="E85" i="5"/>
  <c r="I85" i="5" s="1"/>
  <c r="K85" i="5" s="1"/>
  <c r="H84" i="5"/>
  <c r="G84" i="5"/>
  <c r="J84" i="5" s="1"/>
  <c r="F84" i="5"/>
  <c r="E84" i="5"/>
  <c r="I84" i="5" s="1"/>
  <c r="K84" i="5" s="1"/>
  <c r="H83" i="5"/>
  <c r="G83" i="5"/>
  <c r="J83" i="5" s="1"/>
  <c r="F83" i="5"/>
  <c r="E83" i="5"/>
  <c r="I83" i="5" s="1"/>
  <c r="K83" i="5" s="1"/>
  <c r="H82" i="5"/>
  <c r="G82" i="5"/>
  <c r="J82" i="5" s="1"/>
  <c r="F82" i="5"/>
  <c r="E82" i="5"/>
  <c r="I82" i="5" s="1"/>
  <c r="K82" i="5" s="1"/>
  <c r="H81" i="5"/>
  <c r="G81" i="5"/>
  <c r="J81" i="5" s="1"/>
  <c r="F81" i="5"/>
  <c r="E81" i="5"/>
  <c r="I81" i="5" s="1"/>
  <c r="K81" i="5" s="1"/>
  <c r="H80" i="5"/>
  <c r="G80" i="5"/>
  <c r="J80" i="5" s="1"/>
  <c r="F80" i="5"/>
  <c r="E80" i="5"/>
  <c r="I80" i="5" s="1"/>
  <c r="K80" i="5" s="1"/>
  <c r="H79" i="5"/>
  <c r="G79" i="5"/>
  <c r="J79" i="5" s="1"/>
  <c r="F79" i="5"/>
  <c r="E79" i="5"/>
  <c r="I79" i="5" s="1"/>
  <c r="K79" i="5" s="1"/>
  <c r="H78" i="5"/>
  <c r="G78" i="5"/>
  <c r="J78" i="5" s="1"/>
  <c r="F78" i="5"/>
  <c r="E78" i="5"/>
  <c r="I78" i="5" s="1"/>
  <c r="K78" i="5" s="1"/>
  <c r="H77" i="5"/>
  <c r="G77" i="5"/>
  <c r="J77" i="5" s="1"/>
  <c r="F77" i="5"/>
  <c r="E77" i="5"/>
  <c r="I77" i="5" s="1"/>
  <c r="K77" i="5" s="1"/>
  <c r="H76" i="5"/>
  <c r="G76" i="5"/>
  <c r="J76" i="5" s="1"/>
  <c r="F76" i="5"/>
  <c r="E76" i="5"/>
  <c r="I76" i="5" s="1"/>
  <c r="K76" i="5" s="1"/>
  <c r="H75" i="5"/>
  <c r="G75" i="5"/>
  <c r="J75" i="5" s="1"/>
  <c r="F75" i="5"/>
  <c r="E75" i="5"/>
  <c r="I75" i="5" s="1"/>
  <c r="K75" i="5" s="1"/>
  <c r="H74" i="5"/>
  <c r="G74" i="5"/>
  <c r="J74" i="5" s="1"/>
  <c r="F74" i="5"/>
  <c r="E74" i="5"/>
  <c r="I74" i="5" s="1"/>
  <c r="K74" i="5" s="1"/>
  <c r="H73" i="5"/>
  <c r="G73" i="5"/>
  <c r="J73" i="5" s="1"/>
  <c r="F73" i="5"/>
  <c r="E73" i="5"/>
  <c r="I73" i="5" s="1"/>
  <c r="K73" i="5" s="1"/>
  <c r="H72" i="5"/>
  <c r="G72" i="5"/>
  <c r="J72" i="5" s="1"/>
  <c r="F72" i="5"/>
  <c r="E72" i="5"/>
  <c r="I72" i="5" s="1"/>
  <c r="K72" i="5" s="1"/>
  <c r="H71" i="5"/>
  <c r="G71" i="5"/>
  <c r="J71" i="5" s="1"/>
  <c r="F71" i="5"/>
  <c r="E71" i="5"/>
  <c r="I71" i="5" s="1"/>
  <c r="K71" i="5" s="1"/>
  <c r="H70" i="5"/>
  <c r="G70" i="5"/>
  <c r="J70" i="5" s="1"/>
  <c r="F70" i="5"/>
  <c r="E70" i="5"/>
  <c r="I70" i="5" s="1"/>
  <c r="K70" i="5" s="1"/>
  <c r="H69" i="5"/>
  <c r="G69" i="5"/>
  <c r="J69" i="5" s="1"/>
  <c r="F69" i="5"/>
  <c r="E69" i="5"/>
  <c r="I69" i="5" s="1"/>
  <c r="K69" i="5" s="1"/>
  <c r="H68" i="5"/>
  <c r="G68" i="5"/>
  <c r="J68" i="5" s="1"/>
  <c r="F68" i="5"/>
  <c r="E68" i="5"/>
  <c r="I68" i="5" s="1"/>
  <c r="K68" i="5" s="1"/>
  <c r="H67" i="5"/>
  <c r="G67" i="5"/>
  <c r="J67" i="5" s="1"/>
  <c r="F67" i="5"/>
  <c r="E67" i="5"/>
  <c r="I67" i="5" s="1"/>
  <c r="K67" i="5" s="1"/>
  <c r="H66" i="5"/>
  <c r="G66" i="5"/>
  <c r="J66" i="5" s="1"/>
  <c r="F66" i="5"/>
  <c r="E66" i="5"/>
  <c r="I66" i="5" s="1"/>
  <c r="K66" i="5" s="1"/>
  <c r="H65" i="5"/>
  <c r="G65" i="5"/>
  <c r="J65" i="5" s="1"/>
  <c r="F65" i="5"/>
  <c r="E65" i="5"/>
  <c r="I65" i="5" s="1"/>
  <c r="K65" i="5" s="1"/>
  <c r="H64" i="5"/>
  <c r="G64" i="5"/>
  <c r="J64" i="5" s="1"/>
  <c r="F64" i="5"/>
  <c r="E64" i="5"/>
  <c r="I64" i="5" s="1"/>
  <c r="K64" i="5" s="1"/>
  <c r="H63" i="5"/>
  <c r="G63" i="5"/>
  <c r="J63" i="5" s="1"/>
  <c r="F63" i="5"/>
  <c r="E63" i="5"/>
  <c r="I63" i="5" s="1"/>
  <c r="K63" i="5" s="1"/>
  <c r="H62" i="5"/>
  <c r="G62" i="5"/>
  <c r="J62" i="5" s="1"/>
  <c r="F62" i="5"/>
  <c r="E62" i="5"/>
  <c r="I62" i="5" s="1"/>
  <c r="K62" i="5" s="1"/>
  <c r="H61" i="5"/>
  <c r="G61" i="5"/>
  <c r="J61" i="5" s="1"/>
  <c r="F61" i="5"/>
  <c r="E61" i="5"/>
  <c r="I61" i="5" s="1"/>
  <c r="K61" i="5" s="1"/>
  <c r="H60" i="5"/>
  <c r="G60" i="5"/>
  <c r="J60" i="5" s="1"/>
  <c r="F60" i="5"/>
  <c r="E60" i="5"/>
  <c r="I60" i="5" s="1"/>
  <c r="K60" i="5" s="1"/>
  <c r="H59" i="5"/>
  <c r="G59" i="5"/>
  <c r="J59" i="5" s="1"/>
  <c r="F59" i="5"/>
  <c r="E59" i="5"/>
  <c r="I59" i="5" s="1"/>
  <c r="K59" i="5" s="1"/>
  <c r="H58" i="5"/>
  <c r="G58" i="5"/>
  <c r="J58" i="5" s="1"/>
  <c r="F58" i="5"/>
  <c r="E58" i="5"/>
  <c r="I58" i="5" s="1"/>
  <c r="K58" i="5" s="1"/>
  <c r="H57" i="5"/>
  <c r="G57" i="5"/>
  <c r="J57" i="5" s="1"/>
  <c r="F57" i="5"/>
  <c r="E57" i="5"/>
  <c r="I57" i="5" s="1"/>
  <c r="K57" i="5" s="1"/>
  <c r="H56" i="5"/>
  <c r="G56" i="5"/>
  <c r="J56" i="5" s="1"/>
  <c r="F56" i="5"/>
  <c r="E56" i="5"/>
  <c r="I56" i="5" s="1"/>
  <c r="K56" i="5" s="1"/>
  <c r="H55" i="5"/>
  <c r="G55" i="5"/>
  <c r="J55" i="5" s="1"/>
  <c r="F55" i="5"/>
  <c r="E55" i="5"/>
  <c r="I55" i="5" s="1"/>
  <c r="K55" i="5" s="1"/>
  <c r="H54" i="5"/>
  <c r="G54" i="5"/>
  <c r="J54" i="5" s="1"/>
  <c r="F54" i="5"/>
  <c r="E54" i="5"/>
  <c r="I54" i="5" s="1"/>
  <c r="K54" i="5" s="1"/>
  <c r="H53" i="5"/>
  <c r="G53" i="5"/>
  <c r="J53" i="5" s="1"/>
  <c r="F53" i="5"/>
  <c r="E53" i="5"/>
  <c r="I53" i="5" s="1"/>
  <c r="K53" i="5" s="1"/>
  <c r="H52" i="5"/>
  <c r="G52" i="5"/>
  <c r="J52" i="5" s="1"/>
  <c r="F52" i="5"/>
  <c r="E52" i="5"/>
  <c r="I52" i="5" s="1"/>
  <c r="K52" i="5" s="1"/>
  <c r="H51" i="5"/>
  <c r="G51" i="5"/>
  <c r="J51" i="5" s="1"/>
  <c r="F51" i="5"/>
  <c r="E51" i="5"/>
  <c r="I51" i="5" s="1"/>
  <c r="K51" i="5" s="1"/>
  <c r="H50" i="5"/>
  <c r="G50" i="5"/>
  <c r="J50" i="5" s="1"/>
  <c r="F50" i="5"/>
  <c r="E50" i="5"/>
  <c r="I50" i="5" s="1"/>
  <c r="K50" i="5" s="1"/>
  <c r="H49" i="5"/>
  <c r="G49" i="5"/>
  <c r="J49" i="5" s="1"/>
  <c r="F49" i="5"/>
  <c r="E49" i="5"/>
  <c r="I49" i="5" s="1"/>
  <c r="K49" i="5" s="1"/>
  <c r="H48" i="5"/>
  <c r="G48" i="5"/>
  <c r="J48" i="5" s="1"/>
  <c r="F48" i="5"/>
  <c r="E48" i="5"/>
  <c r="I48" i="5" s="1"/>
  <c r="K48" i="5" s="1"/>
  <c r="H47" i="5"/>
  <c r="G47" i="5"/>
  <c r="J47" i="5" s="1"/>
  <c r="F47" i="5"/>
  <c r="E47" i="5"/>
  <c r="I47" i="5" s="1"/>
  <c r="K47" i="5" s="1"/>
  <c r="H46" i="5"/>
  <c r="G46" i="5"/>
  <c r="J46" i="5" s="1"/>
  <c r="F46" i="5"/>
  <c r="E46" i="5"/>
  <c r="I46" i="5" s="1"/>
  <c r="K46" i="5" s="1"/>
  <c r="H45" i="5"/>
  <c r="G45" i="5"/>
  <c r="J45" i="5" s="1"/>
  <c r="F45" i="5"/>
  <c r="E45" i="5"/>
  <c r="I45" i="5" s="1"/>
  <c r="K45" i="5" s="1"/>
  <c r="H44" i="5"/>
  <c r="G44" i="5"/>
  <c r="J44" i="5" s="1"/>
  <c r="F44" i="5"/>
  <c r="E44" i="5"/>
  <c r="I44" i="5" s="1"/>
  <c r="K44" i="5" s="1"/>
  <c r="H43" i="5"/>
  <c r="G43" i="5"/>
  <c r="J43" i="5" s="1"/>
  <c r="F43" i="5"/>
  <c r="E43" i="5"/>
  <c r="I43" i="5" s="1"/>
  <c r="K43" i="5" s="1"/>
  <c r="H42" i="5"/>
  <c r="G42" i="5"/>
  <c r="J42" i="5" s="1"/>
  <c r="F42" i="5"/>
  <c r="E42" i="5"/>
  <c r="I42" i="5" s="1"/>
  <c r="K42" i="5" s="1"/>
  <c r="H41" i="5"/>
  <c r="G41" i="5"/>
  <c r="J41" i="5" s="1"/>
  <c r="F41" i="5"/>
  <c r="E41" i="5"/>
  <c r="I41" i="5" s="1"/>
  <c r="K41" i="5" s="1"/>
  <c r="H40" i="5"/>
  <c r="G40" i="5"/>
  <c r="J40" i="5" s="1"/>
  <c r="F40" i="5"/>
  <c r="E40" i="5"/>
  <c r="I40" i="5" s="1"/>
  <c r="K40" i="5" s="1"/>
  <c r="H39" i="5"/>
  <c r="G39" i="5"/>
  <c r="J39" i="5" s="1"/>
  <c r="F39" i="5"/>
  <c r="E39" i="5"/>
  <c r="I39" i="5" s="1"/>
  <c r="K39" i="5" s="1"/>
  <c r="H38" i="5"/>
  <c r="G38" i="5"/>
  <c r="J38" i="5" s="1"/>
  <c r="F38" i="5"/>
  <c r="E38" i="5"/>
  <c r="I38" i="5" s="1"/>
  <c r="K38" i="5" s="1"/>
  <c r="H37" i="5"/>
  <c r="G37" i="5"/>
  <c r="J37" i="5" s="1"/>
  <c r="F37" i="5"/>
  <c r="E37" i="5"/>
  <c r="I37" i="5" s="1"/>
  <c r="K37" i="5" s="1"/>
  <c r="H36" i="5"/>
  <c r="G36" i="5"/>
  <c r="J36" i="5" s="1"/>
  <c r="F36" i="5"/>
  <c r="E36" i="5"/>
  <c r="I36" i="5" s="1"/>
  <c r="K36" i="5" s="1"/>
  <c r="H35" i="5"/>
  <c r="G35" i="5"/>
  <c r="J35" i="5" s="1"/>
  <c r="F35" i="5"/>
  <c r="E35" i="5"/>
  <c r="I35" i="5" s="1"/>
  <c r="K35" i="5" s="1"/>
  <c r="H34" i="5"/>
  <c r="G34" i="5"/>
  <c r="J34" i="5" s="1"/>
  <c r="F34" i="5"/>
  <c r="E34" i="5"/>
  <c r="I34" i="5" s="1"/>
  <c r="K34" i="5" s="1"/>
  <c r="H33" i="5"/>
  <c r="G33" i="5"/>
  <c r="J33" i="5" s="1"/>
  <c r="F33" i="5"/>
  <c r="E33" i="5"/>
  <c r="I33" i="5" s="1"/>
  <c r="K33" i="5" s="1"/>
  <c r="H32" i="5"/>
  <c r="G32" i="5"/>
  <c r="J32" i="5" s="1"/>
  <c r="F32" i="5"/>
  <c r="E32" i="5"/>
  <c r="I32" i="5" s="1"/>
  <c r="K32" i="5" s="1"/>
  <c r="I31" i="5"/>
  <c r="H31" i="5"/>
  <c r="G31" i="5"/>
  <c r="J31" i="5" s="1"/>
  <c r="F31" i="5"/>
  <c r="E31" i="5"/>
  <c r="H30" i="5"/>
  <c r="G30" i="5"/>
  <c r="J30" i="5" s="1"/>
  <c r="F30" i="5"/>
  <c r="E30" i="5"/>
  <c r="I30" i="5" s="1"/>
  <c r="K30" i="5" s="1"/>
  <c r="H29" i="5"/>
  <c r="G29" i="5"/>
  <c r="J29" i="5" s="1"/>
  <c r="F29" i="5"/>
  <c r="E29" i="5"/>
  <c r="I29" i="5" s="1"/>
  <c r="K29" i="5" s="1"/>
  <c r="H28" i="5"/>
  <c r="G28" i="5"/>
  <c r="J28" i="5" s="1"/>
  <c r="F28" i="5"/>
  <c r="E28" i="5"/>
  <c r="I28" i="5" s="1"/>
  <c r="K28" i="5" s="1"/>
  <c r="H27" i="5"/>
  <c r="G27" i="5"/>
  <c r="J27" i="5" s="1"/>
  <c r="F27" i="5"/>
  <c r="E27" i="5"/>
  <c r="I27" i="5" s="1"/>
  <c r="K27" i="5" s="1"/>
  <c r="H26" i="5"/>
  <c r="G26" i="5"/>
  <c r="J26" i="5" s="1"/>
  <c r="F26" i="5"/>
  <c r="E26" i="5"/>
  <c r="I26" i="5" s="1"/>
  <c r="K26" i="5" s="1"/>
  <c r="H25" i="5"/>
  <c r="G25" i="5"/>
  <c r="J25" i="5" s="1"/>
  <c r="F25" i="5"/>
  <c r="E25" i="5"/>
  <c r="I25" i="5" s="1"/>
  <c r="K25" i="5" s="1"/>
  <c r="H24" i="5"/>
  <c r="G24" i="5"/>
  <c r="J24" i="5" s="1"/>
  <c r="F24" i="5"/>
  <c r="E24" i="5"/>
  <c r="I24" i="5" s="1"/>
  <c r="K24" i="5" s="1"/>
  <c r="H23" i="5"/>
  <c r="G23" i="5"/>
  <c r="J23" i="5" s="1"/>
  <c r="F23" i="5"/>
  <c r="E23" i="5"/>
  <c r="I23" i="5" s="1"/>
  <c r="K23" i="5" s="1"/>
  <c r="H22" i="5"/>
  <c r="G22" i="5"/>
  <c r="J22" i="5" s="1"/>
  <c r="F22" i="5"/>
  <c r="E22" i="5"/>
  <c r="I22" i="5" s="1"/>
  <c r="K22" i="5" s="1"/>
  <c r="H21" i="5"/>
  <c r="G21" i="5"/>
  <c r="J21" i="5" s="1"/>
  <c r="F21" i="5"/>
  <c r="E21" i="5"/>
  <c r="I21" i="5" s="1"/>
  <c r="K21" i="5" s="1"/>
  <c r="H20" i="5"/>
  <c r="G20" i="5"/>
  <c r="J20" i="5" s="1"/>
  <c r="F20" i="5"/>
  <c r="E20" i="5"/>
  <c r="I20" i="5" s="1"/>
  <c r="K20" i="5" s="1"/>
  <c r="H19" i="5"/>
  <c r="G19" i="5"/>
  <c r="J19" i="5" s="1"/>
  <c r="F19" i="5"/>
  <c r="E19" i="5"/>
  <c r="I19" i="5" s="1"/>
  <c r="K19" i="5" s="1"/>
  <c r="H18" i="5"/>
  <c r="G18" i="5"/>
  <c r="J18" i="5" s="1"/>
  <c r="F18" i="5"/>
  <c r="E18" i="5"/>
  <c r="I18" i="5" s="1"/>
  <c r="K18" i="5" s="1"/>
  <c r="H17" i="5"/>
  <c r="G17" i="5"/>
  <c r="J17" i="5" s="1"/>
  <c r="F17" i="5"/>
  <c r="E17" i="5"/>
  <c r="I17" i="5" s="1"/>
  <c r="K17" i="5" s="1"/>
  <c r="H16" i="5"/>
  <c r="G16" i="5"/>
  <c r="J16" i="5" s="1"/>
  <c r="F16" i="5"/>
  <c r="E16" i="5"/>
  <c r="I16" i="5" s="1"/>
  <c r="K16" i="5" s="1"/>
  <c r="H15" i="5"/>
  <c r="G15" i="5"/>
  <c r="J15" i="5" s="1"/>
  <c r="F15" i="5"/>
  <c r="E15" i="5"/>
  <c r="I15" i="5" s="1"/>
  <c r="K15" i="5" s="1"/>
  <c r="H14" i="5"/>
  <c r="G14" i="5"/>
  <c r="J14" i="5" s="1"/>
  <c r="F14" i="5"/>
  <c r="E14" i="5"/>
  <c r="I14" i="5" s="1"/>
  <c r="K14" i="5" s="1"/>
  <c r="H13" i="5"/>
  <c r="G13" i="5"/>
  <c r="J13" i="5" s="1"/>
  <c r="F13" i="5"/>
  <c r="E13" i="5"/>
  <c r="I13" i="5" s="1"/>
  <c r="K13" i="5" s="1"/>
  <c r="H12" i="5"/>
  <c r="G12" i="5"/>
  <c r="J12" i="5" s="1"/>
  <c r="F12" i="5"/>
  <c r="E12" i="5"/>
  <c r="I12" i="5" s="1"/>
  <c r="K12" i="5" s="1"/>
  <c r="H11" i="5"/>
  <c r="G11" i="5"/>
  <c r="J11" i="5" s="1"/>
  <c r="F11" i="5"/>
  <c r="E11" i="5"/>
  <c r="I11" i="5" s="1"/>
  <c r="K11" i="5" s="1"/>
  <c r="H10" i="5"/>
  <c r="G10" i="5"/>
  <c r="J10" i="5" s="1"/>
  <c r="F10" i="5"/>
  <c r="E10" i="5"/>
  <c r="I10" i="5" s="1"/>
  <c r="K10" i="5" s="1"/>
  <c r="H9" i="5"/>
  <c r="G9" i="5"/>
  <c r="J9" i="5" s="1"/>
  <c r="F9" i="5"/>
  <c r="E9" i="5"/>
  <c r="I9" i="5" s="1"/>
  <c r="K9" i="5" s="1"/>
  <c r="H8" i="5"/>
  <c r="G8" i="5"/>
  <c r="J8" i="5" s="1"/>
  <c r="F8" i="5"/>
  <c r="E8" i="5"/>
  <c r="I8" i="5" s="1"/>
  <c r="K8" i="5" s="1"/>
  <c r="H7" i="5"/>
  <c r="G7" i="5"/>
  <c r="J7" i="5" s="1"/>
  <c r="F7" i="5"/>
  <c r="E7" i="5"/>
  <c r="I7" i="5" s="1"/>
  <c r="K7" i="5" s="1"/>
  <c r="H6" i="5"/>
  <c r="G6" i="5"/>
  <c r="J6" i="5" s="1"/>
  <c r="F6" i="5"/>
  <c r="E6" i="5"/>
  <c r="I6" i="5" s="1"/>
  <c r="K6" i="5" s="1"/>
  <c r="H5" i="5"/>
  <c r="G5" i="5"/>
  <c r="J5" i="5" s="1"/>
  <c r="F5" i="5"/>
  <c r="E5" i="5"/>
  <c r="I5" i="5" s="1"/>
  <c r="K5" i="5" s="1"/>
  <c r="H4" i="5"/>
  <c r="G4" i="5"/>
  <c r="J4" i="5" s="1"/>
  <c r="F4" i="5"/>
  <c r="E4" i="5"/>
  <c r="I4" i="5" s="1"/>
  <c r="K4" i="5" s="1"/>
  <c r="H3" i="5"/>
  <c r="G3" i="5"/>
  <c r="J3" i="5" s="1"/>
  <c r="F3" i="5"/>
  <c r="E3" i="5"/>
  <c r="I3" i="5" s="1"/>
  <c r="K3" i="5" s="1"/>
  <c r="H2" i="5"/>
  <c r="G2" i="5"/>
  <c r="J2" i="5" s="1"/>
  <c r="F2" i="5"/>
  <c r="E2" i="5"/>
  <c r="I2" i="5" s="1"/>
  <c r="K2" i="5" s="1"/>
  <c r="H92" i="3"/>
  <c r="G92" i="3"/>
  <c r="J92" i="3" s="1"/>
  <c r="F92" i="3"/>
  <c r="E92" i="3"/>
  <c r="I92" i="3" s="1"/>
  <c r="K92" i="3" s="1"/>
  <c r="H91" i="3"/>
  <c r="G91" i="3"/>
  <c r="J91" i="3" s="1"/>
  <c r="F91" i="3"/>
  <c r="E91" i="3"/>
  <c r="I91" i="3" s="1"/>
  <c r="K91" i="3" s="1"/>
  <c r="H90" i="3"/>
  <c r="G90" i="3"/>
  <c r="J90" i="3" s="1"/>
  <c r="F90" i="3"/>
  <c r="E90" i="3"/>
  <c r="I90" i="3" s="1"/>
  <c r="K90" i="3" s="1"/>
  <c r="H89" i="3"/>
  <c r="G89" i="3"/>
  <c r="J89" i="3" s="1"/>
  <c r="F89" i="3"/>
  <c r="E89" i="3"/>
  <c r="I89" i="3" s="1"/>
  <c r="K89" i="3" s="1"/>
  <c r="H88" i="3"/>
  <c r="G88" i="3"/>
  <c r="J88" i="3" s="1"/>
  <c r="F88" i="3"/>
  <c r="E88" i="3"/>
  <c r="I88" i="3" s="1"/>
  <c r="K88" i="3" s="1"/>
  <c r="H87" i="3"/>
  <c r="G87" i="3"/>
  <c r="J87" i="3" s="1"/>
  <c r="F87" i="3"/>
  <c r="E87" i="3"/>
  <c r="I87" i="3" s="1"/>
  <c r="K87" i="3" s="1"/>
  <c r="H86" i="3"/>
  <c r="G86" i="3"/>
  <c r="J86" i="3" s="1"/>
  <c r="F86" i="3"/>
  <c r="E86" i="3"/>
  <c r="I86" i="3" s="1"/>
  <c r="K86" i="3" s="1"/>
  <c r="H85" i="3"/>
  <c r="G85" i="3"/>
  <c r="J85" i="3" s="1"/>
  <c r="F85" i="3"/>
  <c r="E85" i="3"/>
  <c r="I85" i="3" s="1"/>
  <c r="K85" i="3" s="1"/>
  <c r="H84" i="3"/>
  <c r="G84" i="3"/>
  <c r="J84" i="3" s="1"/>
  <c r="F84" i="3"/>
  <c r="E84" i="3"/>
  <c r="I84" i="3" s="1"/>
  <c r="K84" i="3" s="1"/>
  <c r="H83" i="3"/>
  <c r="G83" i="3"/>
  <c r="J83" i="3" s="1"/>
  <c r="F83" i="3"/>
  <c r="E83" i="3"/>
  <c r="I83" i="3" s="1"/>
  <c r="K83" i="3" s="1"/>
  <c r="H82" i="3"/>
  <c r="G82" i="3"/>
  <c r="J82" i="3" s="1"/>
  <c r="F82" i="3"/>
  <c r="E82" i="3"/>
  <c r="I82" i="3" s="1"/>
  <c r="K82" i="3" s="1"/>
  <c r="H81" i="3"/>
  <c r="G81" i="3"/>
  <c r="J81" i="3" s="1"/>
  <c r="F81" i="3"/>
  <c r="E81" i="3"/>
  <c r="I81" i="3" s="1"/>
  <c r="K81" i="3" s="1"/>
  <c r="H80" i="3"/>
  <c r="G80" i="3"/>
  <c r="J80" i="3" s="1"/>
  <c r="F80" i="3"/>
  <c r="E80" i="3"/>
  <c r="I80" i="3" s="1"/>
  <c r="K80" i="3" s="1"/>
  <c r="H79" i="3"/>
  <c r="G79" i="3"/>
  <c r="J79" i="3" s="1"/>
  <c r="F79" i="3"/>
  <c r="E79" i="3"/>
  <c r="I79" i="3" s="1"/>
  <c r="K79" i="3" s="1"/>
  <c r="H78" i="3"/>
  <c r="G78" i="3"/>
  <c r="J78" i="3" s="1"/>
  <c r="F78" i="3"/>
  <c r="E78" i="3"/>
  <c r="I78" i="3" s="1"/>
  <c r="K78" i="3" s="1"/>
  <c r="H77" i="3"/>
  <c r="G77" i="3"/>
  <c r="J77" i="3" s="1"/>
  <c r="F77" i="3"/>
  <c r="E77" i="3"/>
  <c r="I77" i="3" s="1"/>
  <c r="K77" i="3" s="1"/>
  <c r="H76" i="3"/>
  <c r="G76" i="3"/>
  <c r="J76" i="3" s="1"/>
  <c r="F76" i="3"/>
  <c r="E76" i="3"/>
  <c r="I76" i="3" s="1"/>
  <c r="K76" i="3" s="1"/>
  <c r="H75" i="3"/>
  <c r="G75" i="3"/>
  <c r="J75" i="3" s="1"/>
  <c r="F75" i="3"/>
  <c r="E75" i="3"/>
  <c r="I75" i="3" s="1"/>
  <c r="K75" i="3" s="1"/>
  <c r="H74" i="3"/>
  <c r="G74" i="3"/>
  <c r="J74" i="3" s="1"/>
  <c r="F74" i="3"/>
  <c r="E74" i="3"/>
  <c r="I74" i="3" s="1"/>
  <c r="K74" i="3" s="1"/>
  <c r="H73" i="3"/>
  <c r="G73" i="3"/>
  <c r="J73" i="3" s="1"/>
  <c r="F73" i="3"/>
  <c r="E73" i="3"/>
  <c r="I73" i="3" s="1"/>
  <c r="K73" i="3" s="1"/>
  <c r="H72" i="3"/>
  <c r="G72" i="3"/>
  <c r="J72" i="3" s="1"/>
  <c r="F72" i="3"/>
  <c r="E72" i="3"/>
  <c r="I72" i="3" s="1"/>
  <c r="K72" i="3" s="1"/>
  <c r="H71" i="3"/>
  <c r="G71" i="3"/>
  <c r="J71" i="3" s="1"/>
  <c r="F71" i="3"/>
  <c r="E71" i="3"/>
  <c r="I71" i="3" s="1"/>
  <c r="K71" i="3" s="1"/>
  <c r="H70" i="3"/>
  <c r="G70" i="3"/>
  <c r="J70" i="3" s="1"/>
  <c r="F70" i="3"/>
  <c r="E70" i="3"/>
  <c r="I70" i="3" s="1"/>
  <c r="K70" i="3" s="1"/>
  <c r="H69" i="3"/>
  <c r="G69" i="3"/>
  <c r="J69" i="3" s="1"/>
  <c r="F69" i="3"/>
  <c r="E69" i="3"/>
  <c r="I69" i="3" s="1"/>
  <c r="K69" i="3" s="1"/>
  <c r="H68" i="3"/>
  <c r="G68" i="3"/>
  <c r="J68" i="3" s="1"/>
  <c r="F68" i="3"/>
  <c r="E68" i="3"/>
  <c r="I68" i="3" s="1"/>
  <c r="K68" i="3" s="1"/>
  <c r="H67" i="3"/>
  <c r="G67" i="3"/>
  <c r="J67" i="3" s="1"/>
  <c r="F67" i="3"/>
  <c r="E67" i="3"/>
  <c r="I67" i="3" s="1"/>
  <c r="K67" i="3" s="1"/>
  <c r="H66" i="3"/>
  <c r="G66" i="3"/>
  <c r="J66" i="3" s="1"/>
  <c r="F66" i="3"/>
  <c r="E66" i="3"/>
  <c r="I66" i="3" s="1"/>
  <c r="K66" i="3" s="1"/>
  <c r="H65" i="3"/>
  <c r="G65" i="3"/>
  <c r="J65" i="3" s="1"/>
  <c r="F65" i="3"/>
  <c r="E65" i="3"/>
  <c r="I65" i="3" s="1"/>
  <c r="K65" i="3" s="1"/>
  <c r="H64" i="3"/>
  <c r="G64" i="3"/>
  <c r="J64" i="3" s="1"/>
  <c r="F64" i="3"/>
  <c r="E64" i="3"/>
  <c r="I64" i="3" s="1"/>
  <c r="K64" i="3" s="1"/>
  <c r="H63" i="3"/>
  <c r="G63" i="3"/>
  <c r="J63" i="3" s="1"/>
  <c r="F63" i="3"/>
  <c r="E63" i="3"/>
  <c r="I63" i="3" s="1"/>
  <c r="K63" i="3" s="1"/>
  <c r="H62" i="3"/>
  <c r="G62" i="3"/>
  <c r="J62" i="3" s="1"/>
  <c r="F62" i="3"/>
  <c r="E62" i="3"/>
  <c r="I62" i="3" s="1"/>
  <c r="K62" i="3" s="1"/>
  <c r="H61" i="3"/>
  <c r="G61" i="3"/>
  <c r="J61" i="3" s="1"/>
  <c r="F61" i="3"/>
  <c r="E61" i="3"/>
  <c r="I61" i="3" s="1"/>
  <c r="K61" i="3" s="1"/>
  <c r="H60" i="3"/>
  <c r="G60" i="3"/>
  <c r="J60" i="3" s="1"/>
  <c r="F60" i="3"/>
  <c r="E60" i="3"/>
  <c r="I60" i="3" s="1"/>
  <c r="K60" i="3" s="1"/>
  <c r="H59" i="3"/>
  <c r="G59" i="3"/>
  <c r="J59" i="3" s="1"/>
  <c r="F59" i="3"/>
  <c r="E59" i="3"/>
  <c r="I59" i="3" s="1"/>
  <c r="K59" i="3" s="1"/>
  <c r="H58" i="3"/>
  <c r="G58" i="3"/>
  <c r="J58" i="3" s="1"/>
  <c r="F58" i="3"/>
  <c r="E58" i="3"/>
  <c r="I58" i="3" s="1"/>
  <c r="K58" i="3" s="1"/>
  <c r="H57" i="3"/>
  <c r="G57" i="3"/>
  <c r="J57" i="3" s="1"/>
  <c r="F57" i="3"/>
  <c r="E57" i="3"/>
  <c r="I57" i="3" s="1"/>
  <c r="K57" i="3" s="1"/>
  <c r="H56" i="3"/>
  <c r="G56" i="3"/>
  <c r="J56" i="3" s="1"/>
  <c r="F56" i="3"/>
  <c r="E56" i="3"/>
  <c r="I56" i="3" s="1"/>
  <c r="K56" i="3" s="1"/>
  <c r="H55" i="3"/>
  <c r="G55" i="3"/>
  <c r="J55" i="3" s="1"/>
  <c r="F55" i="3"/>
  <c r="E55" i="3"/>
  <c r="I55" i="3" s="1"/>
  <c r="K55" i="3" s="1"/>
  <c r="H54" i="3"/>
  <c r="G54" i="3"/>
  <c r="J54" i="3" s="1"/>
  <c r="F54" i="3"/>
  <c r="E54" i="3"/>
  <c r="I54" i="3" s="1"/>
  <c r="K54" i="3" s="1"/>
  <c r="H53" i="3"/>
  <c r="G53" i="3"/>
  <c r="J53" i="3" s="1"/>
  <c r="F53" i="3"/>
  <c r="E53" i="3"/>
  <c r="I53" i="3" s="1"/>
  <c r="K53" i="3" s="1"/>
  <c r="H52" i="3"/>
  <c r="G52" i="3"/>
  <c r="J52" i="3" s="1"/>
  <c r="F52" i="3"/>
  <c r="E52" i="3"/>
  <c r="I52" i="3" s="1"/>
  <c r="K52" i="3" s="1"/>
  <c r="H51" i="3"/>
  <c r="G51" i="3"/>
  <c r="J51" i="3" s="1"/>
  <c r="F51" i="3"/>
  <c r="E51" i="3"/>
  <c r="I51" i="3" s="1"/>
  <c r="K51" i="3" s="1"/>
  <c r="H50" i="3"/>
  <c r="G50" i="3"/>
  <c r="J50" i="3" s="1"/>
  <c r="F50" i="3"/>
  <c r="E50" i="3"/>
  <c r="I50" i="3" s="1"/>
  <c r="K50" i="3" s="1"/>
  <c r="H49" i="3"/>
  <c r="G49" i="3"/>
  <c r="J49" i="3" s="1"/>
  <c r="F49" i="3"/>
  <c r="E49" i="3"/>
  <c r="I49" i="3" s="1"/>
  <c r="K49" i="3" s="1"/>
  <c r="H48" i="3"/>
  <c r="G48" i="3"/>
  <c r="J48" i="3" s="1"/>
  <c r="F48" i="3"/>
  <c r="E48" i="3"/>
  <c r="I48" i="3" s="1"/>
  <c r="K48" i="3" s="1"/>
  <c r="H47" i="3"/>
  <c r="G47" i="3"/>
  <c r="J47" i="3" s="1"/>
  <c r="F47" i="3"/>
  <c r="E47" i="3"/>
  <c r="I47" i="3" s="1"/>
  <c r="K47" i="3" s="1"/>
  <c r="H46" i="3"/>
  <c r="G46" i="3"/>
  <c r="J46" i="3" s="1"/>
  <c r="F46" i="3"/>
  <c r="E46" i="3"/>
  <c r="I46" i="3" s="1"/>
  <c r="K46" i="3" s="1"/>
  <c r="H45" i="3"/>
  <c r="G45" i="3"/>
  <c r="J45" i="3" s="1"/>
  <c r="F45" i="3"/>
  <c r="E45" i="3"/>
  <c r="I45" i="3" s="1"/>
  <c r="K45" i="3" s="1"/>
  <c r="H44" i="3"/>
  <c r="G44" i="3"/>
  <c r="J44" i="3" s="1"/>
  <c r="F44" i="3"/>
  <c r="E44" i="3"/>
  <c r="I44" i="3" s="1"/>
  <c r="K44" i="3" s="1"/>
  <c r="H43" i="3"/>
  <c r="G43" i="3"/>
  <c r="J43" i="3" s="1"/>
  <c r="F43" i="3"/>
  <c r="E43" i="3"/>
  <c r="I43" i="3" s="1"/>
  <c r="K43" i="3" s="1"/>
  <c r="H42" i="3"/>
  <c r="G42" i="3"/>
  <c r="J42" i="3" s="1"/>
  <c r="F42" i="3"/>
  <c r="E42" i="3"/>
  <c r="I42" i="3" s="1"/>
  <c r="K42" i="3" s="1"/>
  <c r="H41" i="3"/>
  <c r="G41" i="3"/>
  <c r="J41" i="3" s="1"/>
  <c r="F41" i="3"/>
  <c r="E41" i="3"/>
  <c r="I41" i="3" s="1"/>
  <c r="K41" i="3" s="1"/>
  <c r="H40" i="3"/>
  <c r="G40" i="3"/>
  <c r="J40" i="3" s="1"/>
  <c r="F40" i="3"/>
  <c r="E40" i="3"/>
  <c r="I40" i="3" s="1"/>
  <c r="K40" i="3" s="1"/>
  <c r="H39" i="3"/>
  <c r="G39" i="3"/>
  <c r="J39" i="3" s="1"/>
  <c r="F39" i="3"/>
  <c r="E39" i="3"/>
  <c r="I39" i="3" s="1"/>
  <c r="K39" i="3" s="1"/>
  <c r="H38" i="3"/>
  <c r="G38" i="3"/>
  <c r="J38" i="3" s="1"/>
  <c r="F38" i="3"/>
  <c r="E38" i="3"/>
  <c r="I38" i="3" s="1"/>
  <c r="K38" i="3" s="1"/>
  <c r="H37" i="3"/>
  <c r="G37" i="3"/>
  <c r="J37" i="3" s="1"/>
  <c r="F37" i="3"/>
  <c r="E37" i="3"/>
  <c r="I37" i="3" s="1"/>
  <c r="K37" i="3" s="1"/>
  <c r="H36" i="3"/>
  <c r="G36" i="3"/>
  <c r="J36" i="3" s="1"/>
  <c r="F36" i="3"/>
  <c r="E36" i="3"/>
  <c r="I36" i="3" s="1"/>
  <c r="K36" i="3" s="1"/>
  <c r="H35" i="3"/>
  <c r="G35" i="3"/>
  <c r="J35" i="3" s="1"/>
  <c r="F35" i="3"/>
  <c r="E35" i="3"/>
  <c r="I35" i="3" s="1"/>
  <c r="K35" i="3" s="1"/>
  <c r="H34" i="3"/>
  <c r="G34" i="3"/>
  <c r="J34" i="3" s="1"/>
  <c r="F34" i="3"/>
  <c r="E34" i="3"/>
  <c r="I34" i="3" s="1"/>
  <c r="K34" i="3" s="1"/>
  <c r="H33" i="3"/>
  <c r="G33" i="3"/>
  <c r="J33" i="3" s="1"/>
  <c r="F33" i="3"/>
  <c r="E33" i="3"/>
  <c r="I33" i="3" s="1"/>
  <c r="K33" i="3" s="1"/>
  <c r="H32" i="3"/>
  <c r="G32" i="3"/>
  <c r="J32" i="3" s="1"/>
  <c r="F32" i="3"/>
  <c r="E32" i="3"/>
  <c r="I32" i="3" s="1"/>
  <c r="K32" i="3" s="1"/>
  <c r="H31" i="3"/>
  <c r="G31" i="3"/>
  <c r="J31" i="3" s="1"/>
  <c r="F31" i="3"/>
  <c r="E31" i="3"/>
  <c r="I31" i="3" s="1"/>
  <c r="K31" i="3" s="1"/>
  <c r="H30" i="3"/>
  <c r="G30" i="3"/>
  <c r="J30" i="3" s="1"/>
  <c r="F30" i="3"/>
  <c r="E30" i="3"/>
  <c r="I30" i="3" s="1"/>
  <c r="K30" i="3" s="1"/>
  <c r="H29" i="3"/>
  <c r="G29" i="3"/>
  <c r="J29" i="3" s="1"/>
  <c r="F29" i="3"/>
  <c r="E29" i="3"/>
  <c r="I29" i="3" s="1"/>
  <c r="K29" i="3" s="1"/>
  <c r="H28" i="3"/>
  <c r="G28" i="3"/>
  <c r="J28" i="3" s="1"/>
  <c r="F28" i="3"/>
  <c r="E28" i="3"/>
  <c r="I28" i="3" s="1"/>
  <c r="K28" i="3" s="1"/>
  <c r="H27" i="3"/>
  <c r="G27" i="3"/>
  <c r="J27" i="3" s="1"/>
  <c r="F27" i="3"/>
  <c r="E27" i="3"/>
  <c r="I27" i="3" s="1"/>
  <c r="K27" i="3" s="1"/>
  <c r="H26" i="3"/>
  <c r="G26" i="3"/>
  <c r="J26" i="3" s="1"/>
  <c r="F26" i="3"/>
  <c r="E26" i="3"/>
  <c r="I26" i="3" s="1"/>
  <c r="K26" i="3" s="1"/>
  <c r="H25" i="3"/>
  <c r="G25" i="3"/>
  <c r="J25" i="3" s="1"/>
  <c r="F25" i="3"/>
  <c r="E25" i="3"/>
  <c r="I25" i="3" s="1"/>
  <c r="K25" i="3" s="1"/>
  <c r="H24" i="3"/>
  <c r="G24" i="3"/>
  <c r="J24" i="3" s="1"/>
  <c r="F24" i="3"/>
  <c r="E24" i="3"/>
  <c r="I24" i="3" s="1"/>
  <c r="K24" i="3" s="1"/>
  <c r="H23" i="3"/>
  <c r="G23" i="3"/>
  <c r="J23" i="3" s="1"/>
  <c r="F23" i="3"/>
  <c r="E23" i="3"/>
  <c r="I23" i="3" s="1"/>
  <c r="K23" i="3" s="1"/>
  <c r="H22" i="3"/>
  <c r="G22" i="3"/>
  <c r="J22" i="3" s="1"/>
  <c r="F22" i="3"/>
  <c r="E22" i="3"/>
  <c r="I22" i="3" s="1"/>
  <c r="K22" i="3" s="1"/>
  <c r="H21" i="3"/>
  <c r="G21" i="3"/>
  <c r="J21" i="3" s="1"/>
  <c r="F21" i="3"/>
  <c r="E21" i="3"/>
  <c r="I21" i="3" s="1"/>
  <c r="K21" i="3" s="1"/>
  <c r="H20" i="3"/>
  <c r="G20" i="3"/>
  <c r="J20" i="3" s="1"/>
  <c r="F20" i="3"/>
  <c r="E20" i="3"/>
  <c r="I20" i="3" s="1"/>
  <c r="K20" i="3" s="1"/>
  <c r="H19" i="3"/>
  <c r="G19" i="3"/>
  <c r="J19" i="3" s="1"/>
  <c r="F19" i="3"/>
  <c r="E19" i="3"/>
  <c r="I19" i="3" s="1"/>
  <c r="K19" i="3" s="1"/>
  <c r="H18" i="3"/>
  <c r="G18" i="3"/>
  <c r="J18" i="3" s="1"/>
  <c r="F18" i="3"/>
  <c r="E18" i="3"/>
  <c r="I18" i="3" s="1"/>
  <c r="K18" i="3" s="1"/>
  <c r="H17" i="3"/>
  <c r="G17" i="3"/>
  <c r="J17" i="3" s="1"/>
  <c r="F17" i="3"/>
  <c r="E17" i="3"/>
  <c r="I17" i="3" s="1"/>
  <c r="K17" i="3" s="1"/>
  <c r="H16" i="3"/>
  <c r="G16" i="3"/>
  <c r="J16" i="3" s="1"/>
  <c r="F16" i="3"/>
  <c r="E16" i="3"/>
  <c r="I16" i="3" s="1"/>
  <c r="K16" i="3" s="1"/>
  <c r="H15" i="3"/>
  <c r="G15" i="3"/>
  <c r="J15" i="3" s="1"/>
  <c r="F15" i="3"/>
  <c r="E15" i="3"/>
  <c r="I15" i="3" s="1"/>
  <c r="K15" i="3" s="1"/>
  <c r="H14" i="3"/>
  <c r="G14" i="3"/>
  <c r="J14" i="3" s="1"/>
  <c r="F14" i="3"/>
  <c r="E14" i="3"/>
  <c r="I14" i="3" s="1"/>
  <c r="K14" i="3" s="1"/>
  <c r="H13" i="3"/>
  <c r="G13" i="3"/>
  <c r="J13" i="3" s="1"/>
  <c r="F13" i="3"/>
  <c r="E13" i="3"/>
  <c r="I13" i="3" s="1"/>
  <c r="K13" i="3" s="1"/>
  <c r="H12" i="3"/>
  <c r="G12" i="3"/>
  <c r="J12" i="3" s="1"/>
  <c r="F12" i="3"/>
  <c r="E12" i="3"/>
  <c r="I12" i="3" s="1"/>
  <c r="K12" i="3" s="1"/>
  <c r="H11" i="3"/>
  <c r="G11" i="3"/>
  <c r="J11" i="3" s="1"/>
  <c r="F11" i="3"/>
  <c r="E11" i="3"/>
  <c r="I11" i="3" s="1"/>
  <c r="K11" i="3" s="1"/>
  <c r="H10" i="3"/>
  <c r="G10" i="3"/>
  <c r="J10" i="3" s="1"/>
  <c r="F10" i="3"/>
  <c r="E10" i="3"/>
  <c r="I10" i="3" s="1"/>
  <c r="K10" i="3" s="1"/>
  <c r="H9" i="3"/>
  <c r="G9" i="3"/>
  <c r="J9" i="3" s="1"/>
  <c r="F9" i="3"/>
  <c r="E9" i="3"/>
  <c r="I9" i="3" s="1"/>
  <c r="K9" i="3" s="1"/>
  <c r="H8" i="3"/>
  <c r="G8" i="3"/>
  <c r="J8" i="3" s="1"/>
  <c r="F8" i="3"/>
  <c r="E8" i="3"/>
  <c r="I8" i="3" s="1"/>
  <c r="K8" i="3" s="1"/>
  <c r="H7" i="3"/>
  <c r="G7" i="3"/>
  <c r="J7" i="3" s="1"/>
  <c r="F7" i="3"/>
  <c r="E7" i="3"/>
  <c r="I7" i="3" s="1"/>
  <c r="K7" i="3" s="1"/>
  <c r="H6" i="3"/>
  <c r="G6" i="3"/>
  <c r="J6" i="3" s="1"/>
  <c r="F6" i="3"/>
  <c r="E6" i="3"/>
  <c r="I6" i="3" s="1"/>
  <c r="K6" i="3" s="1"/>
  <c r="H5" i="3"/>
  <c r="G5" i="3"/>
  <c r="J5" i="3" s="1"/>
  <c r="F5" i="3"/>
  <c r="E5" i="3"/>
  <c r="I5" i="3" s="1"/>
  <c r="K5" i="3" s="1"/>
  <c r="H4" i="3"/>
  <c r="G4" i="3"/>
  <c r="J4" i="3" s="1"/>
  <c r="F4" i="3"/>
  <c r="E4" i="3"/>
  <c r="I4" i="3" s="1"/>
  <c r="K4" i="3" s="1"/>
  <c r="H3" i="3"/>
  <c r="G3" i="3"/>
  <c r="J3" i="3" s="1"/>
  <c r="F3" i="3"/>
  <c r="E3" i="3"/>
  <c r="I3" i="3" s="1"/>
  <c r="K3" i="3" s="1"/>
  <c r="H2" i="3"/>
  <c r="G2" i="3"/>
  <c r="J2" i="3" s="1"/>
  <c r="F2" i="3"/>
  <c r="E2" i="3"/>
  <c r="I2" i="3" s="1"/>
  <c r="K2" i="3" s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18" i="2"/>
  <c r="H17" i="2"/>
  <c r="G17" i="2"/>
  <c r="J17" i="2" s="1"/>
  <c r="F17" i="2"/>
  <c r="E17" i="2"/>
  <c r="I17" i="2" s="1"/>
  <c r="H16" i="2"/>
  <c r="G16" i="2"/>
  <c r="J16" i="2" s="1"/>
  <c r="F16" i="2"/>
  <c r="E16" i="2"/>
  <c r="I16" i="2" s="1"/>
  <c r="K16" i="2" s="1"/>
  <c r="H15" i="2"/>
  <c r="G15" i="2"/>
  <c r="J15" i="2" s="1"/>
  <c r="F15" i="2"/>
  <c r="E15" i="2"/>
  <c r="I15" i="2" s="1"/>
  <c r="K15" i="2" s="1"/>
  <c r="H14" i="2"/>
  <c r="G14" i="2"/>
  <c r="J14" i="2" s="1"/>
  <c r="F14" i="2"/>
  <c r="E14" i="2"/>
  <c r="I14" i="2" s="1"/>
  <c r="K14" i="2" s="1"/>
  <c r="H13" i="2"/>
  <c r="G13" i="2"/>
  <c r="J13" i="2" s="1"/>
  <c r="F13" i="2"/>
  <c r="E13" i="2"/>
  <c r="I13" i="2" s="1"/>
  <c r="K13" i="2" s="1"/>
  <c r="H12" i="2"/>
  <c r="G12" i="2"/>
  <c r="J12" i="2" s="1"/>
  <c r="F12" i="2"/>
  <c r="E12" i="2"/>
  <c r="I12" i="2" s="1"/>
  <c r="K12" i="2" s="1"/>
  <c r="H11" i="2"/>
  <c r="G11" i="2"/>
  <c r="J11" i="2" s="1"/>
  <c r="F11" i="2"/>
  <c r="E11" i="2"/>
  <c r="I11" i="2" s="1"/>
  <c r="K11" i="2" s="1"/>
  <c r="H10" i="2"/>
  <c r="G10" i="2"/>
  <c r="J10" i="2" s="1"/>
  <c r="F10" i="2"/>
  <c r="E10" i="2"/>
  <c r="I10" i="2" s="1"/>
  <c r="K10" i="2" s="1"/>
  <c r="H9" i="2"/>
  <c r="G9" i="2"/>
  <c r="J9" i="2" s="1"/>
  <c r="F9" i="2"/>
  <c r="E9" i="2"/>
  <c r="I9" i="2" s="1"/>
  <c r="K9" i="2" s="1"/>
  <c r="H8" i="2"/>
  <c r="G8" i="2"/>
  <c r="J8" i="2" s="1"/>
  <c r="F8" i="2"/>
  <c r="E8" i="2"/>
  <c r="I8" i="2" s="1"/>
  <c r="K8" i="2" s="1"/>
  <c r="H7" i="2"/>
  <c r="G7" i="2"/>
  <c r="J7" i="2" s="1"/>
  <c r="F7" i="2"/>
  <c r="E7" i="2"/>
  <c r="I7" i="2" s="1"/>
  <c r="K7" i="2" s="1"/>
  <c r="H6" i="2"/>
  <c r="G6" i="2"/>
  <c r="J6" i="2" s="1"/>
  <c r="F6" i="2"/>
  <c r="E6" i="2"/>
  <c r="I6" i="2" s="1"/>
  <c r="K6" i="2" s="1"/>
  <c r="H5" i="2"/>
  <c r="G5" i="2"/>
  <c r="J5" i="2" s="1"/>
  <c r="F5" i="2"/>
  <c r="E5" i="2"/>
  <c r="I5" i="2" s="1"/>
  <c r="K5" i="2" s="1"/>
  <c r="H4" i="2"/>
  <c r="G4" i="2"/>
  <c r="J4" i="2" s="1"/>
  <c r="F4" i="2"/>
  <c r="E4" i="2"/>
  <c r="I4" i="2" s="1"/>
  <c r="K4" i="2" s="1"/>
  <c r="H3" i="2"/>
  <c r="G3" i="2"/>
  <c r="J3" i="2" s="1"/>
  <c r="F3" i="2"/>
  <c r="E3" i="2"/>
  <c r="I3" i="2" s="1"/>
  <c r="K3" i="2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G17" i="1"/>
  <c r="J17" i="1" s="1"/>
  <c r="G2" i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I56" i="1" s="1"/>
  <c r="E57" i="1"/>
  <c r="I57" i="1" s="1"/>
  <c r="E58" i="1"/>
  <c r="I58" i="1" s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H16" i="1"/>
  <c r="G16" i="1"/>
  <c r="J16" i="1" s="1"/>
  <c r="E16" i="1"/>
  <c r="H15" i="1"/>
  <c r="G15" i="1"/>
  <c r="J15" i="1" s="1"/>
  <c r="F15" i="1"/>
  <c r="E15" i="1"/>
  <c r="I15" i="1" s="1"/>
  <c r="H14" i="1"/>
  <c r="G14" i="1"/>
  <c r="J14" i="1" s="1"/>
  <c r="F14" i="1"/>
  <c r="E14" i="1"/>
  <c r="I14" i="1" s="1"/>
  <c r="K14" i="1" s="1"/>
  <c r="H13" i="1"/>
  <c r="G13" i="1"/>
  <c r="J13" i="1" s="1"/>
  <c r="F13" i="1"/>
  <c r="E13" i="1"/>
  <c r="I13" i="1" s="1"/>
  <c r="K13" i="1" s="1"/>
  <c r="H12" i="1"/>
  <c r="G12" i="1"/>
  <c r="J12" i="1" s="1"/>
  <c r="F12" i="1"/>
  <c r="E12" i="1"/>
  <c r="I12" i="1" s="1"/>
  <c r="H11" i="1"/>
  <c r="G11" i="1"/>
  <c r="J11" i="1" s="1"/>
  <c r="F11" i="1"/>
  <c r="E11" i="1"/>
  <c r="I11" i="1" s="1"/>
  <c r="K11" i="1" s="1"/>
  <c r="H10" i="1"/>
  <c r="G10" i="1"/>
  <c r="J10" i="1" s="1"/>
  <c r="F10" i="1"/>
  <c r="E10" i="1"/>
  <c r="I10" i="1" s="1"/>
  <c r="K10" i="1" s="1"/>
  <c r="H9" i="1"/>
  <c r="G9" i="1"/>
  <c r="J9" i="1" s="1"/>
  <c r="F9" i="1"/>
  <c r="E9" i="1"/>
  <c r="I9" i="1" s="1"/>
  <c r="K9" i="1" s="1"/>
  <c r="H8" i="1"/>
  <c r="G8" i="1"/>
  <c r="J8" i="1" s="1"/>
  <c r="F8" i="1"/>
  <c r="E8" i="1"/>
  <c r="I8" i="1" s="1"/>
  <c r="K8" i="1" s="1"/>
  <c r="H7" i="1"/>
  <c r="G7" i="1"/>
  <c r="J7" i="1" s="1"/>
  <c r="F7" i="1"/>
  <c r="E7" i="1"/>
  <c r="I7" i="1" s="1"/>
  <c r="K7" i="1" s="1"/>
  <c r="H6" i="1"/>
  <c r="G6" i="1"/>
  <c r="F6" i="1"/>
  <c r="E6" i="1"/>
  <c r="I6" i="1" s="1"/>
  <c r="H5" i="1"/>
  <c r="G5" i="1"/>
  <c r="J5" i="1" s="1"/>
  <c r="F5" i="1"/>
  <c r="E5" i="1"/>
  <c r="H4" i="1"/>
  <c r="G4" i="1"/>
  <c r="J4" i="1" s="1"/>
  <c r="F4" i="1"/>
  <c r="E4" i="1"/>
  <c r="I4" i="1" s="1"/>
  <c r="H3" i="1"/>
  <c r="G3" i="1"/>
  <c r="J3" i="1" s="1"/>
  <c r="F3" i="1"/>
  <c r="E3" i="1"/>
  <c r="I3" i="1" s="1"/>
  <c r="K3" i="1" s="1"/>
  <c r="H2" i="1"/>
  <c r="F2" i="1"/>
  <c r="E2" i="1"/>
  <c r="J6" i="1" l="1"/>
  <c r="I5" i="1"/>
  <c r="K5" i="1" s="1"/>
  <c r="K4" i="1"/>
  <c r="K6" i="1"/>
  <c r="I2" i="1"/>
  <c r="K15" i="1"/>
  <c r="I38" i="7"/>
  <c r="K38" i="7" s="1"/>
  <c r="K87" i="7"/>
  <c r="K68" i="7"/>
  <c r="K41" i="7"/>
  <c r="I4" i="7"/>
  <c r="K4" i="7" s="1"/>
  <c r="K80" i="7"/>
  <c r="I61" i="7"/>
  <c r="K61" i="7" s="1"/>
  <c r="K49" i="7"/>
  <c r="K56" i="7"/>
  <c r="K69" i="7"/>
  <c r="I3" i="7"/>
  <c r="K36" i="7"/>
  <c r="K43" i="7"/>
  <c r="K86" i="7"/>
  <c r="K3" i="7"/>
  <c r="K17" i="7"/>
  <c r="K17" i="2"/>
  <c r="N22" i="9"/>
  <c r="L11" i="9"/>
  <c r="N11" i="9" s="1"/>
  <c r="N83" i="9"/>
  <c r="N91" i="9"/>
  <c r="N63" i="9"/>
  <c r="N21" i="9"/>
  <c r="N26" i="9"/>
  <c r="K16" i="6"/>
  <c r="K92" i="6"/>
  <c r="K31" i="5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J32" i="1"/>
  <c r="J33" i="1"/>
  <c r="J34" i="1"/>
  <c r="J35" i="1"/>
  <c r="J36" i="1"/>
  <c r="J37" i="1"/>
  <c r="J38" i="1"/>
  <c r="J39" i="1"/>
  <c r="J40" i="1"/>
  <c r="J41" i="1"/>
  <c r="J42" i="1"/>
  <c r="J89" i="1"/>
  <c r="J90" i="1"/>
  <c r="J91" i="1"/>
  <c r="J92" i="1"/>
  <c r="I90" i="1"/>
  <c r="K90" i="1" s="1"/>
  <c r="I91" i="1"/>
  <c r="K91" i="1" s="1"/>
  <c r="I92" i="1"/>
  <c r="K92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J43" i="1"/>
  <c r="J44" i="1"/>
  <c r="J45" i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J54" i="1"/>
  <c r="J55" i="1"/>
  <c r="J56" i="1"/>
  <c r="K56" i="1" s="1"/>
  <c r="J57" i="1"/>
  <c r="K57" i="1" s="1"/>
  <c r="J58" i="1"/>
  <c r="K58" i="1" s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2" i="1"/>
  <c r="K12" i="1"/>
  <c r="K32" i="1" l="1"/>
  <c r="K33" i="1"/>
  <c r="K34" i="1"/>
  <c r="K35" i="1"/>
  <c r="K36" i="1"/>
  <c r="K37" i="1"/>
  <c r="K38" i="1"/>
  <c r="K39" i="1"/>
  <c r="K40" i="1"/>
  <c r="K41" i="1"/>
  <c r="K42" i="1"/>
  <c r="K89" i="1"/>
  <c r="K2" i="1"/>
  <c r="K44" i="1"/>
  <c r="K45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3" i="1"/>
  <c r="K54" i="1"/>
  <c r="K55" i="1"/>
  <c r="K43" i="1"/>
  <c r="C10" i="2"/>
</calcChain>
</file>

<file path=xl/sharedStrings.xml><?xml version="1.0" encoding="utf-8"?>
<sst xmlns="http://schemas.openxmlformats.org/spreadsheetml/2006/main" count="1325" uniqueCount="151">
  <si>
    <t>Emp ID</t>
  </si>
  <si>
    <t>Employee Name</t>
  </si>
  <si>
    <t>Department</t>
  </si>
  <si>
    <t>Basic_Sal</t>
  </si>
  <si>
    <t>HRA</t>
  </si>
  <si>
    <t>DA</t>
  </si>
  <si>
    <t>PF</t>
  </si>
  <si>
    <t>PT</t>
  </si>
  <si>
    <t>Gross</t>
  </si>
  <si>
    <t>Deduction</t>
  </si>
  <si>
    <t>Net_Sal</t>
  </si>
  <si>
    <t>Tejswini Doundkar</t>
  </si>
  <si>
    <t>Sales</t>
  </si>
  <si>
    <t>Minakshi Narke</t>
  </si>
  <si>
    <t>Marketing</t>
  </si>
  <si>
    <t>Swati More</t>
  </si>
  <si>
    <t>Training</t>
  </si>
  <si>
    <t>Sidhu Kamte</t>
  </si>
  <si>
    <t>Admin</t>
  </si>
  <si>
    <t>Mayur Gore</t>
  </si>
  <si>
    <t>Legal</t>
  </si>
  <si>
    <t>Hemal Cholangi</t>
  </si>
  <si>
    <t>Aditya Birla</t>
  </si>
  <si>
    <t>Harsh Londhe</t>
  </si>
  <si>
    <t>Kaveri Pagare</t>
  </si>
  <si>
    <t>Aankush Lokhande</t>
  </si>
  <si>
    <t>Kishori Mehata</t>
  </si>
  <si>
    <t>Sonalika Bhide</t>
  </si>
  <si>
    <t>Roshan Sodhi</t>
  </si>
  <si>
    <t>Rohini Markute</t>
  </si>
  <si>
    <t>Raja Verma</t>
  </si>
  <si>
    <t>Aman</t>
  </si>
  <si>
    <t>Raju Edhe</t>
  </si>
  <si>
    <t>manurama</t>
  </si>
  <si>
    <t>Akshay</t>
  </si>
  <si>
    <t>Mina Kumari</t>
  </si>
  <si>
    <t>Sagar Kusalkar</t>
  </si>
  <si>
    <t>Santosh Kusalkar</t>
  </si>
  <si>
    <t>Aditya Bhode</t>
  </si>
  <si>
    <t>Sahil Doundkar</t>
  </si>
  <si>
    <t>Ajay Rathod</t>
  </si>
  <si>
    <t>Vaishnavi Alandkar</t>
  </si>
  <si>
    <t>Manish Verma</t>
  </si>
  <si>
    <t xml:space="preserve">Jyoti Verma  </t>
  </si>
  <si>
    <t>Dimpal kapadya</t>
  </si>
  <si>
    <t>Shorya Pingle</t>
  </si>
  <si>
    <t>Vanita Dhole</t>
  </si>
  <si>
    <t xml:space="preserve">Aradhya ghode </t>
  </si>
  <si>
    <t>maneesh Navle</t>
  </si>
  <si>
    <t>Vina Kusum</t>
  </si>
  <si>
    <t>Raghini Patil</t>
  </si>
  <si>
    <t>aishwarya Pagare</t>
  </si>
  <si>
    <t>Mohan Kusmude</t>
  </si>
  <si>
    <t>Ram amale</t>
  </si>
  <si>
    <t>Kumar sanu</t>
  </si>
  <si>
    <t>Gita banpatte</t>
  </si>
  <si>
    <t xml:space="preserve">sunita pawar </t>
  </si>
  <si>
    <t>dipali potdar</t>
  </si>
  <si>
    <t xml:space="preserve">Niraja </t>
  </si>
  <si>
    <t>dimppy</t>
  </si>
  <si>
    <t>Rajendra Prasad</t>
  </si>
  <si>
    <t>Narendra Modi</t>
  </si>
  <si>
    <t xml:space="preserve">gitanjali pagare </t>
  </si>
  <si>
    <t>swapnil vagh</t>
  </si>
  <si>
    <t>suraj poikrav</t>
  </si>
  <si>
    <t>ranjana mali</t>
  </si>
  <si>
    <t>Ashok kumade</t>
  </si>
  <si>
    <t>Radha devkar</t>
  </si>
  <si>
    <t>Rakhi Sawant</t>
  </si>
  <si>
    <t>Zara Khan</t>
  </si>
  <si>
    <t>joya shaikh</t>
  </si>
  <si>
    <t>tahura Shaikh</t>
  </si>
  <si>
    <t xml:space="preserve">fiza surve </t>
  </si>
  <si>
    <t>yamini Gulab</t>
  </si>
  <si>
    <t>twinkal Khana</t>
  </si>
  <si>
    <t xml:space="preserve">yashraj gupta </t>
  </si>
  <si>
    <t>rahi dighe</t>
  </si>
  <si>
    <t>naha sharma</t>
  </si>
  <si>
    <t>Payal Gosavi</t>
  </si>
  <si>
    <t>Aarti Nawale</t>
  </si>
  <si>
    <t xml:space="preserve">tina </t>
  </si>
  <si>
    <t>jakhir Ali</t>
  </si>
  <si>
    <t>Megha yatri</t>
  </si>
  <si>
    <t>Suhani jaiswal</t>
  </si>
  <si>
    <t>Poonam Devkar</t>
  </si>
  <si>
    <t xml:space="preserve">Priya Devkar </t>
  </si>
  <si>
    <t>Neha Pawar</t>
  </si>
  <si>
    <t>Sadhana Yevale</t>
  </si>
  <si>
    <t>kishori Aagarwal</t>
  </si>
  <si>
    <t>Akshay kumar</t>
  </si>
  <si>
    <t>Gauri Raut</t>
  </si>
  <si>
    <t>Alisha Ghadge</t>
  </si>
  <si>
    <t>Sharvari Nalawde</t>
  </si>
  <si>
    <t>pooja Devkar</t>
  </si>
  <si>
    <t>Champa Chameli</t>
  </si>
  <si>
    <t>Hari Gopal</t>
  </si>
  <si>
    <t>Vidhi Sawant</t>
  </si>
  <si>
    <t>Yogesh Valanj</t>
  </si>
  <si>
    <t>Rohini Dhawale</t>
  </si>
  <si>
    <t>Satish Dhanwate</t>
  </si>
  <si>
    <t>Babita iyar</t>
  </si>
  <si>
    <t>Jethalal Gada</t>
  </si>
  <si>
    <t xml:space="preserve">Sidhant Sawale </t>
  </si>
  <si>
    <t>Nandini More</t>
  </si>
  <si>
    <t>Ankur Warikko</t>
  </si>
  <si>
    <t>Popatlal Bhopal</t>
  </si>
  <si>
    <t>Luna Mehata</t>
  </si>
  <si>
    <t>sidhu Kamte</t>
  </si>
  <si>
    <t>Hemal cholangi</t>
  </si>
  <si>
    <t>Swati more</t>
  </si>
  <si>
    <t>Sum of Basic_Sal</t>
  </si>
  <si>
    <t>Sum of Emp ID</t>
  </si>
  <si>
    <t>Row Labels</t>
  </si>
  <si>
    <t>Grand Total</t>
  </si>
  <si>
    <t>Sum of Net_Sal</t>
  </si>
  <si>
    <t>Sum of Difference</t>
  </si>
  <si>
    <t>Sum of Gross</t>
  </si>
  <si>
    <t>Tejswini   Doundkar</t>
  </si>
  <si>
    <t>Harsh    Londhe</t>
  </si>
  <si>
    <t>Countifs</t>
  </si>
  <si>
    <t>countif</t>
  </si>
  <si>
    <t>TRIM Function</t>
  </si>
  <si>
    <t>PROPER Function</t>
  </si>
  <si>
    <t>BLANK CELL</t>
  </si>
  <si>
    <t>N\A</t>
  </si>
  <si>
    <t>VLOOKUP</t>
  </si>
  <si>
    <t xml:space="preserve">Criteria </t>
  </si>
  <si>
    <t>&lt;20000</t>
  </si>
  <si>
    <t>Ram Amale</t>
  </si>
  <si>
    <t>Kumar Sanu</t>
  </si>
  <si>
    <t>Gita Banpatte</t>
  </si>
  <si>
    <t>Dipali Potdar</t>
  </si>
  <si>
    <t xml:space="preserve">sunita Pawar </t>
  </si>
  <si>
    <t>Dimppy</t>
  </si>
  <si>
    <t>Swapnil Vagh</t>
  </si>
  <si>
    <t>Suraj Poikrav</t>
  </si>
  <si>
    <t>Ranjana Mali</t>
  </si>
  <si>
    <t>Ashok Kumude</t>
  </si>
  <si>
    <t>Radha Devkar</t>
  </si>
  <si>
    <t>Joya Shaikh</t>
  </si>
  <si>
    <t>Tahura Shaikh</t>
  </si>
  <si>
    <t xml:space="preserve">Fiza Surve </t>
  </si>
  <si>
    <t>Yamini Gulab</t>
  </si>
  <si>
    <t>Twinkal Khana</t>
  </si>
  <si>
    <t xml:space="preserve">Yashraj Gupta </t>
  </si>
  <si>
    <t>Rahi Dighe</t>
  </si>
  <si>
    <t>Neha Sharma</t>
  </si>
  <si>
    <t>Megha Yatri</t>
  </si>
  <si>
    <t>Suhani Jaiswal</t>
  </si>
  <si>
    <t>Jakhir Ali</t>
  </si>
  <si>
    <t xml:space="preserve">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</si>
</sst>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99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4"/>
      <color theme="1"/>
      <name val="Algerian"/>
      <family val="5"/>
    </font>
    <font>
      <b/>
      <sz val="11"/>
      <color rgb="FF00009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0" fontId="3" fillId="0" borderId="2" xfId="0" applyFont="1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1" xfId="0" applyBorder="1"/>
    <xf numFmtId="0" fontId="3" fillId="0" borderId="0" xfId="0" applyFont="1" applyBorder="1"/>
    <xf numFmtId="0" fontId="0" fillId="0" borderId="2" xfId="0" applyBorder="1"/>
    <xf numFmtId="0" fontId="0" fillId="0" borderId="1" xfId="0" applyFont="1" applyBorder="1"/>
    <xf numFmtId="0" fontId="0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9">
    <dxf>
      <font>
        <b/>
        <i val="0"/>
        <color theme="4" tint="-0.24994659260841701"/>
      </font>
      <fill>
        <patternFill>
          <bgColor theme="8" tint="0.79998168889431442"/>
        </patternFill>
      </fill>
    </dxf>
    <dxf>
      <fill>
        <patternFill>
          <bgColor rgb="FF00B0F0"/>
        </patternFill>
      </fill>
    </dxf>
    <dxf>
      <font>
        <color theme="9"/>
      </font>
    </dxf>
    <dxf>
      <font>
        <b/>
        <i val="0"/>
        <color theme="5"/>
      </font>
    </dxf>
    <dxf>
      <font>
        <b/>
        <i val="0"/>
        <color theme="9" tint="0.39994506668294322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7.875071759256" createdVersion="8" refreshedVersion="8" minRefreshableVersion="3" recordCount="91" xr:uid="{3BD651B0-5243-42A8-83F4-CBB4F46B01A2}">
  <cacheSource type="worksheet">
    <worksheetSource ref="A1:K92" sheet="pivot table"/>
  </cacheSource>
  <cacheFields count="12">
    <cacheField name="Emp ID" numFmtId="0">
      <sharedItems containsSemiMixedTypes="0" containsString="0" containsNumber="1" containsInteger="1" minValue="101" maxValue="191"/>
    </cacheField>
    <cacheField name="Employee Name" numFmtId="0">
      <sharedItems count="91">
        <s v="Tejswini Doundkar"/>
        <s v="Minakshi Narke"/>
        <s v="Swati more"/>
        <s v="sidhu Kamte"/>
        <s v="Mayur Gore"/>
        <s v="Hemal cholangi"/>
        <s v="Aditya Birla"/>
        <s v="Harsh Londhe"/>
        <s v="Kaveri Pagare"/>
        <s v="Aankush Lokhande"/>
        <s v="Kishori Mehata"/>
        <s v="Sonalika Bhide"/>
        <s v="Roshan Sodhi"/>
        <s v="Rohini Markute"/>
        <s v="Raja Verma"/>
        <s v="Aman"/>
        <s v="Raju Edhe"/>
        <s v="manurama"/>
        <s v="Akshay"/>
        <s v="Mina Kumari"/>
        <s v="Sagar Kusalkar"/>
        <s v="Santosh Kusalkar"/>
        <s v="Aditya Bhode"/>
        <s v="Sahil Doundkar"/>
        <s v="Ajay Rathod"/>
        <s v="Vaishnavi Alandkar"/>
        <s v="Manish Verma"/>
        <s v="Jyoti Verma  "/>
        <s v="Dimpal kapadya"/>
        <s v="Shorya Pingle"/>
        <s v="Vanita Dhole"/>
        <s v="Aradhya ghode "/>
        <s v="maneesh Navle"/>
        <s v="Vina Kusum"/>
        <s v="Raghini Patil"/>
        <s v="aishwarya Pagare"/>
        <s v="Mohan Kusmude"/>
        <s v="Ram amale"/>
        <s v="Kumar sanu"/>
        <s v="Gita banpatte"/>
        <s v="sunita pawar "/>
        <s v="dipali potdar"/>
        <s v="Niraja "/>
        <s v="dimppy"/>
        <s v="Rajendra Prasad"/>
        <s v="Narendra Modi"/>
        <s v="gitanjali pagare "/>
        <s v="swapnil vagh"/>
        <s v="suraj poikrav"/>
        <s v="ranjana mali"/>
        <s v="Ashok kumade"/>
        <s v="Radha devkar"/>
        <s v="Rakhi Sawant"/>
        <s v="Zara Khan"/>
        <s v="joya shaikh"/>
        <s v="tahura Shaikh"/>
        <s v="fiza surve "/>
        <s v="yamini Gulab"/>
        <s v="twinkal Khana"/>
        <s v="yashraj gupta "/>
        <s v="rahi dighe"/>
        <s v="naha sharma"/>
        <s v="Payal Gosavi"/>
        <s v="Megha yatri"/>
        <s v="Suhani jaiswal"/>
        <s v="Poonam Devkar"/>
        <s v="Priya Devkar "/>
        <s v="Neha Pawar"/>
        <s v="Sadhana Yevale"/>
        <s v="kishori Aagarwal"/>
        <s v="Akshay kumar"/>
        <s v="Gauri Raut"/>
        <s v="Alisha Ghadge"/>
        <s v="Sharvari Nalawde"/>
        <s v="pooja Devkar"/>
        <s v="Champa Chameli"/>
        <s v="Hari Gopal"/>
        <s v="Vidhi Sawant"/>
        <s v="Yogesh Valanj"/>
        <s v="Rohini Dhawale"/>
        <s v="Satish Dhanwate"/>
        <s v="Babita iyar"/>
        <s v="Jethalal Gada"/>
        <s v="Sidhant Sawale "/>
        <s v="Nandini More"/>
        <s v="Ankur Warikko"/>
        <s v="Popatlal Bhopal"/>
        <s v="Luna Mehata"/>
        <s v="jakhir Ali"/>
        <s v="tina "/>
        <s v="Aarti Nawale"/>
      </sharedItems>
    </cacheField>
    <cacheField name="Department" numFmtId="0">
      <sharedItems/>
    </cacheField>
    <cacheField name="Basic_Sal" numFmtId="3">
      <sharedItems containsSemiMixedTypes="0" containsString="0" containsNumber="1" minValue="12000" maxValue="27345.238095238099"/>
    </cacheField>
    <cacheField name="HRA" numFmtId="0">
      <sharedItems containsSemiMixedTypes="0" containsString="0" containsNumber="1" minValue="6000" maxValue="13672.61904761905"/>
    </cacheField>
    <cacheField name="DA" numFmtId="0">
      <sharedItems containsSemiMixedTypes="0" containsString="0" containsNumber="1" minValue="2400" maxValue="5469.0476190476202"/>
    </cacheField>
    <cacheField name="PF" numFmtId="0">
      <sharedItems containsSemiMixedTypes="0" containsString="0" containsNumber="1" minValue="1200" maxValue="2734.5238095238101"/>
    </cacheField>
    <cacheField name="PT" numFmtId="0">
      <sharedItems containsSemiMixedTypes="0" containsString="0" containsNumber="1" minValue="208.33333333333334" maxValue="208.33333333333334"/>
    </cacheField>
    <cacheField name="Gross" numFmtId="3">
      <sharedItems containsSemiMixedTypes="0" containsString="0" containsNumber="1" minValue="20400" maxValue="46486.904761904763"/>
    </cacheField>
    <cacheField name="Deduction" numFmtId="0">
      <sharedItems containsSemiMixedTypes="0" containsString="0" containsNumber="1" minValue="1408.3333333333333" maxValue="2942.8571428571436"/>
    </cacheField>
    <cacheField name="Net_Sal" numFmtId="3">
      <sharedItems containsSemiMixedTypes="0" containsString="0" containsNumber="1" minValue="18991.666666666668" maxValue="43544.047619047618"/>
    </cacheField>
    <cacheField name="Difference" numFmtId="0" formula="Gross-Net_S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01"/>
    <x v="0"/>
    <s v="Sales"/>
    <n v="15000"/>
    <n v="7500"/>
    <n v="3000"/>
    <n v="1500"/>
    <n v="208.33333333333334"/>
    <n v="25500"/>
    <n v="1708.3333333333333"/>
    <n v="23791.666666666668"/>
  </r>
  <r>
    <n v="102"/>
    <x v="1"/>
    <s v="Marketing"/>
    <n v="18000"/>
    <n v="9000"/>
    <n v="3600"/>
    <n v="1800"/>
    <n v="208.33333333333334"/>
    <n v="30600"/>
    <n v="2008.3333333333333"/>
    <n v="28591.666666666668"/>
  </r>
  <r>
    <n v="103"/>
    <x v="2"/>
    <s v="Training"/>
    <n v="16000"/>
    <n v="8000"/>
    <n v="3200"/>
    <n v="1600"/>
    <n v="208.33333333333334"/>
    <n v="27200"/>
    <n v="1808.3333333333333"/>
    <n v="25391.666666666668"/>
  </r>
  <r>
    <n v="104"/>
    <x v="3"/>
    <s v="Admin"/>
    <n v="17000"/>
    <n v="8500"/>
    <n v="3400"/>
    <n v="1700"/>
    <n v="208.33333333333334"/>
    <n v="28900"/>
    <n v="1908.3333333333333"/>
    <n v="26991.666666666668"/>
  </r>
  <r>
    <n v="105"/>
    <x v="4"/>
    <s v="Legal"/>
    <n v="20000"/>
    <n v="10000"/>
    <n v="4000"/>
    <n v="2000"/>
    <n v="208.33333333333334"/>
    <n v="34000"/>
    <n v="2208.3333333333335"/>
    <n v="31791.666666666668"/>
  </r>
  <r>
    <n v="106"/>
    <x v="5"/>
    <s v="Legal"/>
    <n v="21000"/>
    <n v="10500"/>
    <n v="4200"/>
    <n v="2100"/>
    <n v="208.33333333333334"/>
    <n v="35700"/>
    <n v="2308.3333333333335"/>
    <n v="33391.666666666664"/>
  </r>
  <r>
    <n v="107"/>
    <x v="6"/>
    <s v="Marketing"/>
    <n v="13000"/>
    <n v="6500"/>
    <n v="2600"/>
    <n v="1300"/>
    <n v="208.33333333333334"/>
    <n v="22100"/>
    <n v="1508.3333333333333"/>
    <n v="20591.666666666668"/>
  </r>
  <r>
    <n v="108"/>
    <x v="7"/>
    <s v="Sales"/>
    <n v="14000"/>
    <n v="7000"/>
    <n v="2800"/>
    <n v="1400"/>
    <n v="208.33333333333334"/>
    <n v="23800"/>
    <n v="1608.3333333333333"/>
    <n v="22191.666666666668"/>
  </r>
  <r>
    <n v="109"/>
    <x v="8"/>
    <s v="Admin"/>
    <n v="17000"/>
    <n v="8500"/>
    <n v="3400"/>
    <n v="1700"/>
    <n v="208.33333333333334"/>
    <n v="28900"/>
    <n v="1908.3333333333333"/>
    <n v="26991.666666666668"/>
  </r>
  <r>
    <n v="110"/>
    <x v="9"/>
    <s v="Training"/>
    <n v="21000"/>
    <n v="10500"/>
    <n v="4200"/>
    <n v="2100"/>
    <n v="208.33333333333334"/>
    <n v="35700"/>
    <n v="2308.3333333333335"/>
    <n v="33391.666666666664"/>
  </r>
  <r>
    <n v="111"/>
    <x v="10"/>
    <s v="Sales"/>
    <n v="19000"/>
    <n v="9500"/>
    <n v="3800"/>
    <n v="1900"/>
    <n v="208.33333333333334"/>
    <n v="32300"/>
    <n v="2108.3333333333335"/>
    <n v="30191.666666666668"/>
  </r>
  <r>
    <n v="112"/>
    <x v="11"/>
    <s v="Marketing"/>
    <n v="12000"/>
    <n v="6000"/>
    <n v="2400"/>
    <n v="1200"/>
    <n v="208.33333333333334"/>
    <n v="20400"/>
    <n v="1408.3333333333333"/>
    <n v="18991.666666666668"/>
  </r>
  <r>
    <n v="113"/>
    <x v="12"/>
    <s v="Legal"/>
    <n v="13000"/>
    <n v="6500"/>
    <n v="2600"/>
    <n v="1300"/>
    <n v="208.33333333333334"/>
    <n v="22100"/>
    <n v="1508.3333333333333"/>
    <n v="20591.666666666668"/>
  </r>
  <r>
    <n v="114"/>
    <x v="13"/>
    <s v="Admin"/>
    <n v="20000"/>
    <n v="10000"/>
    <n v="4000"/>
    <n v="2000"/>
    <n v="208.33333333333334"/>
    <n v="34000"/>
    <n v="2208.3333333333335"/>
    <n v="31791.666666666668"/>
  </r>
  <r>
    <n v="115"/>
    <x v="14"/>
    <s v="Training"/>
    <n v="23000"/>
    <n v="11500"/>
    <n v="4600"/>
    <n v="2300"/>
    <n v="208.33333333333334"/>
    <n v="39100"/>
    <n v="2508.3333333333335"/>
    <n v="36591.666666666664"/>
  </r>
  <r>
    <n v="116"/>
    <x v="15"/>
    <s v="Sales"/>
    <n v="18238.0952380952"/>
    <n v="9119.0476190476002"/>
    <n v="3647.6190476190404"/>
    <n v="1823.8095238095202"/>
    <n v="208.33333333333334"/>
    <n v="31004.761904761843"/>
    <n v="2032.1428571428535"/>
    <n v="28972.619047618988"/>
  </r>
  <r>
    <n v="117"/>
    <x v="16"/>
    <s v="Marketing"/>
    <n v="18359.523809523798"/>
    <n v="9179.7619047618991"/>
    <n v="3671.9047619047597"/>
    <n v="1835.9523809523798"/>
    <n v="208.33333333333334"/>
    <n v="31211.190476190455"/>
    <n v="2044.2857142857131"/>
    <n v="29166.904761904741"/>
  </r>
  <r>
    <n v="118"/>
    <x v="17"/>
    <s v="Training"/>
    <n v="18480.9523809524"/>
    <n v="9240.4761904761999"/>
    <n v="3696.1904761904802"/>
    <n v="1848.0952380952401"/>
    <n v="208.33333333333334"/>
    <n v="31417.619047619082"/>
    <n v="2056.4285714285734"/>
    <n v="29361.19047619051"/>
  </r>
  <r>
    <n v="119"/>
    <x v="18"/>
    <s v="Admin"/>
    <n v="18602.3809523809"/>
    <n v="9301.1904761904498"/>
    <n v="3720.4761904761799"/>
    <n v="1860.23809523809"/>
    <n v="208.33333333333334"/>
    <n v="31624.047619047527"/>
    <n v="2068.5714285714234"/>
    <n v="29555.476190476104"/>
  </r>
  <r>
    <n v="120"/>
    <x v="19"/>
    <s v="Legal"/>
    <n v="18723.809523809501"/>
    <n v="9361.9047619047506"/>
    <n v="3744.7619047619005"/>
    <n v="1872.3809523809502"/>
    <n v="208.33333333333334"/>
    <n v="31830.476190476154"/>
    <n v="2080.7142857142835"/>
    <n v="29749.761904761872"/>
  </r>
  <r>
    <n v="121"/>
    <x v="20"/>
    <s v="Legal"/>
    <n v="18845.238095238099"/>
    <n v="9422.6190476190495"/>
    <n v="3769.0476190476202"/>
    <n v="1884.5238095238101"/>
    <n v="208.33333333333334"/>
    <n v="32036.904761904771"/>
    <n v="2092.8571428571436"/>
    <n v="29944.047619047626"/>
  </r>
  <r>
    <n v="122"/>
    <x v="21"/>
    <s v="Marketing"/>
    <n v="18966.666666666701"/>
    <n v="9483.3333333333503"/>
    <n v="3793.3333333333403"/>
    <n v="1896.6666666666702"/>
    <n v="208.33333333333334"/>
    <n v="32243.33333333339"/>
    <n v="2105.0000000000036"/>
    <n v="30138.333333333387"/>
  </r>
  <r>
    <n v="123"/>
    <x v="22"/>
    <s v="Sales"/>
    <n v="19088.0952380952"/>
    <n v="9544.0476190476002"/>
    <n v="3817.6190476190404"/>
    <n v="1908.8095238095202"/>
    <n v="208.33333333333334"/>
    <n v="32449.761904761843"/>
    <n v="2117.1428571428537"/>
    <n v="30332.619047618988"/>
  </r>
  <r>
    <n v="124"/>
    <x v="23"/>
    <s v="Admin"/>
    <n v="19209.523809523798"/>
    <n v="9604.7619047618991"/>
    <n v="3841.9047619047597"/>
    <n v="1920.9523809523798"/>
    <n v="208.33333333333334"/>
    <n v="32656.190476190455"/>
    <n v="2129.2857142857133"/>
    <n v="30526.904761904741"/>
  </r>
  <r>
    <n v="125"/>
    <x v="24"/>
    <s v="Training"/>
    <n v="19330.9523809524"/>
    <n v="9665.4761904761999"/>
    <n v="3866.1904761904802"/>
    <n v="1933.0952380952401"/>
    <n v="208.33333333333334"/>
    <n v="32862.619047619082"/>
    <n v="2141.4285714285734"/>
    <n v="30721.19047619051"/>
  </r>
  <r>
    <n v="126"/>
    <x v="25"/>
    <s v="Sales"/>
    <n v="19452.3809523809"/>
    <n v="9726.1904761904498"/>
    <n v="3890.4761904761799"/>
    <n v="1945.23809523809"/>
    <n v="208.33333333333334"/>
    <n v="33069.047619047531"/>
    <n v="2153.5714285714234"/>
    <n v="30915.476190476107"/>
  </r>
  <r>
    <n v="127"/>
    <x v="26"/>
    <s v="Marketing"/>
    <n v="19573.809523809501"/>
    <n v="9786.9047619047506"/>
    <n v="3914.7619047619005"/>
    <n v="1957.3809523809502"/>
    <n v="208.33333333333334"/>
    <n v="33275.476190476154"/>
    <n v="2165.7142857142835"/>
    <n v="31109.761904761872"/>
  </r>
  <r>
    <n v="128"/>
    <x v="27"/>
    <s v="Legal"/>
    <n v="19695.238095238099"/>
    <n v="9847.6190476190495"/>
    <n v="3939.0476190476202"/>
    <n v="1969.5238095238101"/>
    <n v="208.33333333333334"/>
    <n v="33481.904761904771"/>
    <n v="2177.8571428571436"/>
    <n v="31304.047619047626"/>
  </r>
  <r>
    <n v="129"/>
    <x v="28"/>
    <s v="Admin"/>
    <n v="19816.666666666701"/>
    <n v="9908.3333333333503"/>
    <n v="3963.3333333333403"/>
    <n v="1981.6666666666702"/>
    <n v="208.33333333333334"/>
    <n v="33688.333333333394"/>
    <n v="2190.0000000000036"/>
    <n v="31498.33333333339"/>
  </r>
  <r>
    <n v="130"/>
    <x v="29"/>
    <s v="Training"/>
    <n v="19938.0952380952"/>
    <n v="9969.0476190476002"/>
    <n v="3987.6190476190404"/>
    <n v="1993.8095238095202"/>
    <n v="208.33333333333334"/>
    <n v="33894.761904761843"/>
    <n v="2202.1428571428537"/>
    <n v="31692.619047618988"/>
  </r>
  <r>
    <n v="131"/>
    <x v="30"/>
    <s v="Sales"/>
    <n v="20059.523809523798"/>
    <n v="10029.761904761899"/>
    <n v="4011.9047619047597"/>
    <n v="2005.9523809523798"/>
    <n v="208.33333333333334"/>
    <n v="34101.190476190459"/>
    <n v="2214.2857142857133"/>
    <n v="31886.904761904745"/>
  </r>
  <r>
    <n v="132"/>
    <x v="31"/>
    <s v="Marketing"/>
    <n v="20180.9523809524"/>
    <n v="10090.4761904762"/>
    <n v="4036.1904761904802"/>
    <n v="2018.0952380952401"/>
    <n v="208.33333333333334"/>
    <n v="34307.619047619082"/>
    <n v="2226.4285714285734"/>
    <n v="32081.19047619051"/>
  </r>
  <r>
    <n v="133"/>
    <x v="32"/>
    <s v="Training"/>
    <n v="20302.3809523809"/>
    <n v="10151.19047619045"/>
    <n v="4060.4761904761799"/>
    <n v="2030.23809523809"/>
    <n v="208.33333333333334"/>
    <n v="34514.047619047531"/>
    <n v="2238.5714285714234"/>
    <n v="32275.476190476107"/>
  </r>
  <r>
    <n v="134"/>
    <x v="33"/>
    <s v="Admin"/>
    <n v="20423.809523809501"/>
    <n v="10211.904761904751"/>
    <n v="4084.7619047619005"/>
    <n v="2042.3809523809502"/>
    <n v="208.33333333333334"/>
    <n v="34720.476190476154"/>
    <n v="2250.7142857142835"/>
    <n v="32469.761904761872"/>
  </r>
  <r>
    <n v="135"/>
    <x v="34"/>
    <s v="Legal"/>
    <n v="20545.238095238099"/>
    <n v="10272.61904761905"/>
    <n v="4109.0476190476202"/>
    <n v="2054.5238095238101"/>
    <n v="208.33333333333334"/>
    <n v="34926.904761904771"/>
    <n v="2262.8571428571436"/>
    <n v="32664.047619047626"/>
  </r>
  <r>
    <n v="136"/>
    <x v="35"/>
    <s v="Legal"/>
    <n v="20666.666666666701"/>
    <n v="10333.33333333335"/>
    <n v="4133.3333333333403"/>
    <n v="2066.6666666666702"/>
    <n v="208.33333333333334"/>
    <n v="35133.333333333394"/>
    <n v="2275.0000000000036"/>
    <n v="32858.333333333387"/>
  </r>
  <r>
    <n v="137"/>
    <x v="36"/>
    <s v="Marketing"/>
    <n v="20788.0952380952"/>
    <n v="10394.0476190476"/>
    <n v="4157.6190476190404"/>
    <n v="2078.8095238095202"/>
    <n v="208.33333333333334"/>
    <n v="35339.761904761843"/>
    <n v="2287.1428571428537"/>
    <n v="33052.619047618988"/>
  </r>
  <r>
    <n v="138"/>
    <x v="37"/>
    <s v="Sales"/>
    <n v="20909.523809523798"/>
    <n v="10454.761904761899"/>
    <n v="4181.9047619047597"/>
    <n v="2090.9523809523798"/>
    <n v="208.33333333333334"/>
    <n v="35546.190476190459"/>
    <n v="2299.2857142857133"/>
    <n v="33246.904761904749"/>
  </r>
  <r>
    <n v="139"/>
    <x v="38"/>
    <s v="Admin"/>
    <n v="21030.9523809524"/>
    <n v="10515.4761904762"/>
    <n v="4206.1904761904798"/>
    <n v="2103.0952380952399"/>
    <n v="208.33333333333334"/>
    <n v="35752.619047619082"/>
    <n v="2311.4285714285734"/>
    <n v="33441.19047619051"/>
  </r>
  <r>
    <n v="140"/>
    <x v="39"/>
    <s v="Training"/>
    <n v="21152.3809523809"/>
    <n v="10576.19047619045"/>
    <n v="4230.4761904761799"/>
    <n v="2115.23809523809"/>
    <n v="208.33333333333334"/>
    <n v="35959.047619047531"/>
    <n v="2323.5714285714234"/>
    <n v="33635.476190476111"/>
  </r>
  <r>
    <n v="141"/>
    <x v="40"/>
    <s v="Sales"/>
    <n v="21273.809523809501"/>
    <n v="10636.904761904751"/>
    <n v="4254.7619047619"/>
    <n v="2127.38095238095"/>
    <n v="208.33333333333334"/>
    <n v="36165.476190476154"/>
    <n v="2335.7142857142835"/>
    <n v="33829.761904761872"/>
  </r>
  <r>
    <n v="142"/>
    <x v="41"/>
    <s v="Marketing"/>
    <n v="21395.238095238099"/>
    <n v="10697.61904761905"/>
    <n v="4279.0476190476202"/>
    <n v="2139.5238095238101"/>
    <n v="208.33333333333334"/>
    <n v="36371.904761904771"/>
    <n v="2347.8571428571436"/>
    <n v="34024.047619047626"/>
  </r>
  <r>
    <n v="143"/>
    <x v="42"/>
    <s v="Legal"/>
    <n v="21516.666666666701"/>
    <n v="10758.33333333335"/>
    <n v="4303.3333333333403"/>
    <n v="2151.6666666666702"/>
    <n v="208.33333333333334"/>
    <n v="36578.333333333394"/>
    <n v="2360.0000000000036"/>
    <n v="34218.333333333387"/>
  </r>
  <r>
    <n v="144"/>
    <x v="43"/>
    <s v="Admin"/>
    <n v="21638.0952380952"/>
    <n v="10819.0476190476"/>
    <n v="4327.6190476190404"/>
    <n v="2163.8095238095202"/>
    <n v="208.33333333333334"/>
    <n v="36784.761904761843"/>
    <n v="2372.1428571428537"/>
    <n v="34412.619047618988"/>
  </r>
  <r>
    <n v="145"/>
    <x v="44"/>
    <s v="Training"/>
    <n v="21759.523809523798"/>
    <n v="10879.761904761899"/>
    <n v="4351.9047619047597"/>
    <n v="2175.9523809523798"/>
    <n v="208.33333333333334"/>
    <n v="36991.190476190459"/>
    <n v="2384.2857142857133"/>
    <n v="34606.904761904749"/>
  </r>
  <r>
    <n v="146"/>
    <x v="45"/>
    <s v="Sales"/>
    <n v="21880.9523809524"/>
    <n v="10940.4761904762"/>
    <n v="4376.1904761904798"/>
    <n v="2188.0952380952399"/>
    <n v="208.33333333333334"/>
    <n v="37197.619047619082"/>
    <n v="2396.4285714285734"/>
    <n v="34801.19047619051"/>
  </r>
  <r>
    <n v="147"/>
    <x v="46"/>
    <s v="Marketing"/>
    <n v="22002.3809523809"/>
    <n v="11001.19047619045"/>
    <n v="4400.4761904761799"/>
    <n v="2200.23809523809"/>
    <n v="208.33333333333334"/>
    <n v="37404.047619047531"/>
    <n v="2408.5714285714234"/>
    <n v="34995.476190476111"/>
  </r>
  <r>
    <n v="148"/>
    <x v="47"/>
    <s v="Training"/>
    <n v="22123.809523809501"/>
    <n v="11061.904761904751"/>
    <n v="4424.7619047619"/>
    <n v="2212.38095238095"/>
    <n v="208.33333333333334"/>
    <n v="37610.476190476154"/>
    <n v="2420.7142857142835"/>
    <n v="35189.761904761872"/>
  </r>
  <r>
    <n v="149"/>
    <x v="48"/>
    <s v="Admin"/>
    <n v="22245.238095238099"/>
    <n v="11122.61904761905"/>
    <n v="4449.0476190476202"/>
    <n v="2224.5238095238101"/>
    <n v="208.33333333333334"/>
    <n v="37816.904761904763"/>
    <n v="2432.8571428571436"/>
    <n v="35384.047619047618"/>
  </r>
  <r>
    <n v="150"/>
    <x v="49"/>
    <s v="Legal"/>
    <n v="22366.666666666701"/>
    <n v="11183.33333333335"/>
    <n v="4473.3333333333403"/>
    <n v="2236.6666666666702"/>
    <n v="208.33333333333334"/>
    <n v="38023.333333333394"/>
    <n v="2445.0000000000036"/>
    <n v="35578.333333333387"/>
  </r>
  <r>
    <n v="151"/>
    <x v="50"/>
    <s v="Legal"/>
    <n v="22488.0952380952"/>
    <n v="11244.0476190476"/>
    <n v="4497.6190476190404"/>
    <n v="2248.8095238095202"/>
    <n v="208.33333333333334"/>
    <n v="38229.761904761835"/>
    <n v="2457.1428571428537"/>
    <n v="35772.61904761898"/>
  </r>
  <r>
    <n v="152"/>
    <x v="51"/>
    <s v="Marketing"/>
    <n v="22609.523809523798"/>
    <n v="11304.761904761899"/>
    <n v="4521.9047619047597"/>
    <n v="2260.9523809523798"/>
    <n v="208.33333333333334"/>
    <n v="38436.190476190459"/>
    <n v="2469.2857142857133"/>
    <n v="35966.904761904749"/>
  </r>
  <r>
    <n v="153"/>
    <x v="52"/>
    <s v="Sales"/>
    <n v="22730.9523809524"/>
    <n v="11365.4761904762"/>
    <n v="4546.1904761904798"/>
    <n v="2273.0952380952399"/>
    <n v="208.33333333333334"/>
    <n v="38642.619047619082"/>
    <n v="2481.4285714285734"/>
    <n v="36161.19047619051"/>
  </r>
  <r>
    <n v="154"/>
    <x v="53"/>
    <s v="Admin"/>
    <n v="22852.3809523809"/>
    <n v="11426.19047619045"/>
    <n v="4570.4761904761799"/>
    <n v="2285.23809523809"/>
    <n v="208.33333333333334"/>
    <n v="38849.047619047531"/>
    <n v="2493.5714285714234"/>
    <n v="36355.476190476111"/>
  </r>
  <r>
    <n v="155"/>
    <x v="54"/>
    <s v="Training"/>
    <n v="22973.809523809501"/>
    <n v="11486.904761904751"/>
    <n v="4594.7619047619"/>
    <n v="2297.38095238095"/>
    <n v="208.33333333333334"/>
    <n v="39055.476190476154"/>
    <n v="2505.7142857142835"/>
    <n v="36549.761904761872"/>
  </r>
  <r>
    <n v="156"/>
    <x v="55"/>
    <s v="Sales"/>
    <n v="23095.238095238099"/>
    <n v="11547.61904761905"/>
    <n v="4619.0476190476202"/>
    <n v="2309.5238095238101"/>
    <n v="208.33333333333334"/>
    <n v="39261.904761904763"/>
    <n v="2517.8571428571436"/>
    <n v="36744.047619047618"/>
  </r>
  <r>
    <n v="157"/>
    <x v="56"/>
    <s v="Marketing"/>
    <n v="23216.666666666701"/>
    <n v="11608.33333333335"/>
    <n v="4643.3333333333403"/>
    <n v="2321.6666666666702"/>
    <n v="208.33333333333334"/>
    <n v="39468.333333333394"/>
    <n v="2530.0000000000036"/>
    <n v="36938.333333333387"/>
  </r>
  <r>
    <n v="158"/>
    <x v="57"/>
    <s v="Legal"/>
    <n v="23338.0952380952"/>
    <n v="11669.0476190476"/>
    <n v="4667.6190476190404"/>
    <n v="2333.8095238095202"/>
    <n v="208.33333333333334"/>
    <n v="39674.761904761835"/>
    <n v="2542.1428571428537"/>
    <n v="37132.61904761898"/>
  </r>
  <r>
    <n v="159"/>
    <x v="58"/>
    <s v="Admin"/>
    <n v="23459.523809523798"/>
    <n v="11729.761904761899"/>
    <n v="4691.9047619047597"/>
    <n v="2345.9523809523798"/>
    <n v="208.33333333333334"/>
    <n v="39881.190476190459"/>
    <n v="2554.2857142857133"/>
    <n v="37326.904761904749"/>
  </r>
  <r>
    <n v="160"/>
    <x v="59"/>
    <s v="Training"/>
    <n v="23580.9523809524"/>
    <n v="11790.4761904762"/>
    <n v="4716.1904761904798"/>
    <n v="2358.0952380952399"/>
    <n v="208.33333333333334"/>
    <n v="40087.619047619082"/>
    <n v="2566.4285714285734"/>
    <n v="37521.19047619051"/>
  </r>
  <r>
    <n v="161"/>
    <x v="60"/>
    <s v="Sales"/>
    <n v="23702.3809523809"/>
    <n v="11851.19047619045"/>
    <n v="4740.4761904761799"/>
    <n v="2370.23809523809"/>
    <n v="208.33333333333334"/>
    <n v="40294.047619047531"/>
    <n v="2578.5714285714234"/>
    <n v="37715.476190476111"/>
  </r>
  <r>
    <n v="162"/>
    <x v="61"/>
    <s v="Marketing"/>
    <n v="23823.809523809501"/>
    <n v="11911.904761904751"/>
    <n v="4764.7619047619"/>
    <n v="2382.38095238095"/>
    <n v="208.33333333333334"/>
    <n v="40500.476190476154"/>
    <n v="2590.7142857142835"/>
    <n v="37909.761904761872"/>
  </r>
  <r>
    <n v="163"/>
    <x v="62"/>
    <s v="Training"/>
    <n v="23945.238095238099"/>
    <n v="11972.61904761905"/>
    <n v="4789.0476190476202"/>
    <n v="2394.5238095238101"/>
    <n v="208.33333333333334"/>
    <n v="40706.904761904763"/>
    <n v="2602.8571428571436"/>
    <n v="38104.047619047618"/>
  </r>
  <r>
    <n v="164"/>
    <x v="63"/>
    <s v="Admin"/>
    <n v="24066.666666666701"/>
    <n v="12033.33333333335"/>
    <n v="4813.3333333333403"/>
    <n v="2406.6666666666702"/>
    <n v="208.33333333333334"/>
    <n v="40913.333333333394"/>
    <n v="2615.0000000000036"/>
    <n v="38298.333333333387"/>
  </r>
  <r>
    <n v="165"/>
    <x v="64"/>
    <s v="Legal"/>
    <n v="24188.0952380952"/>
    <n v="12094.0476190476"/>
    <n v="4837.6190476190404"/>
    <n v="2418.8095238095202"/>
    <n v="208.33333333333334"/>
    <n v="41119.761904761835"/>
    <n v="2627.1428571428537"/>
    <n v="38492.61904761898"/>
  </r>
  <r>
    <n v="166"/>
    <x v="65"/>
    <s v="Legal"/>
    <n v="24309.523809523798"/>
    <n v="12154.761904761899"/>
    <n v="4861.9047619047597"/>
    <n v="2430.9523809523798"/>
    <n v="208.33333333333334"/>
    <n v="41326.190476190459"/>
    <n v="2639.2857142857133"/>
    <n v="38686.904761904749"/>
  </r>
  <r>
    <n v="167"/>
    <x v="66"/>
    <s v="Marketing"/>
    <n v="24430.9523809524"/>
    <n v="12215.4761904762"/>
    <n v="4886.1904761904798"/>
    <n v="2443.0952380952399"/>
    <n v="208.33333333333334"/>
    <n v="41532.619047619082"/>
    <n v="2651.4285714285734"/>
    <n v="38881.19047619051"/>
  </r>
  <r>
    <n v="168"/>
    <x v="67"/>
    <s v="Sales"/>
    <n v="24552.3809523809"/>
    <n v="12276.19047619045"/>
    <n v="4910.4761904761799"/>
    <n v="2455.23809523809"/>
    <n v="208.33333333333334"/>
    <n v="41739.047619047531"/>
    <n v="2663.5714285714234"/>
    <n v="39075.476190476111"/>
  </r>
  <r>
    <n v="169"/>
    <x v="68"/>
    <s v="Admin"/>
    <n v="24673.809523809501"/>
    <n v="12336.904761904751"/>
    <n v="4934.761904761901"/>
    <n v="2467.3809523809505"/>
    <n v="208.33333333333334"/>
    <n v="41945.476190476154"/>
    <n v="2675.714285714284"/>
    <n v="39269.761904761872"/>
  </r>
  <r>
    <n v="170"/>
    <x v="69"/>
    <s v="Training"/>
    <n v="24795.238095238099"/>
    <n v="12397.61904761905"/>
    <n v="4959.0476190476202"/>
    <n v="2479.5238095238101"/>
    <n v="208.33333333333334"/>
    <n v="42151.904761904763"/>
    <n v="2687.8571428571436"/>
    <n v="39464.047619047618"/>
  </r>
  <r>
    <n v="171"/>
    <x v="70"/>
    <s v="Sales"/>
    <n v="24916.666666666701"/>
    <n v="12458.33333333335"/>
    <n v="4983.3333333333403"/>
    <n v="2491.6666666666702"/>
    <n v="208.33333333333334"/>
    <n v="42358.333333333394"/>
    <n v="2700.0000000000036"/>
    <n v="39658.333333333387"/>
  </r>
  <r>
    <n v="172"/>
    <x v="71"/>
    <s v="Marketing"/>
    <n v="25038.0952380952"/>
    <n v="12519.0476190476"/>
    <n v="5007.6190476190404"/>
    <n v="2503.8095238095202"/>
    <n v="208.33333333333334"/>
    <n v="42564.761904761835"/>
    <n v="2712.1428571428537"/>
    <n v="39852.61904761898"/>
  </r>
  <r>
    <n v="173"/>
    <x v="72"/>
    <s v="Legal"/>
    <n v="25159.523809523798"/>
    <n v="12579.761904761899"/>
    <n v="5031.9047619047597"/>
    <n v="2515.9523809523798"/>
    <n v="208.33333333333334"/>
    <n v="42771.190476190459"/>
    <n v="2724.2857142857133"/>
    <n v="40046.904761904749"/>
  </r>
  <r>
    <n v="174"/>
    <x v="73"/>
    <s v="Admin"/>
    <n v="25280.9523809524"/>
    <n v="12640.4761904762"/>
    <n v="5056.1904761904807"/>
    <n v="2528.0952380952403"/>
    <n v="208.33333333333334"/>
    <n v="42977.619047619082"/>
    <n v="2736.4285714285738"/>
    <n v="40241.19047619051"/>
  </r>
  <r>
    <n v="175"/>
    <x v="74"/>
    <s v="Training"/>
    <n v="25402.3809523809"/>
    <n v="12701.19047619045"/>
    <n v="5080.4761904761799"/>
    <n v="2540.23809523809"/>
    <n v="208.33333333333334"/>
    <n v="43184.047619047531"/>
    <n v="2748.5714285714234"/>
    <n v="40435.476190476111"/>
  </r>
  <r>
    <n v="176"/>
    <x v="75"/>
    <s v="Sales"/>
    <n v="25523.809523809501"/>
    <n v="12761.904761904751"/>
    <n v="5104.761904761901"/>
    <n v="2552.3809523809505"/>
    <n v="208.33333333333334"/>
    <n v="43390.476190476154"/>
    <n v="2760.714285714284"/>
    <n v="40629.761904761872"/>
  </r>
  <r>
    <n v="177"/>
    <x v="76"/>
    <s v="Marketing"/>
    <n v="25645.238095238099"/>
    <n v="12822.61904761905"/>
    <n v="5129.0476190476202"/>
    <n v="2564.5238095238101"/>
    <n v="208.33333333333334"/>
    <n v="43596.904761904763"/>
    <n v="2772.8571428571436"/>
    <n v="40824.047619047618"/>
  </r>
  <r>
    <n v="178"/>
    <x v="77"/>
    <s v="Training"/>
    <n v="25766.666666666701"/>
    <n v="12883.33333333335"/>
    <n v="5153.3333333333403"/>
    <n v="2576.6666666666702"/>
    <n v="208.33333333333334"/>
    <n v="43803.333333333394"/>
    <n v="2785.0000000000036"/>
    <n v="41018.333333333387"/>
  </r>
  <r>
    <n v="179"/>
    <x v="78"/>
    <s v="Admin"/>
    <n v="25888.0952380952"/>
    <n v="12944.0476190476"/>
    <n v="5177.6190476190404"/>
    <n v="2588.8095238095202"/>
    <n v="208.33333333333334"/>
    <n v="44009.761904761835"/>
    <n v="2797.1428571428537"/>
    <n v="41212.61904761898"/>
  </r>
  <r>
    <n v="180"/>
    <x v="79"/>
    <s v="Legal"/>
    <n v="26009.523809523798"/>
    <n v="13004.761904761899"/>
    <n v="5201.9047619047597"/>
    <n v="2600.9523809523798"/>
    <n v="208.33333333333334"/>
    <n v="44216.190476190459"/>
    <n v="2809.2857142857133"/>
    <n v="41406.904761904749"/>
  </r>
  <r>
    <n v="181"/>
    <x v="80"/>
    <s v="Legal"/>
    <n v="26130.9523809524"/>
    <n v="13065.4761904762"/>
    <n v="5226.1904761904807"/>
    <n v="2613.0952380952403"/>
    <n v="208.33333333333334"/>
    <n v="44422.619047619082"/>
    <n v="2821.4285714285738"/>
    <n v="41601.19047619051"/>
  </r>
  <r>
    <n v="182"/>
    <x v="81"/>
    <s v="Marketing"/>
    <n v="26252.3809523809"/>
    <n v="13126.19047619045"/>
    <n v="5250.4761904761799"/>
    <n v="2625.23809523809"/>
    <n v="208.33333333333334"/>
    <n v="44629.047619047531"/>
    <n v="2833.5714285714234"/>
    <n v="41795.476190476111"/>
  </r>
  <r>
    <n v="183"/>
    <x v="82"/>
    <s v="Sales"/>
    <n v="26373.809523809501"/>
    <n v="13186.904761904751"/>
    <n v="5274.761904761901"/>
    <n v="2637.3809523809505"/>
    <n v="208.33333333333334"/>
    <n v="44835.476190476154"/>
    <n v="2845.714285714284"/>
    <n v="41989.761904761872"/>
  </r>
  <r>
    <n v="184"/>
    <x v="83"/>
    <s v="Admin"/>
    <n v="26495.238095238099"/>
    <n v="13247.61904761905"/>
    <n v="5299.0476190476202"/>
    <n v="2649.5238095238101"/>
    <n v="208.33333333333334"/>
    <n v="45041.904761904763"/>
    <n v="2857.8571428571436"/>
    <n v="42184.047619047618"/>
  </r>
  <r>
    <n v="185"/>
    <x v="84"/>
    <s v="Training"/>
    <n v="26616.666666666701"/>
    <n v="13308.33333333335"/>
    <n v="5323.3333333333403"/>
    <n v="2661.6666666666702"/>
    <n v="208.33333333333334"/>
    <n v="45248.333333333394"/>
    <n v="2870.0000000000036"/>
    <n v="42378.333333333387"/>
  </r>
  <r>
    <n v="186"/>
    <x v="85"/>
    <s v="Sales"/>
    <n v="26738.095238095299"/>
    <n v="13369.047619047649"/>
    <n v="5347.6190476190604"/>
    <n v="2673.8095238095302"/>
    <n v="208.33333333333334"/>
    <n v="45454.76190476201"/>
    <n v="2882.1428571428637"/>
    <n v="42572.619047619148"/>
  </r>
  <r>
    <n v="187"/>
    <x v="86"/>
    <s v="Marketing"/>
    <n v="26859.523809523798"/>
    <n v="13429.761904761899"/>
    <n v="5371.9047619047597"/>
    <n v="2685.9523809523798"/>
    <n v="208.33333333333334"/>
    <n v="45661.190476190459"/>
    <n v="2894.2857142857133"/>
    <n v="42766.904761904749"/>
  </r>
  <r>
    <n v="188"/>
    <x v="87"/>
    <s v="Legal"/>
    <n v="26980.9523809524"/>
    <n v="13490.4761904762"/>
    <n v="5396.1904761904807"/>
    <n v="2698.0952380952403"/>
    <n v="208.33333333333334"/>
    <n v="45867.619047619082"/>
    <n v="2906.4285714285738"/>
    <n v="42961.19047619051"/>
  </r>
  <r>
    <n v="189"/>
    <x v="88"/>
    <s v="Admin"/>
    <n v="27102.380952381001"/>
    <n v="13551.190476190501"/>
    <n v="5420.4761904762008"/>
    <n v="2710.2380952381004"/>
    <n v="208.33333333333334"/>
    <n v="46074.047619047698"/>
    <n v="2918.5714285714339"/>
    <n v="43155.476190476264"/>
  </r>
  <r>
    <n v="190"/>
    <x v="89"/>
    <s v="Training"/>
    <n v="27223.809523809599"/>
    <n v="13611.9047619048"/>
    <n v="5444.7619047619201"/>
    <n v="2722.38095238096"/>
    <n v="208.33333333333334"/>
    <n v="46280.476190476322"/>
    <n v="2930.7142857142935"/>
    <n v="43349.761904762025"/>
  </r>
  <r>
    <n v="191"/>
    <x v="90"/>
    <s v="Sales"/>
    <n v="27345.238095238099"/>
    <n v="13672.61904761905"/>
    <n v="5469.0476190476202"/>
    <n v="2734.5238095238101"/>
    <n v="208.33333333333334"/>
    <n v="46486.904761904763"/>
    <n v="2942.8571428571436"/>
    <n v="43544.0476190476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AC430-9228-4B0F-810A-A725080A4F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T95" firstHeaderRow="0" firstDataRow="1" firstDataCol="1"/>
  <pivotFields count="12">
    <pivotField dataField="1" showAll="0"/>
    <pivotField axis="axisRow" showAll="0">
      <items count="92">
        <item x="9"/>
        <item x="90"/>
        <item x="22"/>
        <item x="6"/>
        <item x="35"/>
        <item x="24"/>
        <item x="18"/>
        <item x="70"/>
        <item x="72"/>
        <item x="15"/>
        <item x="85"/>
        <item x="31"/>
        <item x="50"/>
        <item x="81"/>
        <item x="75"/>
        <item x="28"/>
        <item x="43"/>
        <item x="41"/>
        <item x="56"/>
        <item x="71"/>
        <item x="39"/>
        <item x="46"/>
        <item x="76"/>
        <item x="7"/>
        <item x="5"/>
        <item x="88"/>
        <item x="82"/>
        <item x="54"/>
        <item x="27"/>
        <item x="8"/>
        <item x="69"/>
        <item x="10"/>
        <item x="38"/>
        <item x="87"/>
        <item x="32"/>
        <item x="26"/>
        <item x="17"/>
        <item x="4"/>
        <item x="63"/>
        <item x="19"/>
        <item x="1"/>
        <item x="36"/>
        <item x="61"/>
        <item x="84"/>
        <item x="45"/>
        <item x="67"/>
        <item x="42"/>
        <item x="62"/>
        <item x="74"/>
        <item x="65"/>
        <item x="86"/>
        <item x="66"/>
        <item x="51"/>
        <item x="34"/>
        <item x="60"/>
        <item x="14"/>
        <item x="44"/>
        <item x="16"/>
        <item x="52"/>
        <item x="37"/>
        <item x="49"/>
        <item x="79"/>
        <item x="13"/>
        <item x="12"/>
        <item x="68"/>
        <item x="20"/>
        <item x="23"/>
        <item x="21"/>
        <item x="80"/>
        <item x="73"/>
        <item x="29"/>
        <item x="83"/>
        <item x="3"/>
        <item x="11"/>
        <item x="64"/>
        <item x="40"/>
        <item x="48"/>
        <item x="47"/>
        <item x="2"/>
        <item x="55"/>
        <item x="0"/>
        <item x="89"/>
        <item x="58"/>
        <item x="25"/>
        <item x="30"/>
        <item x="77"/>
        <item x="33"/>
        <item x="57"/>
        <item x="59"/>
        <item x="78"/>
        <item x="53"/>
        <item t="default"/>
      </items>
    </pivotField>
    <pivotField showAll="0"/>
    <pivotField dataField="1" numFmtId="3" showAll="0"/>
    <pivotField showAll="0"/>
    <pivotField showAll="0"/>
    <pivotField showAll="0"/>
    <pivotField showAll="0"/>
    <pivotField dataField="1" numFmtId="3" showAll="0"/>
    <pivotField showAll="0"/>
    <pivotField dataField="1" numFmtId="3" showAll="0"/>
    <pivotField dataField="1" dragToRow="0" dragToCol="0" dragToPage="0" showAll="0" defaultSubtotal="0"/>
  </pivotFields>
  <rowFields count="1">
    <field x="1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 ID" fld="0" baseField="0" baseItem="0"/>
    <dataField name="Sum of Basic_Sal" fld="3" baseField="0" baseItem="0" numFmtId="3"/>
    <dataField name="Sum of Gross" fld="8" baseField="0" baseItem="0" numFmtId="3"/>
    <dataField name="Sum of Net_Sal" fld="10" baseField="0" baseItem="0" numFmtId="3"/>
    <dataField name="Sum of Difference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4146-0FFB-4074-B313-88326CDF6AA5}">
  <dimension ref="A1:N92"/>
  <sheetViews>
    <sheetView workbookViewId="0">
      <selection activeCell="O11" sqref="O11"/>
    </sheetView>
  </sheetViews>
  <sheetFormatPr defaultRowHeight="14.4" x14ac:dyDescent="0.3"/>
  <cols>
    <col min="2" max="2" width="16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4" x14ac:dyDescent="0.3">
      <c r="A2" s="3">
        <v>101</v>
      </c>
      <c r="B2" s="3" t="s">
        <v>117</v>
      </c>
      <c r="C2" s="3" t="s">
        <v>12</v>
      </c>
      <c r="D2" s="4">
        <v>15000</v>
      </c>
      <c r="E2" s="3">
        <f>D2*50%</f>
        <v>7500</v>
      </c>
      <c r="F2" s="3">
        <f>D2*20%</f>
        <v>3000</v>
      </c>
      <c r="G2" s="3">
        <f>D2*10%</f>
        <v>1500</v>
      </c>
      <c r="H2" s="3">
        <f>2500/12</f>
        <v>208.33333333333334</v>
      </c>
      <c r="I2" s="4">
        <f>SUM(D2:F2)</f>
        <v>25500</v>
      </c>
      <c r="J2" s="3">
        <f>SUM(G2:H2)</f>
        <v>1708.3333333333333</v>
      </c>
      <c r="K2" s="4">
        <f>I2-J2</f>
        <v>23791.666666666668</v>
      </c>
    </row>
    <row r="3" spans="1:14" x14ac:dyDescent="0.3">
      <c r="A3" s="3">
        <v>102</v>
      </c>
      <c r="B3" s="3" t="s">
        <v>13</v>
      </c>
      <c r="C3" s="3" t="s">
        <v>14</v>
      </c>
      <c r="D3" s="4">
        <v>18000</v>
      </c>
      <c r="E3" s="3">
        <f t="shared" ref="E3:E66" si="0">D3*50%</f>
        <v>9000</v>
      </c>
      <c r="F3" s="3">
        <f t="shared" ref="F3:F66" si="1">D3*20%</f>
        <v>3600</v>
      </c>
      <c r="G3" s="3">
        <f t="shared" ref="G3:G66" si="2">D3*10%</f>
        <v>1800</v>
      </c>
      <c r="H3" s="3">
        <f t="shared" ref="H3:H66" si="3">2500/12</f>
        <v>208.33333333333334</v>
      </c>
      <c r="I3" s="4">
        <f t="shared" ref="I3:I66" si="4">SUM(D3:F3)</f>
        <v>30600</v>
      </c>
      <c r="J3" s="3">
        <f t="shared" ref="J3:J66" si="5">SUM(G3:H3)</f>
        <v>2008.3333333333333</v>
      </c>
      <c r="K3" s="4">
        <f t="shared" ref="K3:K66" si="6">I3-J3</f>
        <v>28591.666666666668</v>
      </c>
    </row>
    <row r="4" spans="1:14" x14ac:dyDescent="0.3">
      <c r="A4" s="3">
        <v>103</v>
      </c>
      <c r="B4" s="3" t="s">
        <v>109</v>
      </c>
      <c r="C4" s="3" t="s">
        <v>16</v>
      </c>
      <c r="D4" s="4">
        <v>16000</v>
      </c>
      <c r="E4" s="3">
        <f t="shared" si="0"/>
        <v>8000</v>
      </c>
      <c r="F4" s="3">
        <f t="shared" si="1"/>
        <v>3200</v>
      </c>
      <c r="G4" s="3">
        <f t="shared" si="2"/>
        <v>1600</v>
      </c>
      <c r="H4" s="3">
        <f t="shared" si="3"/>
        <v>208.33333333333334</v>
      </c>
      <c r="I4" s="4">
        <f t="shared" si="4"/>
        <v>27200</v>
      </c>
      <c r="J4" s="3">
        <f t="shared" si="5"/>
        <v>1808.3333333333333</v>
      </c>
      <c r="K4" s="4">
        <f t="shared" si="6"/>
        <v>25391.666666666668</v>
      </c>
      <c r="N4" t="s">
        <v>120</v>
      </c>
    </row>
    <row r="5" spans="1:14" x14ac:dyDescent="0.3">
      <c r="A5" s="3">
        <v>104</v>
      </c>
      <c r="B5" s="3" t="s">
        <v>107</v>
      </c>
      <c r="C5" s="3" t="s">
        <v>18</v>
      </c>
      <c r="D5" s="4">
        <v>17000</v>
      </c>
      <c r="E5" s="3">
        <f t="shared" si="0"/>
        <v>8500</v>
      </c>
      <c r="F5" s="3">
        <f t="shared" si="1"/>
        <v>3400</v>
      </c>
      <c r="G5" s="3">
        <f t="shared" si="2"/>
        <v>1700</v>
      </c>
      <c r="H5" s="3">
        <f t="shared" si="3"/>
        <v>208.33333333333334</v>
      </c>
      <c r="I5" s="4">
        <f t="shared" si="4"/>
        <v>28900</v>
      </c>
      <c r="J5" s="3">
        <f t="shared" si="5"/>
        <v>1908.3333333333333</v>
      </c>
      <c r="K5" s="4">
        <f t="shared" si="6"/>
        <v>26991.666666666668</v>
      </c>
      <c r="N5">
        <f>COUNTIF($C$2:$C$92,"Marketing")</f>
        <v>18</v>
      </c>
    </row>
    <row r="6" spans="1:14" x14ac:dyDescent="0.3">
      <c r="A6" s="3">
        <v>105</v>
      </c>
      <c r="B6" s="3" t="s">
        <v>19</v>
      </c>
      <c r="C6" s="3" t="s">
        <v>20</v>
      </c>
      <c r="D6" s="4">
        <v>20000</v>
      </c>
      <c r="E6" s="3">
        <f t="shared" si="0"/>
        <v>10000</v>
      </c>
      <c r="F6" s="3">
        <f t="shared" si="1"/>
        <v>4000</v>
      </c>
      <c r="G6" s="3">
        <f t="shared" si="2"/>
        <v>2000</v>
      </c>
      <c r="H6" s="3">
        <f t="shared" si="3"/>
        <v>208.33333333333334</v>
      </c>
      <c r="I6" s="4">
        <f t="shared" si="4"/>
        <v>34000</v>
      </c>
      <c r="J6" s="3">
        <f t="shared" si="5"/>
        <v>2208.3333333333335</v>
      </c>
      <c r="K6" s="4">
        <f t="shared" si="6"/>
        <v>31791.666666666668</v>
      </c>
    </row>
    <row r="7" spans="1:14" x14ac:dyDescent="0.3">
      <c r="A7" s="3">
        <v>106</v>
      </c>
      <c r="B7" s="3" t="s">
        <v>108</v>
      </c>
      <c r="C7" s="3" t="s">
        <v>20</v>
      </c>
      <c r="D7" s="4">
        <v>21000</v>
      </c>
      <c r="E7" s="3">
        <f t="shared" si="0"/>
        <v>10500</v>
      </c>
      <c r="F7" s="3">
        <f t="shared" si="1"/>
        <v>4200</v>
      </c>
      <c r="G7" s="3">
        <f t="shared" si="2"/>
        <v>2100</v>
      </c>
      <c r="H7" s="3">
        <f t="shared" si="3"/>
        <v>208.33333333333334</v>
      </c>
      <c r="I7" s="4">
        <f t="shared" si="4"/>
        <v>35700</v>
      </c>
      <c r="J7" s="3">
        <f t="shared" si="5"/>
        <v>2308.3333333333335</v>
      </c>
      <c r="K7" s="4">
        <f>I7-J7</f>
        <v>33391.666666666664</v>
      </c>
      <c r="N7" t="s">
        <v>119</v>
      </c>
    </row>
    <row r="8" spans="1:14" x14ac:dyDescent="0.3">
      <c r="A8" s="3">
        <v>107</v>
      </c>
      <c r="B8" s="3" t="s">
        <v>22</v>
      </c>
      <c r="C8" s="3" t="s">
        <v>14</v>
      </c>
      <c r="D8" s="4">
        <v>13000</v>
      </c>
      <c r="E8" s="3">
        <f t="shared" si="0"/>
        <v>6500</v>
      </c>
      <c r="F8" s="3">
        <f t="shared" si="1"/>
        <v>2600</v>
      </c>
      <c r="G8" s="3">
        <f t="shared" si="2"/>
        <v>1300</v>
      </c>
      <c r="H8" s="3">
        <f t="shared" si="3"/>
        <v>208.33333333333334</v>
      </c>
      <c r="I8" s="4">
        <f t="shared" si="4"/>
        <v>22100</v>
      </c>
      <c r="J8" s="3">
        <f t="shared" si="5"/>
        <v>1508.3333333333333</v>
      </c>
      <c r="K8" s="4">
        <f t="shared" si="6"/>
        <v>20591.666666666668</v>
      </c>
      <c r="N8">
        <f>COUNTIFS($C$2:$C$92,"Sales",$I$2:$I$92,"&lt;30000")</f>
        <v>2</v>
      </c>
    </row>
    <row r="9" spans="1:14" x14ac:dyDescent="0.3">
      <c r="A9" s="3">
        <v>108</v>
      </c>
      <c r="B9" s="3" t="s">
        <v>118</v>
      </c>
      <c r="C9" s="3" t="s">
        <v>12</v>
      </c>
      <c r="D9" s="4">
        <v>14000</v>
      </c>
      <c r="E9" s="3">
        <f t="shared" si="0"/>
        <v>7000</v>
      </c>
      <c r="F9" s="3"/>
      <c r="G9" s="3">
        <f t="shared" si="2"/>
        <v>1400</v>
      </c>
      <c r="H9" s="3">
        <f t="shared" si="3"/>
        <v>208.33333333333334</v>
      </c>
      <c r="I9" s="4">
        <f t="shared" si="4"/>
        <v>21000</v>
      </c>
      <c r="J9" s="3">
        <f t="shared" si="5"/>
        <v>1608.3333333333333</v>
      </c>
      <c r="K9" s="4">
        <f t="shared" si="6"/>
        <v>19391.666666666668</v>
      </c>
    </row>
    <row r="10" spans="1:14" x14ac:dyDescent="0.3">
      <c r="A10" s="3">
        <v>109</v>
      </c>
      <c r="B10" s="3"/>
      <c r="C10" s="3" t="s">
        <v>18</v>
      </c>
      <c r="D10" s="4">
        <v>17000</v>
      </c>
      <c r="E10" s="3">
        <f t="shared" si="0"/>
        <v>8500</v>
      </c>
      <c r="F10" s="3">
        <f t="shared" si="1"/>
        <v>3400</v>
      </c>
      <c r="G10" s="3">
        <f t="shared" si="2"/>
        <v>1700</v>
      </c>
      <c r="H10" s="3">
        <f t="shared" si="3"/>
        <v>208.33333333333334</v>
      </c>
      <c r="I10" s="4">
        <f t="shared" si="4"/>
        <v>28900</v>
      </c>
      <c r="J10" s="3">
        <f t="shared" si="5"/>
        <v>1908.3333333333333</v>
      </c>
      <c r="K10" s="4">
        <f t="shared" si="6"/>
        <v>26991.666666666668</v>
      </c>
    </row>
    <row r="11" spans="1:14" x14ac:dyDescent="0.3">
      <c r="A11" s="3">
        <v>110</v>
      </c>
      <c r="B11" s="3" t="s">
        <v>25</v>
      </c>
      <c r="C11" s="3" t="s">
        <v>16</v>
      </c>
      <c r="D11" s="4">
        <v>21000</v>
      </c>
      <c r="E11" s="3">
        <f t="shared" si="0"/>
        <v>10500</v>
      </c>
      <c r="F11" s="3">
        <f t="shared" si="1"/>
        <v>4200</v>
      </c>
      <c r="G11" s="3">
        <f t="shared" si="2"/>
        <v>2100</v>
      </c>
      <c r="H11" s="3">
        <f t="shared" si="3"/>
        <v>208.33333333333334</v>
      </c>
      <c r="I11" s="4">
        <f t="shared" si="4"/>
        <v>35700</v>
      </c>
      <c r="J11" s="3">
        <f t="shared" si="5"/>
        <v>2308.3333333333335</v>
      </c>
      <c r="K11" s="4">
        <f t="shared" si="6"/>
        <v>33391.666666666664</v>
      </c>
    </row>
    <row r="12" spans="1:14" x14ac:dyDescent="0.3">
      <c r="A12" s="3">
        <v>111</v>
      </c>
      <c r="B12" s="3" t="s">
        <v>26</v>
      </c>
      <c r="C12" s="3" t="s">
        <v>12</v>
      </c>
      <c r="D12" s="4">
        <v>19000</v>
      </c>
      <c r="E12" s="3">
        <f t="shared" si="0"/>
        <v>9500</v>
      </c>
      <c r="F12" s="3">
        <f t="shared" si="1"/>
        <v>3800</v>
      </c>
      <c r="G12" s="3">
        <f t="shared" si="2"/>
        <v>1900</v>
      </c>
      <c r="H12" s="3">
        <f t="shared" si="3"/>
        <v>208.33333333333334</v>
      </c>
      <c r="I12" s="4">
        <f t="shared" si="4"/>
        <v>32300</v>
      </c>
      <c r="J12" s="3">
        <f t="shared" si="5"/>
        <v>2108.3333333333335</v>
      </c>
      <c r="K12" s="4">
        <f t="shared" si="6"/>
        <v>30191.666666666668</v>
      </c>
    </row>
    <row r="13" spans="1:14" x14ac:dyDescent="0.3">
      <c r="A13" s="3">
        <v>112</v>
      </c>
      <c r="B13" s="3" t="s">
        <v>27</v>
      </c>
      <c r="C13" s="3" t="s">
        <v>14</v>
      </c>
      <c r="D13" s="4">
        <v>12000</v>
      </c>
      <c r="E13" s="3">
        <f t="shared" si="0"/>
        <v>6000</v>
      </c>
      <c r="F13" s="3">
        <f t="shared" si="1"/>
        <v>2400</v>
      </c>
      <c r="G13" s="3">
        <f t="shared" si="2"/>
        <v>1200</v>
      </c>
      <c r="H13" s="3">
        <f t="shared" si="3"/>
        <v>208.33333333333334</v>
      </c>
      <c r="I13" s="4">
        <f t="shared" si="4"/>
        <v>20400</v>
      </c>
      <c r="J13" s="3">
        <f t="shared" si="5"/>
        <v>1408.3333333333333</v>
      </c>
      <c r="K13" s="4">
        <f t="shared" si="6"/>
        <v>18991.666666666668</v>
      </c>
    </row>
    <row r="14" spans="1:14" x14ac:dyDescent="0.3">
      <c r="A14" s="3">
        <v>113</v>
      </c>
      <c r="B14" s="3" t="s">
        <v>28</v>
      </c>
      <c r="C14" s="3" t="s">
        <v>20</v>
      </c>
      <c r="D14" s="4"/>
      <c r="E14" s="3">
        <f t="shared" si="0"/>
        <v>0</v>
      </c>
      <c r="F14" s="3">
        <f t="shared" si="1"/>
        <v>0</v>
      </c>
      <c r="G14" s="3">
        <f t="shared" si="2"/>
        <v>0</v>
      </c>
      <c r="H14" s="3">
        <f t="shared" si="3"/>
        <v>208.33333333333334</v>
      </c>
      <c r="I14" s="4">
        <f t="shared" si="4"/>
        <v>0</v>
      </c>
      <c r="J14" s="3">
        <f t="shared" si="5"/>
        <v>208.33333333333334</v>
      </c>
      <c r="K14" s="4">
        <f t="shared" si="6"/>
        <v>-208.33333333333334</v>
      </c>
    </row>
    <row r="15" spans="1:14" x14ac:dyDescent="0.3">
      <c r="A15" s="3">
        <v>114</v>
      </c>
      <c r="B15" s="3" t="s">
        <v>29</v>
      </c>
      <c r="C15" s="3" t="s">
        <v>18</v>
      </c>
      <c r="D15" s="4">
        <v>20000</v>
      </c>
      <c r="E15" s="3">
        <f t="shared" si="0"/>
        <v>10000</v>
      </c>
      <c r="F15" s="3">
        <f t="shared" si="1"/>
        <v>4000</v>
      </c>
      <c r="G15" s="3">
        <f t="shared" si="2"/>
        <v>2000</v>
      </c>
      <c r="H15" s="3">
        <f t="shared" si="3"/>
        <v>208.33333333333334</v>
      </c>
      <c r="I15" s="4">
        <f t="shared" si="4"/>
        <v>34000</v>
      </c>
      <c r="J15" s="3">
        <f t="shared" si="5"/>
        <v>2208.3333333333335</v>
      </c>
      <c r="K15" s="4">
        <f t="shared" si="6"/>
        <v>31791.666666666668</v>
      </c>
    </row>
    <row r="16" spans="1:14" x14ac:dyDescent="0.3">
      <c r="A16" s="3">
        <v>115</v>
      </c>
      <c r="B16" s="3" t="s">
        <v>30</v>
      </c>
      <c r="C16" s="3" t="s">
        <v>16</v>
      </c>
      <c r="D16" s="4">
        <v>23000</v>
      </c>
      <c r="E16" s="3">
        <f t="shared" si="0"/>
        <v>11500</v>
      </c>
      <c r="F16" s="3">
        <f>D16*20%</f>
        <v>4600</v>
      </c>
      <c r="G16" s="3">
        <f t="shared" si="2"/>
        <v>2300</v>
      </c>
      <c r="H16" s="3">
        <f t="shared" si="3"/>
        <v>208.33333333333334</v>
      </c>
      <c r="I16" s="4">
        <f t="shared" si="4"/>
        <v>39100</v>
      </c>
      <c r="J16" s="3">
        <f t="shared" si="5"/>
        <v>2508.3333333333335</v>
      </c>
      <c r="K16" s="4">
        <f t="shared" si="6"/>
        <v>36591.666666666664</v>
      </c>
    </row>
    <row r="17" spans="1:11" x14ac:dyDescent="0.3">
      <c r="A17" s="3">
        <v>116</v>
      </c>
      <c r="B17" s="3" t="s">
        <v>108</v>
      </c>
      <c r="C17" s="3" t="s">
        <v>12</v>
      </c>
      <c r="D17" s="4">
        <v>18238.0952380952</v>
      </c>
      <c r="E17" s="3">
        <f t="shared" si="0"/>
        <v>9119.0476190476002</v>
      </c>
      <c r="F17" s="3">
        <f t="shared" ref="F17" si="7">D17*20%</f>
        <v>3647.6190476190404</v>
      </c>
      <c r="G17" s="3">
        <f>D17*10%</f>
        <v>1823.8095238095202</v>
      </c>
      <c r="H17" s="3">
        <f t="shared" si="3"/>
        <v>208.33333333333334</v>
      </c>
      <c r="I17" s="4">
        <f t="shared" si="4"/>
        <v>31004.761904761843</v>
      </c>
      <c r="J17" s="3">
        <f t="shared" si="5"/>
        <v>2032.1428571428535</v>
      </c>
      <c r="K17" s="4">
        <f t="shared" si="6"/>
        <v>28972.619047618988</v>
      </c>
    </row>
    <row r="18" spans="1:11" x14ac:dyDescent="0.3">
      <c r="A18" s="3">
        <v>117</v>
      </c>
      <c r="B18" s="5" t="s">
        <v>32</v>
      </c>
      <c r="C18" s="3" t="s">
        <v>14</v>
      </c>
      <c r="D18" s="4">
        <v>18359.523809523798</v>
      </c>
      <c r="E18" s="3">
        <f t="shared" si="0"/>
        <v>9179.7619047618991</v>
      </c>
      <c r="F18" s="3">
        <f t="shared" si="1"/>
        <v>3671.9047619047597</v>
      </c>
      <c r="G18" s="3">
        <f t="shared" si="2"/>
        <v>1835.9523809523798</v>
      </c>
      <c r="H18" s="3">
        <f t="shared" si="3"/>
        <v>208.33333333333334</v>
      </c>
      <c r="I18" s="4">
        <f t="shared" si="4"/>
        <v>31211.190476190455</v>
      </c>
      <c r="J18" s="3">
        <f t="shared" si="5"/>
        <v>2044.2857142857131</v>
      </c>
      <c r="K18" s="4">
        <f t="shared" si="6"/>
        <v>29166.904761904741</v>
      </c>
    </row>
    <row r="19" spans="1:11" x14ac:dyDescent="0.3">
      <c r="A19" s="3">
        <v>118</v>
      </c>
      <c r="B19" s="5" t="s">
        <v>33</v>
      </c>
      <c r="C19" s="3" t="s">
        <v>16</v>
      </c>
      <c r="D19" s="4">
        <v>18480.9523809524</v>
      </c>
      <c r="E19" s="3">
        <f t="shared" si="0"/>
        <v>9240.4761904761999</v>
      </c>
      <c r="F19" s="3">
        <f t="shared" si="1"/>
        <v>3696.1904761904802</v>
      </c>
      <c r="G19" s="3">
        <f t="shared" si="2"/>
        <v>1848.0952380952401</v>
      </c>
      <c r="H19" s="3"/>
      <c r="I19" s="4">
        <f t="shared" si="4"/>
        <v>31417.619047619082</v>
      </c>
      <c r="J19" s="3">
        <f t="shared" si="5"/>
        <v>1848.0952380952401</v>
      </c>
      <c r="K19" s="4">
        <f t="shared" si="6"/>
        <v>29569.523809523842</v>
      </c>
    </row>
    <row r="20" spans="1:11" x14ac:dyDescent="0.3">
      <c r="A20" s="3">
        <v>119</v>
      </c>
      <c r="B20" s="5" t="s">
        <v>118</v>
      </c>
      <c r="C20" s="3" t="s">
        <v>18</v>
      </c>
      <c r="D20" s="4">
        <v>18602.3809523809</v>
      </c>
      <c r="E20" s="3">
        <f t="shared" si="0"/>
        <v>9301.1904761904498</v>
      </c>
      <c r="F20" s="3">
        <f t="shared" si="1"/>
        <v>3720.4761904761799</v>
      </c>
      <c r="G20" s="3">
        <f t="shared" si="2"/>
        <v>1860.23809523809</v>
      </c>
      <c r="H20" s="3">
        <f t="shared" si="3"/>
        <v>208.33333333333334</v>
      </c>
      <c r="I20" s="4">
        <f t="shared" si="4"/>
        <v>31624.047619047527</v>
      </c>
      <c r="J20" s="3">
        <f t="shared" si="5"/>
        <v>2068.5714285714234</v>
      </c>
      <c r="K20" s="4">
        <f t="shared" si="6"/>
        <v>29555.476190476104</v>
      </c>
    </row>
    <row r="21" spans="1:11" x14ac:dyDescent="0.3">
      <c r="A21" s="3">
        <v>120</v>
      </c>
      <c r="B21" s="5" t="s">
        <v>35</v>
      </c>
      <c r="C21" s="3" t="s">
        <v>20</v>
      </c>
      <c r="D21" s="4">
        <v>18723.809523809501</v>
      </c>
      <c r="E21" s="3">
        <f t="shared" si="0"/>
        <v>9361.9047619047506</v>
      </c>
      <c r="F21" s="3">
        <f t="shared" si="1"/>
        <v>3744.7619047619005</v>
      </c>
      <c r="G21" s="3">
        <f t="shared" si="2"/>
        <v>1872.3809523809502</v>
      </c>
      <c r="H21" s="3">
        <f t="shared" si="3"/>
        <v>208.33333333333334</v>
      </c>
      <c r="I21" s="4">
        <f t="shared" si="4"/>
        <v>31830.476190476154</v>
      </c>
      <c r="J21" s="3">
        <f t="shared" si="5"/>
        <v>2080.7142857142835</v>
      </c>
      <c r="K21" s="4">
        <f t="shared" si="6"/>
        <v>29749.761904761872</v>
      </c>
    </row>
    <row r="22" spans="1:11" x14ac:dyDescent="0.3">
      <c r="A22" s="3">
        <v>121</v>
      </c>
      <c r="B22" s="5" t="s">
        <v>36</v>
      </c>
      <c r="C22" s="3" t="s">
        <v>20</v>
      </c>
      <c r="D22" s="4">
        <v>18845.238095238099</v>
      </c>
      <c r="E22" s="3">
        <f t="shared" si="0"/>
        <v>9422.6190476190495</v>
      </c>
      <c r="F22" s="3">
        <f t="shared" si="1"/>
        <v>3769.0476190476202</v>
      </c>
      <c r="G22" s="3">
        <f t="shared" si="2"/>
        <v>1884.5238095238101</v>
      </c>
      <c r="H22" s="3">
        <f t="shared" si="3"/>
        <v>208.33333333333334</v>
      </c>
      <c r="I22" s="4">
        <f t="shared" si="4"/>
        <v>32036.904761904771</v>
      </c>
      <c r="J22" s="3">
        <f t="shared" si="5"/>
        <v>2092.8571428571436</v>
      </c>
      <c r="K22" s="4">
        <f t="shared" si="6"/>
        <v>29944.047619047626</v>
      </c>
    </row>
    <row r="23" spans="1:11" x14ac:dyDescent="0.3">
      <c r="A23" s="3">
        <v>122</v>
      </c>
      <c r="B23" s="5" t="s">
        <v>37</v>
      </c>
      <c r="C23" s="3" t="s">
        <v>14</v>
      </c>
      <c r="D23" s="4">
        <v>18966.666666666701</v>
      </c>
      <c r="E23" s="3">
        <f t="shared" si="0"/>
        <v>9483.3333333333503</v>
      </c>
      <c r="F23" s="3">
        <f t="shared" si="1"/>
        <v>3793.3333333333403</v>
      </c>
      <c r="G23" s="3">
        <f t="shared" si="2"/>
        <v>1896.6666666666702</v>
      </c>
      <c r="H23" s="3">
        <f t="shared" si="3"/>
        <v>208.33333333333334</v>
      </c>
      <c r="I23" s="4">
        <f t="shared" si="4"/>
        <v>32243.33333333339</v>
      </c>
      <c r="J23" s="3">
        <f t="shared" si="5"/>
        <v>2105.0000000000036</v>
      </c>
      <c r="K23" s="4">
        <f t="shared" si="6"/>
        <v>30138.333333333387</v>
      </c>
    </row>
    <row r="24" spans="1:11" x14ac:dyDescent="0.3">
      <c r="A24" s="3">
        <v>123</v>
      </c>
      <c r="B24" s="5" t="s">
        <v>38</v>
      </c>
      <c r="C24" s="3" t="s">
        <v>12</v>
      </c>
      <c r="D24" s="4">
        <v>19088.0952380952</v>
      </c>
      <c r="E24" s="3">
        <f t="shared" si="0"/>
        <v>9544.0476190476002</v>
      </c>
      <c r="F24" s="3">
        <f t="shared" si="1"/>
        <v>3817.6190476190404</v>
      </c>
      <c r="G24" s="3">
        <f t="shared" si="2"/>
        <v>1908.8095238095202</v>
      </c>
      <c r="H24" s="3">
        <f t="shared" si="3"/>
        <v>208.33333333333334</v>
      </c>
      <c r="I24" s="4">
        <f t="shared" si="4"/>
        <v>32449.761904761843</v>
      </c>
      <c r="J24" s="3">
        <f t="shared" si="5"/>
        <v>2117.1428571428537</v>
      </c>
      <c r="K24" s="4">
        <f t="shared" si="6"/>
        <v>30332.619047618988</v>
      </c>
    </row>
    <row r="25" spans="1:11" x14ac:dyDescent="0.3">
      <c r="A25" s="3">
        <v>124</v>
      </c>
      <c r="B25" s="5" t="s">
        <v>39</v>
      </c>
      <c r="C25" s="3" t="s">
        <v>18</v>
      </c>
      <c r="D25" s="4">
        <v>19209.523809523798</v>
      </c>
      <c r="E25" s="3">
        <f t="shared" si="0"/>
        <v>9604.7619047618991</v>
      </c>
      <c r="F25" s="3">
        <f t="shared" si="1"/>
        <v>3841.9047619047597</v>
      </c>
      <c r="G25" s="3">
        <f t="shared" si="2"/>
        <v>1920.9523809523798</v>
      </c>
      <c r="H25" s="3">
        <f t="shared" si="3"/>
        <v>208.33333333333334</v>
      </c>
      <c r="I25" s="4">
        <f t="shared" si="4"/>
        <v>32656.190476190455</v>
      </c>
      <c r="J25" s="3">
        <f t="shared" si="5"/>
        <v>2129.2857142857133</v>
      </c>
      <c r="K25" s="4">
        <f t="shared" si="6"/>
        <v>30526.904761904741</v>
      </c>
    </row>
    <row r="26" spans="1:11" x14ac:dyDescent="0.3">
      <c r="A26" s="3">
        <v>125</v>
      </c>
      <c r="B26" s="5" t="s">
        <v>40</v>
      </c>
      <c r="C26" s="3" t="s">
        <v>16</v>
      </c>
      <c r="D26" s="4">
        <v>19330.9523809524</v>
      </c>
      <c r="E26" s="3">
        <f t="shared" si="0"/>
        <v>9665.4761904761999</v>
      </c>
      <c r="F26" s="3">
        <f t="shared" si="1"/>
        <v>3866.1904761904802</v>
      </c>
      <c r="G26" s="3">
        <f t="shared" si="2"/>
        <v>1933.0952380952401</v>
      </c>
      <c r="H26" s="3">
        <f t="shared" si="3"/>
        <v>208.33333333333334</v>
      </c>
      <c r="I26" s="4">
        <f t="shared" si="4"/>
        <v>32862.619047619082</v>
      </c>
      <c r="J26" s="3">
        <f t="shared" si="5"/>
        <v>2141.4285714285734</v>
      </c>
      <c r="K26" s="4">
        <f t="shared" si="6"/>
        <v>30721.19047619051</v>
      </c>
    </row>
    <row r="27" spans="1:11" x14ac:dyDescent="0.3">
      <c r="A27" s="3">
        <v>126</v>
      </c>
      <c r="B27" s="5" t="s">
        <v>41</v>
      </c>
      <c r="C27" s="3" t="s">
        <v>12</v>
      </c>
      <c r="D27" s="4">
        <v>19452.3809523809</v>
      </c>
      <c r="E27" s="3">
        <f t="shared" si="0"/>
        <v>9726.1904761904498</v>
      </c>
      <c r="F27" s="3">
        <f t="shared" si="1"/>
        <v>3890.4761904761799</v>
      </c>
      <c r="G27" s="3">
        <f t="shared" si="2"/>
        <v>1945.23809523809</v>
      </c>
      <c r="H27" s="3">
        <f t="shared" si="3"/>
        <v>208.33333333333334</v>
      </c>
      <c r="I27" s="4">
        <f t="shared" si="4"/>
        <v>33069.047619047531</v>
      </c>
      <c r="J27" s="3">
        <f t="shared" si="5"/>
        <v>2153.5714285714234</v>
      </c>
      <c r="K27" s="4">
        <f t="shared" si="6"/>
        <v>30915.476190476107</v>
      </c>
    </row>
    <row r="28" spans="1:11" x14ac:dyDescent="0.3">
      <c r="A28" s="3">
        <v>127</v>
      </c>
      <c r="B28" s="5" t="s">
        <v>42</v>
      </c>
      <c r="C28" s="3" t="s">
        <v>14</v>
      </c>
      <c r="D28" s="4">
        <v>19573.809523809501</v>
      </c>
      <c r="E28" s="3">
        <f t="shared" si="0"/>
        <v>9786.9047619047506</v>
      </c>
      <c r="F28" s="3">
        <f t="shared" si="1"/>
        <v>3914.7619047619005</v>
      </c>
      <c r="G28" s="3">
        <f t="shared" si="2"/>
        <v>1957.3809523809502</v>
      </c>
      <c r="H28" s="3">
        <f t="shared" si="3"/>
        <v>208.33333333333334</v>
      </c>
      <c r="I28" s="4">
        <f t="shared" si="4"/>
        <v>33275.476190476154</v>
      </c>
      <c r="J28" s="3">
        <f t="shared" si="5"/>
        <v>2165.7142857142835</v>
      </c>
      <c r="K28" s="4">
        <f t="shared" si="6"/>
        <v>31109.761904761872</v>
      </c>
    </row>
    <row r="29" spans="1:11" x14ac:dyDescent="0.3">
      <c r="A29" s="3">
        <v>128</v>
      </c>
      <c r="B29" s="5" t="s">
        <v>43</v>
      </c>
      <c r="C29" s="3" t="s">
        <v>20</v>
      </c>
      <c r="D29" s="4">
        <v>19695.238095238099</v>
      </c>
      <c r="E29" s="3">
        <f t="shared" si="0"/>
        <v>9847.6190476190495</v>
      </c>
      <c r="F29" s="3">
        <f t="shared" si="1"/>
        <v>3939.0476190476202</v>
      </c>
      <c r="G29" s="3">
        <f t="shared" si="2"/>
        <v>1969.5238095238101</v>
      </c>
      <c r="H29" s="3">
        <f t="shared" si="3"/>
        <v>208.33333333333334</v>
      </c>
      <c r="I29" s="4">
        <f t="shared" si="4"/>
        <v>33481.904761904771</v>
      </c>
      <c r="J29" s="3">
        <f t="shared" si="5"/>
        <v>2177.8571428571436</v>
      </c>
      <c r="K29" s="4">
        <f t="shared" si="6"/>
        <v>31304.047619047626</v>
      </c>
    </row>
    <row r="30" spans="1:11" x14ac:dyDescent="0.3">
      <c r="A30" s="3">
        <v>129</v>
      </c>
      <c r="B30" s="5" t="s">
        <v>44</v>
      </c>
      <c r="C30" s="3" t="s">
        <v>18</v>
      </c>
      <c r="D30" s="4">
        <v>19816.666666666701</v>
      </c>
      <c r="E30" s="3">
        <f t="shared" si="0"/>
        <v>9908.3333333333503</v>
      </c>
      <c r="F30" s="3">
        <f t="shared" si="1"/>
        <v>3963.3333333333403</v>
      </c>
      <c r="G30" s="3">
        <f t="shared" si="2"/>
        <v>1981.6666666666702</v>
      </c>
      <c r="H30" s="3">
        <f t="shared" si="3"/>
        <v>208.33333333333334</v>
      </c>
      <c r="I30" s="4">
        <f t="shared" si="4"/>
        <v>33688.333333333394</v>
      </c>
      <c r="J30" s="3">
        <f t="shared" si="5"/>
        <v>2190.0000000000036</v>
      </c>
      <c r="K30" s="4">
        <f t="shared" si="6"/>
        <v>31498.33333333339</v>
      </c>
    </row>
    <row r="31" spans="1:11" x14ac:dyDescent="0.3">
      <c r="A31" s="3">
        <v>130</v>
      </c>
      <c r="B31" s="5" t="s">
        <v>45</v>
      </c>
      <c r="C31" s="3" t="s">
        <v>16</v>
      </c>
      <c r="D31" s="4">
        <v>19938.0952380952</v>
      </c>
      <c r="E31" s="3">
        <f t="shared" si="0"/>
        <v>9969.0476190476002</v>
      </c>
      <c r="F31" s="3">
        <f t="shared" si="1"/>
        <v>3987.6190476190404</v>
      </c>
      <c r="G31" s="3">
        <f t="shared" si="2"/>
        <v>1993.8095238095202</v>
      </c>
      <c r="H31" s="3">
        <f t="shared" si="3"/>
        <v>208.33333333333334</v>
      </c>
      <c r="I31" s="4">
        <f t="shared" si="4"/>
        <v>33894.761904761843</v>
      </c>
      <c r="J31" s="3">
        <f t="shared" si="5"/>
        <v>2202.1428571428537</v>
      </c>
      <c r="K31" s="4">
        <f t="shared" si="6"/>
        <v>31692.619047618988</v>
      </c>
    </row>
    <row r="32" spans="1:11" x14ac:dyDescent="0.3">
      <c r="A32" s="3">
        <v>131</v>
      </c>
      <c r="B32" s="5" t="s">
        <v>46</v>
      </c>
      <c r="C32" s="3" t="s">
        <v>12</v>
      </c>
      <c r="D32" s="4">
        <v>20059.523809523798</v>
      </c>
      <c r="E32" s="3">
        <f t="shared" si="0"/>
        <v>10029.761904761899</v>
      </c>
      <c r="F32" s="3">
        <f t="shared" si="1"/>
        <v>4011.9047619047597</v>
      </c>
      <c r="G32" s="3">
        <f t="shared" si="2"/>
        <v>2005.9523809523798</v>
      </c>
      <c r="H32" s="3">
        <f t="shared" si="3"/>
        <v>208.33333333333334</v>
      </c>
      <c r="I32" s="4">
        <f t="shared" si="4"/>
        <v>34101.190476190459</v>
      </c>
      <c r="J32" s="3">
        <f t="shared" si="5"/>
        <v>2214.2857142857133</v>
      </c>
      <c r="K32" s="4">
        <f t="shared" si="6"/>
        <v>31886.904761904745</v>
      </c>
    </row>
    <row r="33" spans="1:11" x14ac:dyDescent="0.3">
      <c r="A33" s="3">
        <v>132</v>
      </c>
      <c r="B33" s="5" t="s">
        <v>47</v>
      </c>
      <c r="C33" s="3" t="s">
        <v>14</v>
      </c>
      <c r="D33" s="4">
        <v>20180.9523809524</v>
      </c>
      <c r="E33" s="3">
        <f t="shared" si="0"/>
        <v>10090.4761904762</v>
      </c>
      <c r="F33" s="3">
        <f t="shared" si="1"/>
        <v>4036.1904761904802</v>
      </c>
      <c r="G33" s="3">
        <f t="shared" si="2"/>
        <v>2018.0952380952401</v>
      </c>
      <c r="H33" s="3">
        <f t="shared" si="3"/>
        <v>208.33333333333334</v>
      </c>
      <c r="I33" s="4">
        <f t="shared" si="4"/>
        <v>34307.619047619082</v>
      </c>
      <c r="J33" s="3">
        <f t="shared" si="5"/>
        <v>2226.4285714285734</v>
      </c>
      <c r="K33" s="4">
        <f t="shared" si="6"/>
        <v>32081.19047619051</v>
      </c>
    </row>
    <row r="34" spans="1:11" x14ac:dyDescent="0.3">
      <c r="A34" s="3">
        <v>133</v>
      </c>
      <c r="B34" s="5" t="s">
        <v>48</v>
      </c>
      <c r="C34" s="3" t="s">
        <v>16</v>
      </c>
      <c r="D34" s="4">
        <v>20302.3809523809</v>
      </c>
      <c r="E34" s="3">
        <f t="shared" si="0"/>
        <v>10151.19047619045</v>
      </c>
      <c r="F34" s="3">
        <f t="shared" si="1"/>
        <v>4060.4761904761799</v>
      </c>
      <c r="G34" s="3">
        <f t="shared" si="2"/>
        <v>2030.23809523809</v>
      </c>
      <c r="H34" s="3">
        <f t="shared" si="3"/>
        <v>208.33333333333334</v>
      </c>
      <c r="I34" s="4">
        <f t="shared" si="4"/>
        <v>34514.047619047531</v>
      </c>
      <c r="J34" s="3">
        <f t="shared" si="5"/>
        <v>2238.5714285714234</v>
      </c>
      <c r="K34" s="4">
        <f t="shared" si="6"/>
        <v>32275.476190476107</v>
      </c>
    </row>
    <row r="35" spans="1:11" x14ac:dyDescent="0.3">
      <c r="A35" s="3">
        <v>134</v>
      </c>
      <c r="B35" s="5" t="s">
        <v>49</v>
      </c>
      <c r="C35" s="3" t="s">
        <v>18</v>
      </c>
      <c r="D35" s="4">
        <v>20423.809523809501</v>
      </c>
      <c r="E35" s="3">
        <f t="shared" si="0"/>
        <v>10211.904761904751</v>
      </c>
      <c r="F35" s="3">
        <f t="shared" si="1"/>
        <v>4084.7619047619005</v>
      </c>
      <c r="G35" s="3">
        <f t="shared" si="2"/>
        <v>2042.3809523809502</v>
      </c>
      <c r="H35" s="3">
        <f t="shared" si="3"/>
        <v>208.33333333333334</v>
      </c>
      <c r="I35" s="4">
        <f t="shared" si="4"/>
        <v>34720.476190476154</v>
      </c>
      <c r="J35" s="3">
        <f t="shared" si="5"/>
        <v>2250.7142857142835</v>
      </c>
      <c r="K35" s="4">
        <f t="shared" si="6"/>
        <v>32469.761904761872</v>
      </c>
    </row>
    <row r="36" spans="1:11" x14ac:dyDescent="0.3">
      <c r="A36" s="3">
        <v>135</v>
      </c>
      <c r="B36" s="5" t="s">
        <v>50</v>
      </c>
      <c r="C36" s="3" t="s">
        <v>20</v>
      </c>
      <c r="D36" s="4">
        <v>20545.238095238099</v>
      </c>
      <c r="E36" s="3">
        <f t="shared" si="0"/>
        <v>10272.61904761905</v>
      </c>
      <c r="F36" s="3">
        <f t="shared" si="1"/>
        <v>4109.0476190476202</v>
      </c>
      <c r="G36" s="3">
        <f t="shared" si="2"/>
        <v>2054.5238095238101</v>
      </c>
      <c r="H36" s="3">
        <f t="shared" si="3"/>
        <v>208.33333333333334</v>
      </c>
      <c r="I36" s="4">
        <f t="shared" si="4"/>
        <v>34926.904761904771</v>
      </c>
      <c r="J36" s="3">
        <f t="shared" si="5"/>
        <v>2262.8571428571436</v>
      </c>
      <c r="K36" s="4">
        <f t="shared" si="6"/>
        <v>32664.047619047626</v>
      </c>
    </row>
    <row r="37" spans="1:11" x14ac:dyDescent="0.3">
      <c r="A37" s="3">
        <v>136</v>
      </c>
      <c r="B37" s="5" t="s">
        <v>51</v>
      </c>
      <c r="C37" s="3" t="s">
        <v>20</v>
      </c>
      <c r="D37" s="4">
        <v>20666.666666666701</v>
      </c>
      <c r="E37" s="3">
        <f t="shared" si="0"/>
        <v>10333.33333333335</v>
      </c>
      <c r="F37" s="3">
        <f t="shared" si="1"/>
        <v>4133.3333333333403</v>
      </c>
      <c r="G37" s="3">
        <f t="shared" si="2"/>
        <v>2066.6666666666702</v>
      </c>
      <c r="H37" s="3">
        <f t="shared" si="3"/>
        <v>208.33333333333334</v>
      </c>
      <c r="I37" s="4">
        <f t="shared" si="4"/>
        <v>35133.333333333394</v>
      </c>
      <c r="J37" s="3">
        <f t="shared" si="5"/>
        <v>2275.0000000000036</v>
      </c>
      <c r="K37" s="4">
        <f t="shared" si="6"/>
        <v>32858.333333333387</v>
      </c>
    </row>
    <row r="38" spans="1:11" x14ac:dyDescent="0.3">
      <c r="A38" s="3">
        <v>137</v>
      </c>
      <c r="B38" s="5" t="s">
        <v>52</v>
      </c>
      <c r="C38" s="3" t="s">
        <v>14</v>
      </c>
      <c r="D38" s="4">
        <v>20788.0952380952</v>
      </c>
      <c r="E38" s="3">
        <f t="shared" si="0"/>
        <v>10394.0476190476</v>
      </c>
      <c r="F38" s="3">
        <f t="shared" si="1"/>
        <v>4157.6190476190404</v>
      </c>
      <c r="G38" s="3">
        <f t="shared" si="2"/>
        <v>2078.8095238095202</v>
      </c>
      <c r="H38" s="3">
        <f t="shared" si="3"/>
        <v>208.33333333333334</v>
      </c>
      <c r="I38" s="4">
        <f t="shared" si="4"/>
        <v>35339.761904761843</v>
      </c>
      <c r="J38" s="3">
        <f t="shared" si="5"/>
        <v>2287.1428571428537</v>
      </c>
      <c r="K38" s="4">
        <f t="shared" si="6"/>
        <v>33052.619047618988</v>
      </c>
    </row>
    <row r="39" spans="1:11" x14ac:dyDescent="0.3">
      <c r="A39" s="3">
        <v>138</v>
      </c>
      <c r="B39" s="5" t="s">
        <v>53</v>
      </c>
      <c r="C39" s="3" t="s">
        <v>12</v>
      </c>
      <c r="D39" s="4">
        <v>20909.523809523798</v>
      </c>
      <c r="E39" s="3">
        <f t="shared" si="0"/>
        <v>10454.761904761899</v>
      </c>
      <c r="F39" s="3">
        <f t="shared" si="1"/>
        <v>4181.9047619047597</v>
      </c>
      <c r="G39" s="3">
        <f t="shared" si="2"/>
        <v>2090.9523809523798</v>
      </c>
      <c r="H39" s="3">
        <f t="shared" si="3"/>
        <v>208.33333333333334</v>
      </c>
      <c r="I39" s="4">
        <f t="shared" si="4"/>
        <v>35546.190476190459</v>
      </c>
      <c r="J39" s="3">
        <f t="shared" si="5"/>
        <v>2299.2857142857133</v>
      </c>
      <c r="K39" s="4">
        <f t="shared" si="6"/>
        <v>33246.904761904749</v>
      </c>
    </row>
    <row r="40" spans="1:11" x14ac:dyDescent="0.3">
      <c r="A40" s="3">
        <v>139</v>
      </c>
      <c r="B40" s="5" t="s">
        <v>54</v>
      </c>
      <c r="C40" s="3" t="s">
        <v>18</v>
      </c>
      <c r="D40" s="4">
        <v>21030.9523809524</v>
      </c>
      <c r="E40" s="3">
        <f t="shared" si="0"/>
        <v>10515.4761904762</v>
      </c>
      <c r="F40" s="3">
        <f t="shared" si="1"/>
        <v>4206.1904761904798</v>
      </c>
      <c r="G40" s="3">
        <f t="shared" si="2"/>
        <v>2103.0952380952399</v>
      </c>
      <c r="H40" s="3">
        <f t="shared" si="3"/>
        <v>208.33333333333334</v>
      </c>
      <c r="I40" s="4">
        <f t="shared" si="4"/>
        <v>35752.619047619082</v>
      </c>
      <c r="J40" s="3">
        <f t="shared" si="5"/>
        <v>2311.4285714285734</v>
      </c>
      <c r="K40" s="4">
        <f t="shared" si="6"/>
        <v>33441.19047619051</v>
      </c>
    </row>
    <row r="41" spans="1:11" x14ac:dyDescent="0.3">
      <c r="A41" s="3">
        <v>140</v>
      </c>
      <c r="B41" s="5" t="s">
        <v>55</v>
      </c>
      <c r="C41" s="3" t="s">
        <v>16</v>
      </c>
      <c r="D41" s="4">
        <v>21152.3809523809</v>
      </c>
      <c r="E41" s="3">
        <f t="shared" si="0"/>
        <v>10576.19047619045</v>
      </c>
      <c r="F41" s="3">
        <f t="shared" si="1"/>
        <v>4230.4761904761799</v>
      </c>
      <c r="G41" s="3">
        <f t="shared" si="2"/>
        <v>2115.23809523809</v>
      </c>
      <c r="H41" s="3">
        <f t="shared" si="3"/>
        <v>208.33333333333334</v>
      </c>
      <c r="I41" s="4">
        <f t="shared" si="4"/>
        <v>35959.047619047531</v>
      </c>
      <c r="J41" s="3">
        <f t="shared" si="5"/>
        <v>2323.5714285714234</v>
      </c>
      <c r="K41" s="4">
        <f t="shared" si="6"/>
        <v>33635.476190476111</v>
      </c>
    </row>
    <row r="42" spans="1:11" x14ac:dyDescent="0.3">
      <c r="A42" s="3">
        <v>141</v>
      </c>
      <c r="B42" s="5" t="s">
        <v>56</v>
      </c>
      <c r="C42" s="3" t="s">
        <v>12</v>
      </c>
      <c r="D42" s="4">
        <v>21273.809523809501</v>
      </c>
      <c r="E42" s="3">
        <f t="shared" si="0"/>
        <v>10636.904761904751</v>
      </c>
      <c r="F42" s="3">
        <f t="shared" si="1"/>
        <v>4254.7619047619</v>
      </c>
      <c r="G42" s="3">
        <f t="shared" si="2"/>
        <v>2127.38095238095</v>
      </c>
      <c r="H42" s="3">
        <f t="shared" si="3"/>
        <v>208.33333333333334</v>
      </c>
      <c r="I42" s="4">
        <f t="shared" si="4"/>
        <v>36165.476190476154</v>
      </c>
      <c r="J42" s="3">
        <f t="shared" si="5"/>
        <v>2335.7142857142835</v>
      </c>
      <c r="K42" s="4">
        <f t="shared" si="6"/>
        <v>33829.761904761872</v>
      </c>
    </row>
    <row r="43" spans="1:11" x14ac:dyDescent="0.3">
      <c r="A43" s="3">
        <v>142</v>
      </c>
      <c r="B43" s="5" t="s">
        <v>57</v>
      </c>
      <c r="C43" s="3" t="s">
        <v>14</v>
      </c>
      <c r="D43" s="4">
        <v>21395.238095238099</v>
      </c>
      <c r="E43" s="3">
        <f t="shared" si="0"/>
        <v>10697.61904761905</v>
      </c>
      <c r="F43" s="3">
        <f t="shared" si="1"/>
        <v>4279.0476190476202</v>
      </c>
      <c r="G43" s="3">
        <f t="shared" si="2"/>
        <v>2139.5238095238101</v>
      </c>
      <c r="H43" s="3">
        <f t="shared" si="3"/>
        <v>208.33333333333334</v>
      </c>
      <c r="I43" s="4">
        <f t="shared" si="4"/>
        <v>36371.904761904771</v>
      </c>
      <c r="J43" s="3">
        <f t="shared" si="5"/>
        <v>2347.8571428571436</v>
      </c>
      <c r="K43" s="4">
        <f t="shared" si="6"/>
        <v>34024.047619047626</v>
      </c>
    </row>
    <row r="44" spans="1:11" x14ac:dyDescent="0.3">
      <c r="A44" s="3">
        <v>143</v>
      </c>
      <c r="B44" s="5" t="s">
        <v>58</v>
      </c>
      <c r="C44" s="3" t="s">
        <v>20</v>
      </c>
      <c r="D44" s="4">
        <v>21516.666666666701</v>
      </c>
      <c r="E44" s="3">
        <f t="shared" si="0"/>
        <v>10758.33333333335</v>
      </c>
      <c r="F44" s="3">
        <f t="shared" si="1"/>
        <v>4303.3333333333403</v>
      </c>
      <c r="G44" s="3">
        <f t="shared" si="2"/>
        <v>2151.6666666666702</v>
      </c>
      <c r="H44" s="3">
        <f t="shared" si="3"/>
        <v>208.33333333333334</v>
      </c>
      <c r="I44" s="4">
        <f t="shared" si="4"/>
        <v>36578.333333333394</v>
      </c>
      <c r="J44" s="3">
        <f t="shared" si="5"/>
        <v>2360.0000000000036</v>
      </c>
      <c r="K44" s="4">
        <f t="shared" si="6"/>
        <v>34218.333333333387</v>
      </c>
    </row>
    <row r="45" spans="1:11" x14ac:dyDescent="0.3">
      <c r="A45" s="3">
        <v>144</v>
      </c>
      <c r="B45" s="5" t="s">
        <v>59</v>
      </c>
      <c r="C45" s="3" t="s">
        <v>18</v>
      </c>
      <c r="D45" s="4">
        <v>21638.0952380952</v>
      </c>
      <c r="E45" s="3">
        <f t="shared" si="0"/>
        <v>10819.0476190476</v>
      </c>
      <c r="F45" s="3">
        <f t="shared" si="1"/>
        <v>4327.6190476190404</v>
      </c>
      <c r="G45" s="3">
        <f t="shared" si="2"/>
        <v>2163.8095238095202</v>
      </c>
      <c r="H45" s="3">
        <f t="shared" si="3"/>
        <v>208.33333333333334</v>
      </c>
      <c r="I45" s="4">
        <f t="shared" si="4"/>
        <v>36784.761904761843</v>
      </c>
      <c r="J45" s="3">
        <f t="shared" si="5"/>
        <v>2372.1428571428537</v>
      </c>
      <c r="K45" s="4">
        <f t="shared" si="6"/>
        <v>34412.619047618988</v>
      </c>
    </row>
    <row r="46" spans="1:11" x14ac:dyDescent="0.3">
      <c r="A46" s="3">
        <v>145</v>
      </c>
      <c r="B46" s="5" t="s">
        <v>60</v>
      </c>
      <c r="C46" s="3" t="s">
        <v>16</v>
      </c>
      <c r="D46" s="4">
        <v>21759.523809523798</v>
      </c>
      <c r="E46" s="3">
        <f t="shared" si="0"/>
        <v>10879.761904761899</v>
      </c>
      <c r="F46" s="3">
        <f t="shared" si="1"/>
        <v>4351.9047619047597</v>
      </c>
      <c r="G46" s="3">
        <f t="shared" si="2"/>
        <v>2175.9523809523798</v>
      </c>
      <c r="H46" s="3">
        <f t="shared" si="3"/>
        <v>208.33333333333334</v>
      </c>
      <c r="I46" s="4">
        <f t="shared" si="4"/>
        <v>36991.190476190459</v>
      </c>
      <c r="J46" s="3">
        <f t="shared" si="5"/>
        <v>2384.2857142857133</v>
      </c>
      <c r="K46" s="4">
        <f t="shared" si="6"/>
        <v>34606.904761904749</v>
      </c>
    </row>
    <row r="47" spans="1:11" x14ac:dyDescent="0.3">
      <c r="A47" s="3">
        <v>146</v>
      </c>
      <c r="B47" s="5" t="s">
        <v>61</v>
      </c>
      <c r="C47" s="3" t="s">
        <v>12</v>
      </c>
      <c r="D47" s="4">
        <v>21880.9523809524</v>
      </c>
      <c r="E47" s="3">
        <f t="shared" si="0"/>
        <v>10940.4761904762</v>
      </c>
      <c r="F47" s="3">
        <f t="shared" si="1"/>
        <v>4376.1904761904798</v>
      </c>
      <c r="G47" s="3">
        <f t="shared" si="2"/>
        <v>2188.0952380952399</v>
      </c>
      <c r="H47" s="3">
        <f t="shared" si="3"/>
        <v>208.33333333333334</v>
      </c>
      <c r="I47" s="4">
        <f t="shared" si="4"/>
        <v>37197.619047619082</v>
      </c>
      <c r="J47" s="3">
        <f t="shared" si="5"/>
        <v>2396.4285714285734</v>
      </c>
      <c r="K47" s="4">
        <f t="shared" si="6"/>
        <v>34801.19047619051</v>
      </c>
    </row>
    <row r="48" spans="1:11" x14ac:dyDescent="0.3">
      <c r="A48" s="3">
        <v>147</v>
      </c>
      <c r="B48" s="5" t="s">
        <v>62</v>
      </c>
      <c r="C48" s="3" t="s">
        <v>14</v>
      </c>
      <c r="D48" s="4">
        <v>22002.3809523809</v>
      </c>
      <c r="E48" s="3">
        <f t="shared" si="0"/>
        <v>11001.19047619045</v>
      </c>
      <c r="F48" s="3">
        <f t="shared" si="1"/>
        <v>4400.4761904761799</v>
      </c>
      <c r="G48" s="3">
        <f t="shared" si="2"/>
        <v>2200.23809523809</v>
      </c>
      <c r="H48" s="3">
        <f t="shared" si="3"/>
        <v>208.33333333333334</v>
      </c>
      <c r="I48" s="4">
        <f t="shared" si="4"/>
        <v>37404.047619047531</v>
      </c>
      <c r="J48" s="3">
        <f t="shared" si="5"/>
        <v>2408.5714285714234</v>
      </c>
      <c r="K48" s="4">
        <f t="shared" si="6"/>
        <v>34995.476190476111</v>
      </c>
    </row>
    <row r="49" spans="1:11" x14ac:dyDescent="0.3">
      <c r="A49" s="3">
        <v>148</v>
      </c>
      <c r="B49" s="5" t="s">
        <v>63</v>
      </c>
      <c r="C49" s="3" t="s">
        <v>16</v>
      </c>
      <c r="D49" s="4">
        <v>22123.809523809501</v>
      </c>
      <c r="E49" s="3">
        <f t="shared" si="0"/>
        <v>11061.904761904751</v>
      </c>
      <c r="F49" s="3">
        <f t="shared" si="1"/>
        <v>4424.7619047619</v>
      </c>
      <c r="G49" s="3">
        <f t="shared" si="2"/>
        <v>2212.38095238095</v>
      </c>
      <c r="H49" s="3">
        <f t="shared" si="3"/>
        <v>208.33333333333334</v>
      </c>
      <c r="I49" s="4">
        <f t="shared" si="4"/>
        <v>37610.476190476154</v>
      </c>
      <c r="J49" s="3">
        <f t="shared" si="5"/>
        <v>2420.7142857142835</v>
      </c>
      <c r="K49" s="4">
        <f t="shared" si="6"/>
        <v>35189.761904761872</v>
      </c>
    </row>
    <row r="50" spans="1:11" x14ac:dyDescent="0.3">
      <c r="A50" s="3">
        <v>149</v>
      </c>
      <c r="B50" s="5" t="s">
        <v>64</v>
      </c>
      <c r="C50" s="3" t="s">
        <v>18</v>
      </c>
      <c r="D50" s="4">
        <v>22245.238095238099</v>
      </c>
      <c r="E50" s="3">
        <f t="shared" si="0"/>
        <v>11122.61904761905</v>
      </c>
      <c r="F50" s="3">
        <f t="shared" si="1"/>
        <v>4449.0476190476202</v>
      </c>
      <c r="G50" s="3">
        <f t="shared" si="2"/>
        <v>2224.5238095238101</v>
      </c>
      <c r="H50" s="3">
        <f t="shared" si="3"/>
        <v>208.33333333333334</v>
      </c>
      <c r="I50" s="4">
        <f t="shared" si="4"/>
        <v>37816.904761904763</v>
      </c>
      <c r="J50" s="3">
        <f t="shared" si="5"/>
        <v>2432.8571428571436</v>
      </c>
      <c r="K50" s="4">
        <f t="shared" si="6"/>
        <v>35384.047619047618</v>
      </c>
    </row>
    <row r="51" spans="1:11" x14ac:dyDescent="0.3">
      <c r="A51" s="3">
        <v>150</v>
      </c>
      <c r="B51" s="5" t="s">
        <v>65</v>
      </c>
      <c r="C51" s="3" t="s">
        <v>20</v>
      </c>
      <c r="D51" s="4">
        <v>22366.666666666701</v>
      </c>
      <c r="E51" s="3">
        <f t="shared" si="0"/>
        <v>11183.33333333335</v>
      </c>
      <c r="F51" s="3">
        <f t="shared" si="1"/>
        <v>4473.3333333333403</v>
      </c>
      <c r="G51" s="3">
        <f t="shared" si="2"/>
        <v>2236.6666666666702</v>
      </c>
      <c r="H51" s="3">
        <f t="shared" si="3"/>
        <v>208.33333333333334</v>
      </c>
      <c r="I51" s="4">
        <f t="shared" si="4"/>
        <v>38023.333333333394</v>
      </c>
      <c r="J51" s="3">
        <f t="shared" si="5"/>
        <v>2445.0000000000036</v>
      </c>
      <c r="K51" s="4">
        <f t="shared" si="6"/>
        <v>35578.333333333387</v>
      </c>
    </row>
    <row r="52" spans="1:11" x14ac:dyDescent="0.3">
      <c r="A52" s="3">
        <v>151</v>
      </c>
      <c r="B52" s="5" t="s">
        <v>66</v>
      </c>
      <c r="C52" s="3" t="s">
        <v>20</v>
      </c>
      <c r="D52" s="4">
        <v>22488.0952380952</v>
      </c>
      <c r="E52" s="3">
        <f t="shared" si="0"/>
        <v>11244.0476190476</v>
      </c>
      <c r="F52" s="3">
        <f t="shared" si="1"/>
        <v>4497.6190476190404</v>
      </c>
      <c r="G52" s="3">
        <f t="shared" si="2"/>
        <v>2248.8095238095202</v>
      </c>
      <c r="H52" s="3">
        <f t="shared" si="3"/>
        <v>208.33333333333334</v>
      </c>
      <c r="I52" s="4">
        <f t="shared" si="4"/>
        <v>38229.761904761835</v>
      </c>
      <c r="J52" s="3">
        <f t="shared" si="5"/>
        <v>2457.1428571428537</v>
      </c>
      <c r="K52" s="4">
        <f t="shared" si="6"/>
        <v>35772.61904761898</v>
      </c>
    </row>
    <row r="53" spans="1:11" x14ac:dyDescent="0.3">
      <c r="A53" s="3">
        <v>152</v>
      </c>
      <c r="B53" s="5" t="s">
        <v>67</v>
      </c>
      <c r="C53" s="3" t="s">
        <v>14</v>
      </c>
      <c r="D53" s="4">
        <v>22609.523809523798</v>
      </c>
      <c r="E53" s="3">
        <f t="shared" si="0"/>
        <v>11304.761904761899</v>
      </c>
      <c r="F53" s="3">
        <f t="shared" si="1"/>
        <v>4521.9047619047597</v>
      </c>
      <c r="G53" s="3">
        <f t="shared" si="2"/>
        <v>2260.9523809523798</v>
      </c>
      <c r="H53" s="3">
        <f t="shared" si="3"/>
        <v>208.33333333333334</v>
      </c>
      <c r="I53" s="4">
        <f t="shared" si="4"/>
        <v>38436.190476190459</v>
      </c>
      <c r="J53" s="3">
        <f t="shared" si="5"/>
        <v>2469.2857142857133</v>
      </c>
      <c r="K53" s="4">
        <f t="shared" si="6"/>
        <v>35966.904761904749</v>
      </c>
    </row>
    <row r="54" spans="1:11" x14ac:dyDescent="0.3">
      <c r="A54" s="3">
        <v>153</v>
      </c>
      <c r="B54" s="5" t="s">
        <v>68</v>
      </c>
      <c r="C54" s="3" t="s">
        <v>12</v>
      </c>
      <c r="D54" s="4">
        <v>22730.9523809524</v>
      </c>
      <c r="E54" s="3">
        <f t="shared" si="0"/>
        <v>11365.4761904762</v>
      </c>
      <c r="F54" s="3">
        <f t="shared" si="1"/>
        <v>4546.1904761904798</v>
      </c>
      <c r="G54" s="3">
        <f t="shared" si="2"/>
        <v>2273.0952380952399</v>
      </c>
      <c r="H54" s="3">
        <f t="shared" si="3"/>
        <v>208.33333333333334</v>
      </c>
      <c r="I54" s="4">
        <f t="shared" si="4"/>
        <v>38642.619047619082</v>
      </c>
      <c r="J54" s="3">
        <f t="shared" si="5"/>
        <v>2481.4285714285734</v>
      </c>
      <c r="K54" s="4">
        <f t="shared" si="6"/>
        <v>36161.19047619051</v>
      </c>
    </row>
    <row r="55" spans="1:11" x14ac:dyDescent="0.3">
      <c r="A55" s="3">
        <v>154</v>
      </c>
      <c r="B55" s="5" t="s">
        <v>69</v>
      </c>
      <c r="C55" s="3" t="s">
        <v>18</v>
      </c>
      <c r="D55" s="4">
        <v>22852.3809523809</v>
      </c>
      <c r="E55" s="3">
        <f t="shared" si="0"/>
        <v>11426.19047619045</v>
      </c>
      <c r="F55" s="3">
        <f t="shared" si="1"/>
        <v>4570.4761904761799</v>
      </c>
      <c r="G55" s="3">
        <f t="shared" si="2"/>
        <v>2285.23809523809</v>
      </c>
      <c r="H55" s="3">
        <f t="shared" si="3"/>
        <v>208.33333333333334</v>
      </c>
      <c r="I55" s="4">
        <f t="shared" si="4"/>
        <v>38849.047619047531</v>
      </c>
      <c r="J55" s="3">
        <f t="shared" si="5"/>
        <v>2493.5714285714234</v>
      </c>
      <c r="K55" s="4">
        <f t="shared" si="6"/>
        <v>36355.476190476111</v>
      </c>
    </row>
    <row r="56" spans="1:11" x14ac:dyDescent="0.3">
      <c r="A56" s="3">
        <v>155</v>
      </c>
      <c r="B56" s="5" t="s">
        <v>70</v>
      </c>
      <c r="C56" s="3" t="s">
        <v>16</v>
      </c>
      <c r="D56" s="4">
        <v>22973.809523809501</v>
      </c>
      <c r="E56" s="3">
        <f t="shared" si="0"/>
        <v>11486.904761904751</v>
      </c>
      <c r="F56" s="3">
        <f t="shared" si="1"/>
        <v>4594.7619047619</v>
      </c>
      <c r="G56" s="3">
        <f t="shared" si="2"/>
        <v>2297.38095238095</v>
      </c>
      <c r="H56" s="3">
        <f t="shared" si="3"/>
        <v>208.33333333333334</v>
      </c>
      <c r="I56" s="4">
        <f t="shared" si="4"/>
        <v>39055.476190476154</v>
      </c>
      <c r="J56" s="3">
        <f t="shared" si="5"/>
        <v>2505.7142857142835</v>
      </c>
      <c r="K56" s="4">
        <f t="shared" si="6"/>
        <v>36549.761904761872</v>
      </c>
    </row>
    <row r="57" spans="1:11" x14ac:dyDescent="0.3">
      <c r="A57" s="3">
        <v>156</v>
      </c>
      <c r="B57" s="5" t="s">
        <v>71</v>
      </c>
      <c r="C57" s="3" t="s">
        <v>12</v>
      </c>
      <c r="D57" s="4">
        <v>23095.238095238099</v>
      </c>
      <c r="E57" s="3">
        <f t="shared" si="0"/>
        <v>11547.61904761905</v>
      </c>
      <c r="F57" s="3">
        <f t="shared" si="1"/>
        <v>4619.0476190476202</v>
      </c>
      <c r="G57" s="3">
        <f t="shared" si="2"/>
        <v>2309.5238095238101</v>
      </c>
      <c r="H57" s="3">
        <f t="shared" si="3"/>
        <v>208.33333333333334</v>
      </c>
      <c r="I57" s="4">
        <f t="shared" si="4"/>
        <v>39261.904761904763</v>
      </c>
      <c r="J57" s="3">
        <f t="shared" si="5"/>
        <v>2517.8571428571436</v>
      </c>
      <c r="K57" s="4">
        <f t="shared" si="6"/>
        <v>36744.047619047618</v>
      </c>
    </row>
    <row r="58" spans="1:11" x14ac:dyDescent="0.3">
      <c r="A58" s="3">
        <v>157</v>
      </c>
      <c r="B58" s="5" t="s">
        <v>72</v>
      </c>
      <c r="C58" s="3" t="s">
        <v>14</v>
      </c>
      <c r="D58" s="4">
        <v>23216.666666666701</v>
      </c>
      <c r="E58" s="3">
        <f t="shared" si="0"/>
        <v>11608.33333333335</v>
      </c>
      <c r="F58" s="3">
        <f t="shared" si="1"/>
        <v>4643.3333333333403</v>
      </c>
      <c r="G58" s="3">
        <f t="shared" si="2"/>
        <v>2321.6666666666702</v>
      </c>
      <c r="H58" s="3">
        <f t="shared" si="3"/>
        <v>208.33333333333334</v>
      </c>
      <c r="I58" s="4">
        <f t="shared" si="4"/>
        <v>39468.333333333394</v>
      </c>
      <c r="J58" s="3">
        <f t="shared" si="5"/>
        <v>2530.0000000000036</v>
      </c>
      <c r="K58" s="4">
        <f t="shared" si="6"/>
        <v>36938.333333333387</v>
      </c>
    </row>
    <row r="59" spans="1:11" x14ac:dyDescent="0.3">
      <c r="A59" s="3">
        <v>158</v>
      </c>
      <c r="B59" s="5" t="s">
        <v>73</v>
      </c>
      <c r="C59" s="3" t="s">
        <v>20</v>
      </c>
      <c r="D59" s="4">
        <v>23338.0952380952</v>
      </c>
      <c r="E59" s="3">
        <f t="shared" si="0"/>
        <v>11669.0476190476</v>
      </c>
      <c r="F59" s="3">
        <f t="shared" si="1"/>
        <v>4667.6190476190404</v>
      </c>
      <c r="G59" s="3">
        <f t="shared" si="2"/>
        <v>2333.8095238095202</v>
      </c>
      <c r="H59" s="3">
        <f t="shared" si="3"/>
        <v>208.33333333333334</v>
      </c>
      <c r="I59" s="4">
        <f t="shared" si="4"/>
        <v>39674.761904761835</v>
      </c>
      <c r="J59" s="3">
        <f t="shared" si="5"/>
        <v>2542.1428571428537</v>
      </c>
      <c r="K59" s="4">
        <f t="shared" si="6"/>
        <v>37132.61904761898</v>
      </c>
    </row>
    <row r="60" spans="1:11" x14ac:dyDescent="0.3">
      <c r="A60" s="3">
        <v>159</v>
      </c>
      <c r="B60" s="5" t="s">
        <v>74</v>
      </c>
      <c r="C60" s="3" t="s">
        <v>18</v>
      </c>
      <c r="D60" s="4">
        <v>23459.523809523798</v>
      </c>
      <c r="E60" s="3">
        <f t="shared" si="0"/>
        <v>11729.761904761899</v>
      </c>
      <c r="F60" s="3">
        <f t="shared" si="1"/>
        <v>4691.9047619047597</v>
      </c>
      <c r="G60" s="3">
        <f t="shared" si="2"/>
        <v>2345.9523809523798</v>
      </c>
      <c r="H60" s="3">
        <f t="shared" si="3"/>
        <v>208.33333333333334</v>
      </c>
      <c r="I60" s="4">
        <f t="shared" si="4"/>
        <v>39881.190476190459</v>
      </c>
      <c r="J60" s="3">
        <f t="shared" si="5"/>
        <v>2554.2857142857133</v>
      </c>
      <c r="K60" s="4">
        <f t="shared" si="6"/>
        <v>37326.904761904749</v>
      </c>
    </row>
    <row r="61" spans="1:11" x14ac:dyDescent="0.3">
      <c r="A61" s="3">
        <v>160</v>
      </c>
      <c r="B61" s="5" t="s">
        <v>75</v>
      </c>
      <c r="C61" s="3" t="s">
        <v>16</v>
      </c>
      <c r="D61" s="4">
        <v>23580.9523809524</v>
      </c>
      <c r="E61" s="3">
        <f t="shared" si="0"/>
        <v>11790.4761904762</v>
      </c>
      <c r="F61" s="3">
        <f t="shared" si="1"/>
        <v>4716.1904761904798</v>
      </c>
      <c r="G61" s="3">
        <f t="shared" si="2"/>
        <v>2358.0952380952399</v>
      </c>
      <c r="H61" s="3">
        <f t="shared" si="3"/>
        <v>208.33333333333334</v>
      </c>
      <c r="I61" s="4">
        <f t="shared" si="4"/>
        <v>40087.619047619082</v>
      </c>
      <c r="J61" s="3">
        <f t="shared" si="5"/>
        <v>2566.4285714285734</v>
      </c>
      <c r="K61" s="4">
        <f t="shared" si="6"/>
        <v>37521.19047619051</v>
      </c>
    </row>
    <row r="62" spans="1:11" x14ac:dyDescent="0.3">
      <c r="A62" s="3">
        <v>161</v>
      </c>
      <c r="B62" s="5" t="s">
        <v>76</v>
      </c>
      <c r="C62" s="3" t="s">
        <v>12</v>
      </c>
      <c r="D62" s="4">
        <v>23702.3809523809</v>
      </c>
      <c r="E62" s="3">
        <f t="shared" si="0"/>
        <v>11851.19047619045</v>
      </c>
      <c r="F62" s="3">
        <f t="shared" si="1"/>
        <v>4740.4761904761799</v>
      </c>
      <c r="G62" s="3">
        <f t="shared" si="2"/>
        <v>2370.23809523809</v>
      </c>
      <c r="H62" s="3">
        <f t="shared" si="3"/>
        <v>208.33333333333334</v>
      </c>
      <c r="I62" s="4">
        <f t="shared" si="4"/>
        <v>40294.047619047531</v>
      </c>
      <c r="J62" s="3">
        <f t="shared" si="5"/>
        <v>2578.5714285714234</v>
      </c>
      <c r="K62" s="4">
        <f t="shared" si="6"/>
        <v>37715.476190476111</v>
      </c>
    </row>
    <row r="63" spans="1:11" x14ac:dyDescent="0.3">
      <c r="A63" s="3">
        <v>162</v>
      </c>
      <c r="B63" s="5" t="s">
        <v>77</v>
      </c>
      <c r="C63" s="3" t="s">
        <v>14</v>
      </c>
      <c r="D63" s="4">
        <v>23823.809523809501</v>
      </c>
      <c r="E63" s="3">
        <f t="shared" si="0"/>
        <v>11911.904761904751</v>
      </c>
      <c r="F63" s="3">
        <f t="shared" si="1"/>
        <v>4764.7619047619</v>
      </c>
      <c r="G63" s="3">
        <f t="shared" si="2"/>
        <v>2382.38095238095</v>
      </c>
      <c r="H63" s="3">
        <f t="shared" si="3"/>
        <v>208.33333333333334</v>
      </c>
      <c r="I63" s="4">
        <f t="shared" si="4"/>
        <v>40500.476190476154</v>
      </c>
      <c r="J63" s="3">
        <f t="shared" si="5"/>
        <v>2590.7142857142835</v>
      </c>
      <c r="K63" s="4">
        <f t="shared" si="6"/>
        <v>37909.761904761872</v>
      </c>
    </row>
    <row r="64" spans="1:11" x14ac:dyDescent="0.3">
      <c r="A64" s="3">
        <v>163</v>
      </c>
      <c r="B64" s="5" t="s">
        <v>78</v>
      </c>
      <c r="C64" s="3" t="s">
        <v>16</v>
      </c>
      <c r="D64" s="4">
        <v>23945.238095238099</v>
      </c>
      <c r="E64" s="3">
        <f t="shared" si="0"/>
        <v>11972.61904761905</v>
      </c>
      <c r="F64" s="3">
        <f t="shared" si="1"/>
        <v>4789.0476190476202</v>
      </c>
      <c r="G64" s="3">
        <f t="shared" si="2"/>
        <v>2394.5238095238101</v>
      </c>
      <c r="H64" s="3">
        <f t="shared" si="3"/>
        <v>208.33333333333334</v>
      </c>
      <c r="I64" s="4">
        <f t="shared" si="4"/>
        <v>40706.904761904763</v>
      </c>
      <c r="J64" s="3">
        <f t="shared" si="5"/>
        <v>2602.8571428571436</v>
      </c>
      <c r="K64" s="4">
        <f t="shared" si="6"/>
        <v>38104.047619047618</v>
      </c>
    </row>
    <row r="65" spans="1:11" x14ac:dyDescent="0.3">
      <c r="A65" s="3">
        <v>164</v>
      </c>
      <c r="B65" s="5" t="s">
        <v>82</v>
      </c>
      <c r="C65" s="3" t="s">
        <v>18</v>
      </c>
      <c r="D65" s="4">
        <v>24066.666666666701</v>
      </c>
      <c r="E65" s="3">
        <f t="shared" si="0"/>
        <v>12033.33333333335</v>
      </c>
      <c r="F65" s="3">
        <f t="shared" si="1"/>
        <v>4813.3333333333403</v>
      </c>
      <c r="G65" s="3">
        <f t="shared" si="2"/>
        <v>2406.6666666666702</v>
      </c>
      <c r="H65" s="3">
        <f t="shared" si="3"/>
        <v>208.33333333333334</v>
      </c>
      <c r="I65" s="4">
        <f t="shared" si="4"/>
        <v>40913.333333333394</v>
      </c>
      <c r="J65" s="3">
        <f t="shared" si="5"/>
        <v>2615.0000000000036</v>
      </c>
      <c r="K65" s="4">
        <f t="shared" si="6"/>
        <v>38298.333333333387</v>
      </c>
    </row>
    <row r="66" spans="1:11" x14ac:dyDescent="0.3">
      <c r="A66" s="3">
        <v>165</v>
      </c>
      <c r="B66" s="5" t="s">
        <v>83</v>
      </c>
      <c r="C66" s="3" t="s">
        <v>20</v>
      </c>
      <c r="D66" s="4">
        <v>24188.0952380952</v>
      </c>
      <c r="E66" s="3">
        <f t="shared" si="0"/>
        <v>12094.0476190476</v>
      </c>
      <c r="F66" s="3">
        <f t="shared" si="1"/>
        <v>4837.6190476190404</v>
      </c>
      <c r="G66" s="3">
        <f t="shared" si="2"/>
        <v>2418.8095238095202</v>
      </c>
      <c r="H66" s="3">
        <f t="shared" si="3"/>
        <v>208.33333333333334</v>
      </c>
      <c r="I66" s="4">
        <f t="shared" si="4"/>
        <v>41119.761904761835</v>
      </c>
      <c r="J66" s="3">
        <f t="shared" si="5"/>
        <v>2627.1428571428537</v>
      </c>
      <c r="K66" s="4">
        <f t="shared" si="6"/>
        <v>38492.61904761898</v>
      </c>
    </row>
    <row r="67" spans="1:11" x14ac:dyDescent="0.3">
      <c r="A67" s="3">
        <v>166</v>
      </c>
      <c r="B67" s="5" t="s">
        <v>84</v>
      </c>
      <c r="C67" s="3" t="s">
        <v>20</v>
      </c>
      <c r="D67" s="4">
        <v>24309.523809523798</v>
      </c>
      <c r="E67" s="3">
        <f t="shared" ref="E67:E92" si="8">D67*50%</f>
        <v>12154.761904761899</v>
      </c>
      <c r="F67" s="3">
        <f t="shared" ref="F67:F92" si="9">D67*20%</f>
        <v>4861.9047619047597</v>
      </c>
      <c r="G67" s="3">
        <f t="shared" ref="G67:G92" si="10">D67*10%</f>
        <v>2430.9523809523798</v>
      </c>
      <c r="H67" s="3">
        <f t="shared" ref="H67:H92" si="11">2500/12</f>
        <v>208.33333333333334</v>
      </c>
      <c r="I67" s="4">
        <f t="shared" ref="I67:I92" si="12">SUM(D67:F67)</f>
        <v>41326.190476190459</v>
      </c>
      <c r="J67" s="3">
        <f t="shared" ref="J67:J92" si="13">SUM(G67:H67)</f>
        <v>2639.2857142857133</v>
      </c>
      <c r="K67" s="4">
        <f t="shared" ref="K67:K92" si="14">I67-J67</f>
        <v>38686.904761904749</v>
      </c>
    </row>
    <row r="68" spans="1:11" x14ac:dyDescent="0.3">
      <c r="A68" s="3">
        <v>167</v>
      </c>
      <c r="B68" s="5" t="s">
        <v>85</v>
      </c>
      <c r="C68" s="3" t="s">
        <v>14</v>
      </c>
      <c r="D68" s="4">
        <v>24430.9523809524</v>
      </c>
      <c r="E68" s="3">
        <f t="shared" si="8"/>
        <v>12215.4761904762</v>
      </c>
      <c r="F68" s="3">
        <f t="shared" si="9"/>
        <v>4886.1904761904798</v>
      </c>
      <c r="G68" s="3">
        <f t="shared" si="10"/>
        <v>2443.0952380952399</v>
      </c>
      <c r="H68" s="3">
        <f t="shared" si="11"/>
        <v>208.33333333333334</v>
      </c>
      <c r="I68" s="4">
        <f t="shared" si="12"/>
        <v>41532.619047619082</v>
      </c>
      <c r="J68" s="3">
        <f t="shared" si="13"/>
        <v>2651.4285714285734</v>
      </c>
      <c r="K68" s="4">
        <f t="shared" si="14"/>
        <v>38881.19047619051</v>
      </c>
    </row>
    <row r="69" spans="1:11" x14ac:dyDescent="0.3">
      <c r="A69" s="3">
        <v>168</v>
      </c>
      <c r="B69" s="5" t="s">
        <v>86</v>
      </c>
      <c r="C69" s="3" t="s">
        <v>12</v>
      </c>
      <c r="D69" s="4">
        <v>24552.3809523809</v>
      </c>
      <c r="E69" s="3">
        <f t="shared" si="8"/>
        <v>12276.19047619045</v>
      </c>
      <c r="F69" s="3">
        <f t="shared" si="9"/>
        <v>4910.4761904761799</v>
      </c>
      <c r="G69" s="3">
        <f t="shared" si="10"/>
        <v>2455.23809523809</v>
      </c>
      <c r="H69" s="3">
        <f t="shared" si="11"/>
        <v>208.33333333333334</v>
      </c>
      <c r="I69" s="4">
        <f t="shared" si="12"/>
        <v>41739.047619047531</v>
      </c>
      <c r="J69" s="3">
        <f t="shared" si="13"/>
        <v>2663.5714285714234</v>
      </c>
      <c r="K69" s="4">
        <f t="shared" si="14"/>
        <v>39075.476190476111</v>
      </c>
    </row>
    <row r="70" spans="1:11" x14ac:dyDescent="0.3">
      <c r="A70" s="3">
        <v>169</v>
      </c>
      <c r="B70" s="5" t="s">
        <v>87</v>
      </c>
      <c r="C70" s="3" t="s">
        <v>18</v>
      </c>
      <c r="D70" s="4">
        <v>24673.809523809501</v>
      </c>
      <c r="E70" s="3">
        <f t="shared" si="8"/>
        <v>12336.904761904751</v>
      </c>
      <c r="F70" s="3">
        <f t="shared" si="9"/>
        <v>4934.761904761901</v>
      </c>
      <c r="G70" s="3">
        <f t="shared" si="10"/>
        <v>2467.3809523809505</v>
      </c>
      <c r="H70" s="3">
        <f t="shared" si="11"/>
        <v>208.33333333333334</v>
      </c>
      <c r="I70" s="4">
        <f t="shared" si="12"/>
        <v>41945.476190476154</v>
      </c>
      <c r="J70" s="3">
        <f t="shared" si="13"/>
        <v>2675.714285714284</v>
      </c>
      <c r="K70" s="4">
        <f t="shared" si="14"/>
        <v>39269.761904761872</v>
      </c>
    </row>
    <row r="71" spans="1:11" x14ac:dyDescent="0.3">
      <c r="A71" s="3">
        <v>170</v>
      </c>
      <c r="B71" s="5" t="s">
        <v>88</v>
      </c>
      <c r="C71" s="3" t="s">
        <v>16</v>
      </c>
      <c r="D71" s="4">
        <v>24795.238095238099</v>
      </c>
      <c r="E71" s="3">
        <f t="shared" si="8"/>
        <v>12397.61904761905</v>
      </c>
      <c r="F71" s="3">
        <f t="shared" si="9"/>
        <v>4959.0476190476202</v>
      </c>
      <c r="G71" s="3">
        <f t="shared" si="10"/>
        <v>2479.5238095238101</v>
      </c>
      <c r="H71" s="3">
        <f t="shared" si="11"/>
        <v>208.33333333333334</v>
      </c>
      <c r="I71" s="4">
        <f t="shared" si="12"/>
        <v>42151.904761904763</v>
      </c>
      <c r="J71" s="3">
        <f t="shared" si="13"/>
        <v>2687.8571428571436</v>
      </c>
      <c r="K71" s="4">
        <f t="shared" si="14"/>
        <v>39464.047619047618</v>
      </c>
    </row>
    <row r="72" spans="1:11" x14ac:dyDescent="0.3">
      <c r="A72" s="3">
        <v>171</v>
      </c>
      <c r="B72" s="5" t="s">
        <v>89</v>
      </c>
      <c r="C72" s="3" t="s">
        <v>12</v>
      </c>
      <c r="D72" s="4">
        <v>24916.666666666701</v>
      </c>
      <c r="E72" s="3">
        <f t="shared" si="8"/>
        <v>12458.33333333335</v>
      </c>
      <c r="F72" s="3">
        <f t="shared" si="9"/>
        <v>4983.3333333333403</v>
      </c>
      <c r="G72" s="3">
        <f t="shared" si="10"/>
        <v>2491.6666666666702</v>
      </c>
      <c r="H72" s="3">
        <f t="shared" si="11"/>
        <v>208.33333333333334</v>
      </c>
      <c r="I72" s="4">
        <f t="shared" si="12"/>
        <v>42358.333333333394</v>
      </c>
      <c r="J72" s="3">
        <f t="shared" si="13"/>
        <v>2700.0000000000036</v>
      </c>
      <c r="K72" s="4">
        <f t="shared" si="14"/>
        <v>39658.333333333387</v>
      </c>
    </row>
    <row r="73" spans="1:11" x14ac:dyDescent="0.3">
      <c r="A73" s="3">
        <v>172</v>
      </c>
      <c r="B73" s="5" t="s">
        <v>90</v>
      </c>
      <c r="C73" s="3" t="s">
        <v>14</v>
      </c>
      <c r="D73" s="4">
        <v>25038.0952380952</v>
      </c>
      <c r="E73" s="3">
        <f t="shared" si="8"/>
        <v>12519.0476190476</v>
      </c>
      <c r="F73" s="3">
        <f t="shared" si="9"/>
        <v>5007.6190476190404</v>
      </c>
      <c r="G73" s="3">
        <f t="shared" si="10"/>
        <v>2503.8095238095202</v>
      </c>
      <c r="H73" s="3">
        <f t="shared" si="11"/>
        <v>208.33333333333334</v>
      </c>
      <c r="I73" s="4">
        <f t="shared" si="12"/>
        <v>42564.761904761835</v>
      </c>
      <c r="J73" s="3">
        <f t="shared" si="13"/>
        <v>2712.1428571428537</v>
      </c>
      <c r="K73" s="4">
        <f t="shared" si="14"/>
        <v>39852.61904761898</v>
      </c>
    </row>
    <row r="74" spans="1:11" x14ac:dyDescent="0.3">
      <c r="A74" s="3">
        <v>173</v>
      </c>
      <c r="B74" s="5" t="s">
        <v>91</v>
      </c>
      <c r="C74" s="3" t="s">
        <v>20</v>
      </c>
      <c r="D74" s="4">
        <v>25159.523809523798</v>
      </c>
      <c r="E74" s="3">
        <f t="shared" si="8"/>
        <v>12579.761904761899</v>
      </c>
      <c r="F74" s="3">
        <f t="shared" si="9"/>
        <v>5031.9047619047597</v>
      </c>
      <c r="G74" s="3">
        <f t="shared" si="10"/>
        <v>2515.9523809523798</v>
      </c>
      <c r="H74" s="3">
        <f t="shared" si="11"/>
        <v>208.33333333333334</v>
      </c>
      <c r="I74" s="4">
        <f t="shared" si="12"/>
        <v>42771.190476190459</v>
      </c>
      <c r="J74" s="3">
        <f t="shared" si="13"/>
        <v>2724.2857142857133</v>
      </c>
      <c r="K74" s="4">
        <f t="shared" si="14"/>
        <v>40046.904761904749</v>
      </c>
    </row>
    <row r="75" spans="1:11" x14ac:dyDescent="0.3">
      <c r="A75" s="3">
        <v>174</v>
      </c>
      <c r="B75" s="5" t="s">
        <v>92</v>
      </c>
      <c r="C75" s="3" t="s">
        <v>18</v>
      </c>
      <c r="D75" s="4">
        <v>25280.9523809524</v>
      </c>
      <c r="E75" s="3">
        <f t="shared" si="8"/>
        <v>12640.4761904762</v>
      </c>
      <c r="F75" s="3">
        <f t="shared" si="9"/>
        <v>5056.1904761904807</v>
      </c>
      <c r="G75" s="3">
        <f t="shared" si="10"/>
        <v>2528.0952380952403</v>
      </c>
      <c r="H75" s="3">
        <f t="shared" si="11"/>
        <v>208.33333333333334</v>
      </c>
      <c r="I75" s="4">
        <f t="shared" si="12"/>
        <v>42977.619047619082</v>
      </c>
      <c r="J75" s="3">
        <f t="shared" si="13"/>
        <v>2736.4285714285738</v>
      </c>
      <c r="K75" s="4">
        <f t="shared" si="14"/>
        <v>40241.19047619051</v>
      </c>
    </row>
    <row r="76" spans="1:11" x14ac:dyDescent="0.3">
      <c r="A76" s="3">
        <v>175</v>
      </c>
      <c r="B76" s="5" t="s">
        <v>93</v>
      </c>
      <c r="C76" s="3" t="s">
        <v>16</v>
      </c>
      <c r="D76" s="4">
        <v>25402.3809523809</v>
      </c>
      <c r="E76" s="3">
        <f t="shared" si="8"/>
        <v>12701.19047619045</v>
      </c>
      <c r="F76" s="3">
        <f t="shared" si="9"/>
        <v>5080.4761904761799</v>
      </c>
      <c r="G76" s="3">
        <f t="shared" si="10"/>
        <v>2540.23809523809</v>
      </c>
      <c r="H76" s="3">
        <f t="shared" si="11"/>
        <v>208.33333333333334</v>
      </c>
      <c r="I76" s="4">
        <f t="shared" si="12"/>
        <v>43184.047619047531</v>
      </c>
      <c r="J76" s="3">
        <f t="shared" si="13"/>
        <v>2748.5714285714234</v>
      </c>
      <c r="K76" s="4">
        <f t="shared" si="14"/>
        <v>40435.476190476111</v>
      </c>
    </row>
    <row r="77" spans="1:11" x14ac:dyDescent="0.3">
      <c r="A77" s="3">
        <v>176</v>
      </c>
      <c r="B77" s="5" t="s">
        <v>94</v>
      </c>
      <c r="C77" s="3" t="s">
        <v>12</v>
      </c>
      <c r="D77" s="4">
        <v>25523.809523809501</v>
      </c>
      <c r="E77" s="3">
        <f t="shared" si="8"/>
        <v>12761.904761904751</v>
      </c>
      <c r="F77" s="3">
        <f t="shared" si="9"/>
        <v>5104.761904761901</v>
      </c>
      <c r="G77" s="3">
        <f t="shared" si="10"/>
        <v>2552.3809523809505</v>
      </c>
      <c r="H77" s="3">
        <f t="shared" si="11"/>
        <v>208.33333333333334</v>
      </c>
      <c r="I77" s="4">
        <f t="shared" si="12"/>
        <v>43390.476190476154</v>
      </c>
      <c r="J77" s="3">
        <f t="shared" si="13"/>
        <v>2760.714285714284</v>
      </c>
      <c r="K77" s="4">
        <f t="shared" si="14"/>
        <v>40629.761904761872</v>
      </c>
    </row>
    <row r="78" spans="1:11" x14ac:dyDescent="0.3">
      <c r="A78" s="3">
        <v>177</v>
      </c>
      <c r="B78" s="5" t="s">
        <v>95</v>
      </c>
      <c r="C78" s="3" t="s">
        <v>14</v>
      </c>
      <c r="D78" s="4">
        <v>25645.238095238099</v>
      </c>
      <c r="E78" s="3">
        <f t="shared" si="8"/>
        <v>12822.61904761905</v>
      </c>
      <c r="F78" s="3">
        <f t="shared" si="9"/>
        <v>5129.0476190476202</v>
      </c>
      <c r="G78" s="3">
        <f t="shared" si="10"/>
        <v>2564.5238095238101</v>
      </c>
      <c r="H78" s="3">
        <f t="shared" si="11"/>
        <v>208.33333333333334</v>
      </c>
      <c r="I78" s="4">
        <f t="shared" si="12"/>
        <v>43596.904761904763</v>
      </c>
      <c r="J78" s="3">
        <f t="shared" si="13"/>
        <v>2772.8571428571436</v>
      </c>
      <c r="K78" s="4">
        <f t="shared" si="14"/>
        <v>40824.047619047618</v>
      </c>
    </row>
    <row r="79" spans="1:11" x14ac:dyDescent="0.3">
      <c r="A79" s="3">
        <v>178</v>
      </c>
      <c r="B79" s="5" t="s">
        <v>96</v>
      </c>
      <c r="C79" s="3" t="s">
        <v>16</v>
      </c>
      <c r="D79" s="4">
        <v>25766.666666666701</v>
      </c>
      <c r="E79" s="3">
        <f t="shared" si="8"/>
        <v>12883.33333333335</v>
      </c>
      <c r="F79" s="3">
        <f t="shared" si="9"/>
        <v>5153.3333333333403</v>
      </c>
      <c r="G79" s="3">
        <f t="shared" si="10"/>
        <v>2576.6666666666702</v>
      </c>
      <c r="H79" s="3">
        <f t="shared" si="11"/>
        <v>208.33333333333334</v>
      </c>
      <c r="I79" s="4">
        <f t="shared" si="12"/>
        <v>43803.333333333394</v>
      </c>
      <c r="J79" s="3">
        <f t="shared" si="13"/>
        <v>2785.0000000000036</v>
      </c>
      <c r="K79" s="4">
        <f t="shared" si="14"/>
        <v>41018.333333333387</v>
      </c>
    </row>
    <row r="80" spans="1:11" x14ac:dyDescent="0.3">
      <c r="A80" s="3">
        <v>179</v>
      </c>
      <c r="B80" s="5" t="s">
        <v>97</v>
      </c>
      <c r="C80" s="3" t="s">
        <v>18</v>
      </c>
      <c r="D80" s="4">
        <v>25888.0952380952</v>
      </c>
      <c r="E80" s="3">
        <f t="shared" si="8"/>
        <v>12944.0476190476</v>
      </c>
      <c r="F80" s="3">
        <f t="shared" si="9"/>
        <v>5177.6190476190404</v>
      </c>
      <c r="G80" s="3">
        <f t="shared" si="10"/>
        <v>2588.8095238095202</v>
      </c>
      <c r="H80" s="3">
        <f t="shared" si="11"/>
        <v>208.33333333333334</v>
      </c>
      <c r="I80" s="4">
        <f t="shared" si="12"/>
        <v>44009.761904761835</v>
      </c>
      <c r="J80" s="3">
        <f t="shared" si="13"/>
        <v>2797.1428571428537</v>
      </c>
      <c r="K80" s="4">
        <f t="shared" si="14"/>
        <v>41212.61904761898</v>
      </c>
    </row>
    <row r="81" spans="1:11" x14ac:dyDescent="0.3">
      <c r="A81" s="3">
        <v>180</v>
      </c>
      <c r="B81" s="5" t="s">
        <v>98</v>
      </c>
      <c r="C81" s="3" t="s">
        <v>20</v>
      </c>
      <c r="D81" s="4">
        <v>26009.523809523798</v>
      </c>
      <c r="E81" s="3">
        <f t="shared" si="8"/>
        <v>13004.761904761899</v>
      </c>
      <c r="F81" s="3">
        <f t="shared" si="9"/>
        <v>5201.9047619047597</v>
      </c>
      <c r="G81" s="3">
        <f t="shared" si="10"/>
        <v>2600.9523809523798</v>
      </c>
      <c r="H81" s="3">
        <f t="shared" si="11"/>
        <v>208.33333333333334</v>
      </c>
      <c r="I81" s="4">
        <f t="shared" si="12"/>
        <v>44216.190476190459</v>
      </c>
      <c r="J81" s="3">
        <f t="shared" si="13"/>
        <v>2809.2857142857133</v>
      </c>
      <c r="K81" s="4">
        <f t="shared" si="14"/>
        <v>41406.904761904749</v>
      </c>
    </row>
    <row r="82" spans="1:11" x14ac:dyDescent="0.3">
      <c r="A82" s="3">
        <v>181</v>
      </c>
      <c r="B82" s="5" t="s">
        <v>99</v>
      </c>
      <c r="C82" s="3" t="s">
        <v>20</v>
      </c>
      <c r="D82" s="4">
        <v>26130.9523809524</v>
      </c>
      <c r="E82" s="3">
        <f t="shared" si="8"/>
        <v>13065.4761904762</v>
      </c>
      <c r="F82" s="3">
        <f t="shared" si="9"/>
        <v>5226.1904761904807</v>
      </c>
      <c r="G82" s="3">
        <f t="shared" si="10"/>
        <v>2613.0952380952403</v>
      </c>
      <c r="H82" s="3">
        <f t="shared" si="11"/>
        <v>208.33333333333334</v>
      </c>
      <c r="I82" s="4">
        <f t="shared" si="12"/>
        <v>44422.619047619082</v>
      </c>
      <c r="J82" s="3">
        <f t="shared" si="13"/>
        <v>2821.4285714285738</v>
      </c>
      <c r="K82" s="4">
        <f t="shared" si="14"/>
        <v>41601.19047619051</v>
      </c>
    </row>
    <row r="83" spans="1:11" x14ac:dyDescent="0.3">
      <c r="A83" s="3">
        <v>182</v>
      </c>
      <c r="B83" s="5" t="s">
        <v>100</v>
      </c>
      <c r="C83" s="3" t="s">
        <v>14</v>
      </c>
      <c r="D83" s="4">
        <v>26252.3809523809</v>
      </c>
      <c r="E83" s="3">
        <f t="shared" si="8"/>
        <v>13126.19047619045</v>
      </c>
      <c r="F83" s="3">
        <f t="shared" si="9"/>
        <v>5250.4761904761799</v>
      </c>
      <c r="G83" s="3">
        <f t="shared" si="10"/>
        <v>2625.23809523809</v>
      </c>
      <c r="H83" s="3">
        <f t="shared" si="11"/>
        <v>208.33333333333334</v>
      </c>
      <c r="I83" s="4">
        <f t="shared" si="12"/>
        <v>44629.047619047531</v>
      </c>
      <c r="J83" s="3">
        <f t="shared" si="13"/>
        <v>2833.5714285714234</v>
      </c>
      <c r="K83" s="4">
        <f t="shared" si="14"/>
        <v>41795.476190476111</v>
      </c>
    </row>
    <row r="84" spans="1:11" x14ac:dyDescent="0.3">
      <c r="A84" s="3">
        <v>183</v>
      </c>
      <c r="B84" s="5" t="s">
        <v>101</v>
      </c>
      <c r="C84" s="3" t="s">
        <v>12</v>
      </c>
      <c r="D84" s="4">
        <v>26373.809523809501</v>
      </c>
      <c r="E84" s="3">
        <f t="shared" si="8"/>
        <v>13186.904761904751</v>
      </c>
      <c r="F84" s="3">
        <f t="shared" si="9"/>
        <v>5274.761904761901</v>
      </c>
      <c r="G84" s="3">
        <f t="shared" si="10"/>
        <v>2637.3809523809505</v>
      </c>
      <c r="H84" s="3">
        <f t="shared" si="11"/>
        <v>208.33333333333334</v>
      </c>
      <c r="I84" s="4">
        <f t="shared" si="12"/>
        <v>44835.476190476154</v>
      </c>
      <c r="J84" s="3">
        <f t="shared" si="13"/>
        <v>2845.714285714284</v>
      </c>
      <c r="K84" s="4">
        <f t="shared" si="14"/>
        <v>41989.761904761872</v>
      </c>
    </row>
    <row r="85" spans="1:11" x14ac:dyDescent="0.3">
      <c r="A85" s="3">
        <v>184</v>
      </c>
      <c r="B85" s="5" t="s">
        <v>102</v>
      </c>
      <c r="C85" s="3" t="s">
        <v>18</v>
      </c>
      <c r="D85" s="4">
        <v>26495.238095238099</v>
      </c>
      <c r="E85" s="3">
        <f t="shared" si="8"/>
        <v>13247.61904761905</v>
      </c>
      <c r="F85" s="3">
        <f t="shared" si="9"/>
        <v>5299.0476190476202</v>
      </c>
      <c r="G85" s="3">
        <f t="shared" si="10"/>
        <v>2649.5238095238101</v>
      </c>
      <c r="H85" s="3">
        <f t="shared" si="11"/>
        <v>208.33333333333334</v>
      </c>
      <c r="I85" s="4">
        <f t="shared" si="12"/>
        <v>45041.904761904763</v>
      </c>
      <c r="J85" s="3">
        <f t="shared" si="13"/>
        <v>2857.8571428571436</v>
      </c>
      <c r="K85" s="4">
        <f t="shared" si="14"/>
        <v>42184.047619047618</v>
      </c>
    </row>
    <row r="86" spans="1:11" x14ac:dyDescent="0.3">
      <c r="A86" s="3">
        <v>185</v>
      </c>
      <c r="B86" s="5" t="s">
        <v>103</v>
      </c>
      <c r="C86" s="3" t="s">
        <v>16</v>
      </c>
      <c r="D86" s="4">
        <v>26616.666666666701</v>
      </c>
      <c r="E86" s="3">
        <f t="shared" si="8"/>
        <v>13308.33333333335</v>
      </c>
      <c r="F86" s="3">
        <f t="shared" si="9"/>
        <v>5323.3333333333403</v>
      </c>
      <c r="G86" s="3">
        <f t="shared" si="10"/>
        <v>2661.6666666666702</v>
      </c>
      <c r="H86" s="3">
        <f t="shared" si="11"/>
        <v>208.33333333333334</v>
      </c>
      <c r="I86" s="4">
        <f t="shared" si="12"/>
        <v>45248.333333333394</v>
      </c>
      <c r="J86" s="3">
        <f t="shared" si="13"/>
        <v>2870.0000000000036</v>
      </c>
      <c r="K86" s="4">
        <f t="shared" si="14"/>
        <v>42378.333333333387</v>
      </c>
    </row>
    <row r="87" spans="1:11" x14ac:dyDescent="0.3">
      <c r="A87" s="3">
        <v>186</v>
      </c>
      <c r="B87" s="5" t="s">
        <v>104</v>
      </c>
      <c r="C87" s="3" t="s">
        <v>12</v>
      </c>
      <c r="D87" s="4">
        <v>26738.095238095299</v>
      </c>
      <c r="E87" s="3">
        <f t="shared" si="8"/>
        <v>13369.047619047649</v>
      </c>
      <c r="F87" s="3">
        <f t="shared" si="9"/>
        <v>5347.6190476190604</v>
      </c>
      <c r="G87" s="3">
        <f t="shared" si="10"/>
        <v>2673.8095238095302</v>
      </c>
      <c r="H87" s="3">
        <f t="shared" si="11"/>
        <v>208.33333333333334</v>
      </c>
      <c r="I87" s="4">
        <f t="shared" si="12"/>
        <v>45454.76190476201</v>
      </c>
      <c r="J87" s="3">
        <f t="shared" si="13"/>
        <v>2882.1428571428637</v>
      </c>
      <c r="K87" s="4">
        <f t="shared" si="14"/>
        <v>42572.619047619148</v>
      </c>
    </row>
    <row r="88" spans="1:11" x14ac:dyDescent="0.3">
      <c r="A88" s="3">
        <v>187</v>
      </c>
      <c r="B88" s="5" t="s">
        <v>105</v>
      </c>
      <c r="C88" s="3" t="s">
        <v>14</v>
      </c>
      <c r="D88" s="4">
        <v>26859.523809523798</v>
      </c>
      <c r="E88" s="3">
        <f t="shared" si="8"/>
        <v>13429.761904761899</v>
      </c>
      <c r="F88" s="3">
        <f t="shared" si="9"/>
        <v>5371.9047619047597</v>
      </c>
      <c r="G88" s="3">
        <f t="shared" si="10"/>
        <v>2685.9523809523798</v>
      </c>
      <c r="H88" s="3">
        <f t="shared" si="11"/>
        <v>208.33333333333334</v>
      </c>
      <c r="I88" s="4">
        <f t="shared" si="12"/>
        <v>45661.190476190459</v>
      </c>
      <c r="J88" s="3">
        <f t="shared" si="13"/>
        <v>2894.2857142857133</v>
      </c>
      <c r="K88" s="4">
        <f t="shared" si="14"/>
        <v>42766.904761904749</v>
      </c>
    </row>
    <row r="89" spans="1:11" x14ac:dyDescent="0.3">
      <c r="A89" s="3">
        <v>188</v>
      </c>
      <c r="B89" s="5" t="s">
        <v>106</v>
      </c>
      <c r="C89" s="3" t="s">
        <v>20</v>
      </c>
      <c r="D89" s="4">
        <v>26980.9523809524</v>
      </c>
      <c r="E89" s="3">
        <f t="shared" si="8"/>
        <v>13490.4761904762</v>
      </c>
      <c r="F89" s="3">
        <f t="shared" si="9"/>
        <v>5396.1904761904807</v>
      </c>
      <c r="G89" s="3">
        <f t="shared" si="10"/>
        <v>2698.0952380952403</v>
      </c>
      <c r="H89" s="3">
        <f t="shared" si="11"/>
        <v>208.33333333333334</v>
      </c>
      <c r="I89" s="4">
        <f t="shared" si="12"/>
        <v>45867.619047619082</v>
      </c>
      <c r="J89" s="3">
        <f t="shared" si="13"/>
        <v>2906.4285714285738</v>
      </c>
      <c r="K89" s="4">
        <f t="shared" si="14"/>
        <v>42961.19047619051</v>
      </c>
    </row>
    <row r="90" spans="1:11" x14ac:dyDescent="0.3">
      <c r="A90" s="3">
        <v>189</v>
      </c>
      <c r="B90" t="s">
        <v>81</v>
      </c>
      <c r="C90" s="3" t="s">
        <v>18</v>
      </c>
      <c r="D90" s="4">
        <v>27102.380952381001</v>
      </c>
      <c r="E90" s="3">
        <f t="shared" si="8"/>
        <v>13551.190476190501</v>
      </c>
      <c r="F90" s="3">
        <f t="shared" si="9"/>
        <v>5420.4761904762008</v>
      </c>
      <c r="G90" s="3">
        <f t="shared" si="10"/>
        <v>2710.2380952381004</v>
      </c>
      <c r="H90" s="3">
        <f t="shared" si="11"/>
        <v>208.33333333333334</v>
      </c>
      <c r="I90" s="4">
        <f t="shared" si="12"/>
        <v>46074.047619047698</v>
      </c>
      <c r="J90" s="3">
        <f t="shared" si="13"/>
        <v>2918.5714285714339</v>
      </c>
      <c r="K90" s="4">
        <f t="shared" si="14"/>
        <v>43155.476190476264</v>
      </c>
    </row>
    <row r="91" spans="1:11" x14ac:dyDescent="0.3">
      <c r="A91" s="3">
        <v>190</v>
      </c>
      <c r="B91" t="s">
        <v>80</v>
      </c>
      <c r="C91" s="3" t="s">
        <v>16</v>
      </c>
      <c r="D91" s="4">
        <v>27223.809523809599</v>
      </c>
      <c r="E91" s="3">
        <f t="shared" si="8"/>
        <v>13611.9047619048</v>
      </c>
      <c r="F91" s="3">
        <f t="shared" si="9"/>
        <v>5444.7619047619201</v>
      </c>
      <c r="G91" s="3">
        <f t="shared" si="10"/>
        <v>2722.38095238096</v>
      </c>
      <c r="H91" s="3">
        <f t="shared" si="11"/>
        <v>208.33333333333334</v>
      </c>
      <c r="I91" s="4">
        <f t="shared" si="12"/>
        <v>46280.476190476322</v>
      </c>
      <c r="J91" s="3">
        <f t="shared" si="13"/>
        <v>2930.7142857142935</v>
      </c>
      <c r="K91" s="4">
        <f t="shared" si="14"/>
        <v>43349.761904762025</v>
      </c>
    </row>
    <row r="92" spans="1:11" x14ac:dyDescent="0.3">
      <c r="A92" s="3">
        <v>191</v>
      </c>
      <c r="B92" t="s">
        <v>79</v>
      </c>
      <c r="C92" s="3" t="s">
        <v>12</v>
      </c>
      <c r="D92" s="4">
        <v>27345.238095238099</v>
      </c>
      <c r="E92" s="3">
        <f t="shared" si="8"/>
        <v>13672.61904761905</v>
      </c>
      <c r="F92" s="3">
        <f t="shared" si="9"/>
        <v>5469.0476190476202</v>
      </c>
      <c r="G92" s="3">
        <f t="shared" si="10"/>
        <v>2734.5238095238101</v>
      </c>
      <c r="H92" s="3">
        <f t="shared" si="11"/>
        <v>208.33333333333334</v>
      </c>
      <c r="I92" s="4">
        <f t="shared" si="12"/>
        <v>46486.904761904763</v>
      </c>
      <c r="J92" s="3">
        <f t="shared" si="13"/>
        <v>2942.8571428571436</v>
      </c>
      <c r="K92" s="4">
        <f t="shared" si="14"/>
        <v>43544.047619047618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4B0E-36A0-40EA-95C9-A4F91080DD0C}">
  <dimension ref="A1:K144"/>
  <sheetViews>
    <sheetView tabSelected="1" topLeftCell="A16" workbookViewId="0">
      <selection activeCell="B93" sqref="B93"/>
    </sheetView>
  </sheetViews>
  <sheetFormatPr defaultRowHeight="14.4" x14ac:dyDescent="0.3"/>
  <cols>
    <col min="2" max="2" width="17.6640625" customWidth="1"/>
    <col min="3" max="3" width="8.88671875" customWidth="1"/>
  </cols>
  <sheetData>
    <row r="1" spans="1:11" x14ac:dyDescent="0.3">
      <c r="A1" s="1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101</v>
      </c>
      <c r="B2" s="13" t="s">
        <v>11</v>
      </c>
      <c r="C2" s="3" t="s">
        <v>12</v>
      </c>
      <c r="D2" s="4">
        <v>15000</v>
      </c>
      <c r="E2" s="3">
        <f>D2*50%</f>
        <v>7500</v>
      </c>
      <c r="F2" s="3">
        <f>D2*20%</f>
        <v>3000</v>
      </c>
      <c r="G2" s="3">
        <f>D2*10%</f>
        <v>1500</v>
      </c>
      <c r="H2" s="3">
        <f>2500/12</f>
        <v>208.33333333333334</v>
      </c>
      <c r="I2" s="4">
        <f>SUM(D2:F2)</f>
        <v>25500</v>
      </c>
      <c r="J2" s="3">
        <f>SUM(G2:H2)</f>
        <v>1708.3333333333333</v>
      </c>
      <c r="K2" s="4">
        <f>I2-J2</f>
        <v>23791.666666666668</v>
      </c>
    </row>
    <row r="3" spans="1:11" x14ac:dyDescent="0.3">
      <c r="A3" s="3">
        <v>102</v>
      </c>
      <c r="B3" s="3" t="s">
        <v>13</v>
      </c>
      <c r="C3" s="3" t="s">
        <v>14</v>
      </c>
      <c r="D3" s="4">
        <v>18000</v>
      </c>
      <c r="E3" s="3">
        <f t="shared" ref="E3:E66" si="0">D3*50%</f>
        <v>9000</v>
      </c>
      <c r="F3" s="3">
        <f t="shared" ref="F3:F66" si="1">D3*20%</f>
        <v>3600</v>
      </c>
      <c r="G3" s="3">
        <f t="shared" ref="G3:G66" si="2">D3*10%</f>
        <v>1800</v>
      </c>
      <c r="H3" s="3">
        <f t="shared" ref="H3:H66" si="3">2500/12</f>
        <v>208.33333333333334</v>
      </c>
      <c r="I3" s="4">
        <f t="shared" ref="I3:I66" si="4">SUM(D3:F3)</f>
        <v>30600</v>
      </c>
      <c r="J3" s="3">
        <f t="shared" ref="J3:J66" si="5">SUM(G3:H3)</f>
        <v>2008.3333333333333</v>
      </c>
      <c r="K3" s="4">
        <f t="shared" ref="K3:K66" si="6">I3-J3</f>
        <v>28591.666666666668</v>
      </c>
    </row>
    <row r="4" spans="1:11" x14ac:dyDescent="0.3">
      <c r="A4" s="3">
        <v>103</v>
      </c>
      <c r="B4" s="13" t="s">
        <v>15</v>
      </c>
      <c r="C4" s="3" t="s">
        <v>16</v>
      </c>
      <c r="D4" s="4">
        <v>16000</v>
      </c>
      <c r="E4" s="3">
        <f t="shared" si="0"/>
        <v>8000</v>
      </c>
      <c r="F4" s="3">
        <f t="shared" si="1"/>
        <v>3200</v>
      </c>
      <c r="G4" s="3">
        <f t="shared" si="2"/>
        <v>1600</v>
      </c>
      <c r="H4" s="3">
        <f t="shared" si="3"/>
        <v>208.33333333333334</v>
      </c>
      <c r="I4" s="4">
        <f t="shared" si="4"/>
        <v>27200</v>
      </c>
      <c r="J4" s="3">
        <f t="shared" si="5"/>
        <v>1808.3333333333333</v>
      </c>
      <c r="K4" s="4">
        <f t="shared" si="6"/>
        <v>25391.666666666668</v>
      </c>
    </row>
    <row r="5" spans="1:11" x14ac:dyDescent="0.3">
      <c r="A5" s="3">
        <v>104</v>
      </c>
      <c r="B5" s="3" t="s">
        <v>107</v>
      </c>
      <c r="C5" s="3" t="s">
        <v>18</v>
      </c>
      <c r="D5" s="4">
        <v>17000</v>
      </c>
      <c r="E5" s="3">
        <f t="shared" si="0"/>
        <v>8500</v>
      </c>
      <c r="F5" s="3">
        <f t="shared" si="1"/>
        <v>3400</v>
      </c>
      <c r="G5" s="3">
        <f t="shared" si="2"/>
        <v>1700</v>
      </c>
      <c r="H5" s="3">
        <f t="shared" si="3"/>
        <v>208.33333333333334</v>
      </c>
      <c r="I5" s="4">
        <f t="shared" si="4"/>
        <v>28900</v>
      </c>
      <c r="J5" s="3">
        <f t="shared" si="5"/>
        <v>1908.3333333333333</v>
      </c>
      <c r="K5" s="4">
        <f t="shared" si="6"/>
        <v>26991.666666666668</v>
      </c>
    </row>
    <row r="6" spans="1:11" x14ac:dyDescent="0.3">
      <c r="A6" s="3">
        <v>105</v>
      </c>
      <c r="B6" s="3" t="s">
        <v>19</v>
      </c>
      <c r="C6" s="3" t="s">
        <v>20</v>
      </c>
      <c r="D6" s="4">
        <v>20000</v>
      </c>
      <c r="E6" s="3">
        <f t="shared" si="0"/>
        <v>10000</v>
      </c>
      <c r="F6" s="3">
        <f t="shared" si="1"/>
        <v>4000</v>
      </c>
      <c r="G6" s="3">
        <f t="shared" si="2"/>
        <v>2000</v>
      </c>
      <c r="H6" s="3">
        <f t="shared" si="3"/>
        <v>208.33333333333334</v>
      </c>
      <c r="I6" s="4">
        <f t="shared" si="4"/>
        <v>34000</v>
      </c>
      <c r="J6" s="3">
        <f t="shared" si="5"/>
        <v>2208.3333333333335</v>
      </c>
      <c r="K6" s="4">
        <f t="shared" si="6"/>
        <v>31791.666666666668</v>
      </c>
    </row>
    <row r="7" spans="1:11" x14ac:dyDescent="0.3">
      <c r="A7" s="3">
        <v>106</v>
      </c>
      <c r="B7" s="3" t="s">
        <v>108</v>
      </c>
      <c r="C7" s="3" t="s">
        <v>20</v>
      </c>
      <c r="D7" s="4">
        <v>21000</v>
      </c>
      <c r="E7" s="3">
        <f t="shared" si="0"/>
        <v>10500</v>
      </c>
      <c r="F7" s="3">
        <f t="shared" si="1"/>
        <v>4200</v>
      </c>
      <c r="G7" s="3">
        <f t="shared" si="2"/>
        <v>2100</v>
      </c>
      <c r="H7" s="3">
        <f t="shared" si="3"/>
        <v>208.33333333333334</v>
      </c>
      <c r="I7" s="4">
        <f t="shared" si="4"/>
        <v>35700</v>
      </c>
      <c r="J7" s="3">
        <f t="shared" si="5"/>
        <v>2308.3333333333335</v>
      </c>
      <c r="K7" s="4">
        <f t="shared" si="6"/>
        <v>33391.666666666664</v>
      </c>
    </row>
    <row r="8" spans="1:11" x14ac:dyDescent="0.3">
      <c r="A8" s="3">
        <v>107</v>
      </c>
      <c r="B8" s="3" t="s">
        <v>22</v>
      </c>
      <c r="C8" s="3" t="s">
        <v>14</v>
      </c>
      <c r="D8" s="4">
        <v>13000</v>
      </c>
      <c r="E8" s="3">
        <f t="shared" si="0"/>
        <v>6500</v>
      </c>
      <c r="F8" s="3">
        <f t="shared" si="1"/>
        <v>2600</v>
      </c>
      <c r="G8" s="3">
        <f t="shared" si="2"/>
        <v>1300</v>
      </c>
      <c r="H8" s="3">
        <f t="shared" si="3"/>
        <v>208.33333333333334</v>
      </c>
      <c r="I8" s="4">
        <f t="shared" si="4"/>
        <v>22100</v>
      </c>
      <c r="J8" s="3">
        <f t="shared" si="5"/>
        <v>1508.3333333333333</v>
      </c>
      <c r="K8" s="4">
        <f t="shared" si="6"/>
        <v>20591.666666666668</v>
      </c>
    </row>
    <row r="9" spans="1:11" x14ac:dyDescent="0.3">
      <c r="A9" s="3">
        <v>108</v>
      </c>
      <c r="B9" s="3" t="s">
        <v>23</v>
      </c>
      <c r="C9" s="3" t="s">
        <v>12</v>
      </c>
      <c r="D9" s="4">
        <v>14000</v>
      </c>
      <c r="E9" s="3">
        <f t="shared" si="0"/>
        <v>7000</v>
      </c>
      <c r="F9" s="3">
        <f t="shared" si="1"/>
        <v>2800</v>
      </c>
      <c r="G9" s="3">
        <f t="shared" si="2"/>
        <v>1400</v>
      </c>
      <c r="H9" s="3">
        <f t="shared" si="3"/>
        <v>208.33333333333334</v>
      </c>
      <c r="I9" s="4">
        <f t="shared" si="4"/>
        <v>23800</v>
      </c>
      <c r="J9" s="3">
        <f t="shared" si="5"/>
        <v>1608.3333333333333</v>
      </c>
      <c r="K9" s="4">
        <f t="shared" si="6"/>
        <v>22191.666666666668</v>
      </c>
    </row>
    <row r="10" spans="1:11" x14ac:dyDescent="0.3">
      <c r="A10" s="3">
        <v>109</v>
      </c>
      <c r="B10" s="3" t="s">
        <v>24</v>
      </c>
      <c r="C10" s="3" t="s">
        <v>18</v>
      </c>
      <c r="D10" s="4">
        <v>17000</v>
      </c>
      <c r="E10" s="3">
        <f t="shared" si="0"/>
        <v>8500</v>
      </c>
      <c r="F10" s="3">
        <f t="shared" si="1"/>
        <v>3400</v>
      </c>
      <c r="G10" s="3">
        <f t="shared" si="2"/>
        <v>1700</v>
      </c>
      <c r="H10" s="3">
        <f t="shared" si="3"/>
        <v>208.33333333333334</v>
      </c>
      <c r="I10" s="4">
        <f t="shared" si="4"/>
        <v>28900</v>
      </c>
      <c r="J10" s="3">
        <f t="shared" si="5"/>
        <v>1908.3333333333333</v>
      </c>
      <c r="K10" s="4">
        <f t="shared" si="6"/>
        <v>26991.666666666668</v>
      </c>
    </row>
    <row r="11" spans="1:11" x14ac:dyDescent="0.3">
      <c r="A11" s="3">
        <v>110</v>
      </c>
      <c r="B11" s="3" t="s">
        <v>25</v>
      </c>
      <c r="C11" s="3" t="s">
        <v>16</v>
      </c>
      <c r="D11" s="4">
        <v>21000</v>
      </c>
      <c r="E11" s="3">
        <f t="shared" si="0"/>
        <v>10500</v>
      </c>
      <c r="F11" s="3">
        <f t="shared" si="1"/>
        <v>4200</v>
      </c>
      <c r="G11" s="3">
        <f t="shared" si="2"/>
        <v>2100</v>
      </c>
      <c r="H11" s="3">
        <f t="shared" si="3"/>
        <v>208.33333333333334</v>
      </c>
      <c r="I11" s="4">
        <f t="shared" si="4"/>
        <v>35700</v>
      </c>
      <c r="J11" s="3">
        <f t="shared" si="5"/>
        <v>2308.3333333333335</v>
      </c>
      <c r="K11" s="4">
        <f t="shared" si="6"/>
        <v>33391.666666666664</v>
      </c>
    </row>
    <row r="12" spans="1:11" x14ac:dyDescent="0.3">
      <c r="A12" s="3">
        <v>111</v>
      </c>
      <c r="B12" s="3" t="s">
        <v>26</v>
      </c>
      <c r="C12" s="3" t="s">
        <v>12</v>
      </c>
      <c r="D12" s="4">
        <v>19000</v>
      </c>
      <c r="E12" s="3">
        <f t="shared" si="0"/>
        <v>9500</v>
      </c>
      <c r="F12" s="3">
        <f t="shared" si="1"/>
        <v>3800</v>
      </c>
      <c r="G12" s="3">
        <f t="shared" si="2"/>
        <v>1900</v>
      </c>
      <c r="H12" s="3">
        <f t="shared" si="3"/>
        <v>208.33333333333334</v>
      </c>
      <c r="I12" s="4">
        <f t="shared" si="4"/>
        <v>32300</v>
      </c>
      <c r="J12" s="3">
        <f t="shared" si="5"/>
        <v>2108.3333333333335</v>
      </c>
      <c r="K12" s="4">
        <f t="shared" si="6"/>
        <v>30191.666666666668</v>
      </c>
    </row>
    <row r="13" spans="1:11" x14ac:dyDescent="0.3">
      <c r="A13" s="3">
        <v>112</v>
      </c>
      <c r="B13" s="3" t="s">
        <v>27</v>
      </c>
      <c r="C13" s="3" t="s">
        <v>14</v>
      </c>
      <c r="D13" s="4">
        <v>12000</v>
      </c>
      <c r="E13" s="3">
        <f t="shared" si="0"/>
        <v>6000</v>
      </c>
      <c r="F13" s="3">
        <f t="shared" si="1"/>
        <v>2400</v>
      </c>
      <c r="G13" s="3">
        <f t="shared" si="2"/>
        <v>1200</v>
      </c>
      <c r="H13" s="3">
        <f t="shared" si="3"/>
        <v>208.33333333333334</v>
      </c>
      <c r="I13" s="4">
        <f t="shared" si="4"/>
        <v>20400</v>
      </c>
      <c r="J13" s="3">
        <f t="shared" si="5"/>
        <v>1408.3333333333333</v>
      </c>
      <c r="K13" s="4">
        <f t="shared" si="6"/>
        <v>18991.666666666668</v>
      </c>
    </row>
    <row r="14" spans="1:11" x14ac:dyDescent="0.3">
      <c r="A14" s="3">
        <v>113</v>
      </c>
      <c r="B14" s="3" t="s">
        <v>28</v>
      </c>
      <c r="C14" s="3" t="s">
        <v>20</v>
      </c>
      <c r="D14" s="4">
        <v>13000</v>
      </c>
      <c r="E14" s="3">
        <f t="shared" si="0"/>
        <v>6500</v>
      </c>
      <c r="F14" s="3">
        <f t="shared" si="1"/>
        <v>2600</v>
      </c>
      <c r="G14" s="3">
        <f t="shared" si="2"/>
        <v>1300</v>
      </c>
      <c r="H14" s="3">
        <f t="shared" si="3"/>
        <v>208.33333333333334</v>
      </c>
      <c r="I14" s="4">
        <f t="shared" si="4"/>
        <v>22100</v>
      </c>
      <c r="J14" s="3">
        <f t="shared" si="5"/>
        <v>1508.3333333333333</v>
      </c>
      <c r="K14" s="4">
        <f t="shared" si="6"/>
        <v>20591.666666666668</v>
      </c>
    </row>
    <row r="15" spans="1:11" x14ac:dyDescent="0.3">
      <c r="A15" s="3">
        <v>114</v>
      </c>
      <c r="B15" s="3" t="s">
        <v>29</v>
      </c>
      <c r="C15" s="3" t="s">
        <v>18</v>
      </c>
      <c r="D15" s="4">
        <v>20000</v>
      </c>
      <c r="E15" s="3">
        <f t="shared" si="0"/>
        <v>10000</v>
      </c>
      <c r="F15" s="3">
        <f t="shared" si="1"/>
        <v>4000</v>
      </c>
      <c r="G15" s="3">
        <f t="shared" si="2"/>
        <v>2000</v>
      </c>
      <c r="H15" s="3">
        <f t="shared" si="3"/>
        <v>208.33333333333334</v>
      </c>
      <c r="I15" s="4">
        <f t="shared" si="4"/>
        <v>34000</v>
      </c>
      <c r="J15" s="3">
        <f t="shared" si="5"/>
        <v>2208.3333333333335</v>
      </c>
      <c r="K15" s="4">
        <f t="shared" si="6"/>
        <v>31791.666666666668</v>
      </c>
    </row>
    <row r="16" spans="1:11" x14ac:dyDescent="0.3">
      <c r="A16" s="3">
        <v>115</v>
      </c>
      <c r="B16" s="3" t="s">
        <v>30</v>
      </c>
      <c r="C16" s="3" t="s">
        <v>16</v>
      </c>
      <c r="D16" s="4">
        <v>23000</v>
      </c>
      <c r="E16" s="3">
        <f t="shared" si="0"/>
        <v>11500</v>
      </c>
      <c r="F16" s="3">
        <f>D16*20%</f>
        <v>4600</v>
      </c>
      <c r="G16" s="3">
        <f t="shared" si="2"/>
        <v>2300</v>
      </c>
      <c r="H16" s="3">
        <f t="shared" si="3"/>
        <v>208.33333333333334</v>
      </c>
      <c r="I16" s="4">
        <f t="shared" si="4"/>
        <v>39100</v>
      </c>
      <c r="J16" s="3">
        <f t="shared" si="5"/>
        <v>2508.3333333333335</v>
      </c>
      <c r="K16" s="4">
        <f t="shared" si="6"/>
        <v>36591.666666666664</v>
      </c>
    </row>
    <row r="17" spans="1:11" x14ac:dyDescent="0.3">
      <c r="A17" s="3">
        <v>116</v>
      </c>
      <c r="B17" s="5" t="s">
        <v>31</v>
      </c>
      <c r="C17" s="3" t="s">
        <v>12</v>
      </c>
      <c r="D17" s="4">
        <v>18238.0952380952</v>
      </c>
      <c r="E17" s="3">
        <f t="shared" si="0"/>
        <v>9119.0476190476002</v>
      </c>
      <c r="F17" s="3">
        <f t="shared" ref="F17" si="7">D17*20%</f>
        <v>3647.6190476190404</v>
      </c>
      <c r="G17" s="3">
        <f>D17*10%</f>
        <v>1823.8095238095202</v>
      </c>
      <c r="H17" s="3">
        <f t="shared" si="3"/>
        <v>208.33333333333334</v>
      </c>
      <c r="I17" s="4">
        <f t="shared" si="4"/>
        <v>31004.761904761843</v>
      </c>
      <c r="J17" s="3">
        <f t="shared" si="5"/>
        <v>2032.1428571428535</v>
      </c>
      <c r="K17" s="4">
        <f t="shared" si="6"/>
        <v>28972.619047618988</v>
      </c>
    </row>
    <row r="18" spans="1:11" x14ac:dyDescent="0.3">
      <c r="A18" s="3">
        <v>117</v>
      </c>
      <c r="B18" s="5" t="s">
        <v>32</v>
      </c>
      <c r="C18" s="3" t="s">
        <v>14</v>
      </c>
      <c r="D18" s="4">
        <v>18359.523809523798</v>
      </c>
      <c r="E18" s="3">
        <f t="shared" si="0"/>
        <v>9179.7619047618991</v>
      </c>
      <c r="F18" s="3">
        <f t="shared" si="1"/>
        <v>3671.9047619047597</v>
      </c>
      <c r="G18" s="3">
        <f t="shared" si="2"/>
        <v>1835.9523809523798</v>
      </c>
      <c r="H18" s="3">
        <f t="shared" si="3"/>
        <v>208.33333333333334</v>
      </c>
      <c r="I18" s="4">
        <f t="shared" si="4"/>
        <v>31211.190476190455</v>
      </c>
      <c r="J18" s="3">
        <f t="shared" si="5"/>
        <v>2044.2857142857131</v>
      </c>
      <c r="K18" s="4">
        <f t="shared" si="6"/>
        <v>29166.904761904741</v>
      </c>
    </row>
    <row r="19" spans="1:11" x14ac:dyDescent="0.3">
      <c r="A19" s="3">
        <v>118</v>
      </c>
      <c r="B19" s="5" t="s">
        <v>33</v>
      </c>
      <c r="C19" s="3" t="s">
        <v>16</v>
      </c>
      <c r="D19" s="4">
        <v>18480.9523809524</v>
      </c>
      <c r="E19" s="3">
        <f t="shared" si="0"/>
        <v>9240.4761904761999</v>
      </c>
      <c r="F19" s="3">
        <f t="shared" si="1"/>
        <v>3696.1904761904802</v>
      </c>
      <c r="G19" s="3">
        <f t="shared" si="2"/>
        <v>1848.0952380952401</v>
      </c>
      <c r="H19" s="3">
        <f t="shared" si="3"/>
        <v>208.33333333333334</v>
      </c>
      <c r="I19" s="4">
        <f t="shared" si="4"/>
        <v>31417.619047619082</v>
      </c>
      <c r="J19" s="3">
        <f t="shared" si="5"/>
        <v>2056.4285714285734</v>
      </c>
      <c r="K19" s="4">
        <f t="shared" si="6"/>
        <v>29361.19047619051</v>
      </c>
    </row>
    <row r="20" spans="1:11" x14ac:dyDescent="0.3">
      <c r="A20" s="3">
        <v>119</v>
      </c>
      <c r="B20" s="5" t="s">
        <v>34</v>
      </c>
      <c r="C20" s="3" t="s">
        <v>18</v>
      </c>
      <c r="D20" s="4">
        <v>18602.3809523809</v>
      </c>
      <c r="E20" s="3">
        <f t="shared" si="0"/>
        <v>9301.1904761904498</v>
      </c>
      <c r="F20" s="3">
        <f t="shared" si="1"/>
        <v>3720.4761904761799</v>
      </c>
      <c r="G20" s="3">
        <f t="shared" si="2"/>
        <v>1860.23809523809</v>
      </c>
      <c r="H20" s="3">
        <f t="shared" si="3"/>
        <v>208.33333333333334</v>
      </c>
      <c r="I20" s="4">
        <f t="shared" si="4"/>
        <v>31624.047619047527</v>
      </c>
      <c r="J20" s="3">
        <f t="shared" si="5"/>
        <v>2068.5714285714234</v>
      </c>
      <c r="K20" s="4">
        <f t="shared" si="6"/>
        <v>29555.476190476104</v>
      </c>
    </row>
    <row r="21" spans="1:11" x14ac:dyDescent="0.3">
      <c r="A21" s="3">
        <v>120</v>
      </c>
      <c r="B21" s="5" t="s">
        <v>35</v>
      </c>
      <c r="C21" s="3" t="s">
        <v>20</v>
      </c>
      <c r="D21" s="4">
        <v>18723.809523809501</v>
      </c>
      <c r="E21" s="3">
        <f t="shared" si="0"/>
        <v>9361.9047619047506</v>
      </c>
      <c r="F21" s="3">
        <f t="shared" si="1"/>
        <v>3744.7619047619005</v>
      </c>
      <c r="G21" s="3">
        <f t="shared" si="2"/>
        <v>1872.3809523809502</v>
      </c>
      <c r="H21" s="3">
        <f t="shared" si="3"/>
        <v>208.33333333333334</v>
      </c>
      <c r="I21" s="4">
        <f t="shared" si="4"/>
        <v>31830.476190476154</v>
      </c>
      <c r="J21" s="3">
        <f t="shared" si="5"/>
        <v>2080.7142857142835</v>
      </c>
      <c r="K21" s="4">
        <f t="shared" si="6"/>
        <v>29749.761904761872</v>
      </c>
    </row>
    <row r="22" spans="1:11" x14ac:dyDescent="0.3">
      <c r="A22" s="3">
        <v>121</v>
      </c>
      <c r="B22" s="5" t="s">
        <v>36</v>
      </c>
      <c r="C22" s="3" t="s">
        <v>20</v>
      </c>
      <c r="D22" s="4">
        <v>18845.238095238099</v>
      </c>
      <c r="E22" s="3">
        <f t="shared" si="0"/>
        <v>9422.6190476190495</v>
      </c>
      <c r="F22" s="3">
        <f t="shared" si="1"/>
        <v>3769.0476190476202</v>
      </c>
      <c r="G22" s="3">
        <f t="shared" si="2"/>
        <v>1884.5238095238101</v>
      </c>
      <c r="H22" s="3">
        <f t="shared" si="3"/>
        <v>208.33333333333334</v>
      </c>
      <c r="I22" s="4">
        <f t="shared" si="4"/>
        <v>32036.904761904771</v>
      </c>
      <c r="J22" s="3">
        <f t="shared" si="5"/>
        <v>2092.8571428571436</v>
      </c>
      <c r="K22" s="4">
        <f t="shared" si="6"/>
        <v>29944.047619047626</v>
      </c>
    </row>
    <row r="23" spans="1:11" x14ac:dyDescent="0.3">
      <c r="A23" s="3">
        <v>122</v>
      </c>
      <c r="B23" s="5" t="s">
        <v>37</v>
      </c>
      <c r="C23" s="3" t="s">
        <v>14</v>
      </c>
      <c r="D23" s="4">
        <v>18966.666666666701</v>
      </c>
      <c r="E23" s="3">
        <f t="shared" si="0"/>
        <v>9483.3333333333503</v>
      </c>
      <c r="F23" s="3">
        <f t="shared" si="1"/>
        <v>3793.3333333333403</v>
      </c>
      <c r="G23" s="3">
        <f t="shared" si="2"/>
        <v>1896.6666666666702</v>
      </c>
      <c r="H23" s="3">
        <f t="shared" si="3"/>
        <v>208.33333333333334</v>
      </c>
      <c r="I23" s="4">
        <f t="shared" si="4"/>
        <v>32243.33333333339</v>
      </c>
      <c r="J23" s="3">
        <f t="shared" si="5"/>
        <v>2105.0000000000036</v>
      </c>
      <c r="K23" s="4">
        <f t="shared" si="6"/>
        <v>30138.333333333387</v>
      </c>
    </row>
    <row r="24" spans="1:11" x14ac:dyDescent="0.3">
      <c r="A24" s="3">
        <v>123</v>
      </c>
      <c r="B24" s="5" t="s">
        <v>38</v>
      </c>
      <c r="C24" s="3" t="s">
        <v>12</v>
      </c>
      <c r="D24" s="4">
        <v>19088.0952380952</v>
      </c>
      <c r="E24" s="3">
        <f t="shared" si="0"/>
        <v>9544.0476190476002</v>
      </c>
      <c r="F24" s="3">
        <f t="shared" si="1"/>
        <v>3817.6190476190404</v>
      </c>
      <c r="G24" s="3">
        <f t="shared" si="2"/>
        <v>1908.8095238095202</v>
      </c>
      <c r="H24" s="3">
        <f t="shared" si="3"/>
        <v>208.33333333333334</v>
      </c>
      <c r="I24" s="4">
        <f t="shared" si="4"/>
        <v>32449.761904761843</v>
      </c>
      <c r="J24" s="3">
        <f t="shared" si="5"/>
        <v>2117.1428571428537</v>
      </c>
      <c r="K24" s="4">
        <f t="shared" si="6"/>
        <v>30332.619047618988</v>
      </c>
    </row>
    <row r="25" spans="1:11" x14ac:dyDescent="0.3">
      <c r="A25" s="3">
        <v>124</v>
      </c>
      <c r="B25" s="5" t="s">
        <v>39</v>
      </c>
      <c r="C25" s="3" t="s">
        <v>18</v>
      </c>
      <c r="D25" s="4">
        <v>19209.523809523798</v>
      </c>
      <c r="E25" s="3">
        <f t="shared" si="0"/>
        <v>9604.7619047618991</v>
      </c>
      <c r="F25" s="3">
        <f t="shared" si="1"/>
        <v>3841.9047619047597</v>
      </c>
      <c r="G25" s="3">
        <f t="shared" si="2"/>
        <v>1920.9523809523798</v>
      </c>
      <c r="H25" s="3">
        <f t="shared" si="3"/>
        <v>208.33333333333334</v>
      </c>
      <c r="I25" s="4">
        <f t="shared" si="4"/>
        <v>32656.190476190455</v>
      </c>
      <c r="J25" s="3">
        <f t="shared" si="5"/>
        <v>2129.2857142857133</v>
      </c>
      <c r="K25" s="4">
        <f t="shared" si="6"/>
        <v>30526.904761904741</v>
      </c>
    </row>
    <row r="26" spans="1:11" x14ac:dyDescent="0.3">
      <c r="A26" s="3">
        <v>125</v>
      </c>
      <c r="B26" s="5" t="s">
        <v>40</v>
      </c>
      <c r="C26" s="3" t="s">
        <v>16</v>
      </c>
      <c r="D26" s="4">
        <v>19330.9523809524</v>
      </c>
      <c r="E26" s="3">
        <f t="shared" si="0"/>
        <v>9665.4761904761999</v>
      </c>
      <c r="F26" s="3">
        <f t="shared" si="1"/>
        <v>3866.1904761904802</v>
      </c>
      <c r="G26" s="3">
        <f t="shared" si="2"/>
        <v>1933.0952380952401</v>
      </c>
      <c r="H26" s="3">
        <f t="shared" si="3"/>
        <v>208.33333333333334</v>
      </c>
      <c r="I26" s="4">
        <f t="shared" si="4"/>
        <v>32862.619047619082</v>
      </c>
      <c r="J26" s="3">
        <f t="shared" si="5"/>
        <v>2141.4285714285734</v>
      </c>
      <c r="K26" s="4">
        <f t="shared" si="6"/>
        <v>30721.19047619051</v>
      </c>
    </row>
    <row r="27" spans="1:11" x14ac:dyDescent="0.3">
      <c r="A27" s="3">
        <v>126</v>
      </c>
      <c r="B27" s="5" t="s">
        <v>41</v>
      </c>
      <c r="C27" s="3" t="s">
        <v>12</v>
      </c>
      <c r="D27" s="4">
        <v>19452.3809523809</v>
      </c>
      <c r="E27" s="3">
        <f t="shared" si="0"/>
        <v>9726.1904761904498</v>
      </c>
      <c r="F27" s="3">
        <f t="shared" si="1"/>
        <v>3890.4761904761799</v>
      </c>
      <c r="G27" s="3">
        <f t="shared" si="2"/>
        <v>1945.23809523809</v>
      </c>
      <c r="H27" s="3">
        <f t="shared" si="3"/>
        <v>208.33333333333334</v>
      </c>
      <c r="I27" s="4">
        <f t="shared" si="4"/>
        <v>33069.047619047531</v>
      </c>
      <c r="J27" s="3">
        <f t="shared" si="5"/>
        <v>2153.5714285714234</v>
      </c>
      <c r="K27" s="4">
        <f t="shared" si="6"/>
        <v>30915.476190476107</v>
      </c>
    </row>
    <row r="28" spans="1:11" x14ac:dyDescent="0.3">
      <c r="A28" s="3">
        <v>127</v>
      </c>
      <c r="B28" s="5" t="s">
        <v>42</v>
      </c>
      <c r="C28" s="3" t="s">
        <v>14</v>
      </c>
      <c r="D28" s="4">
        <v>19573.809523809501</v>
      </c>
      <c r="E28" s="3">
        <f t="shared" si="0"/>
        <v>9786.9047619047506</v>
      </c>
      <c r="F28" s="3">
        <f t="shared" si="1"/>
        <v>3914.7619047619005</v>
      </c>
      <c r="G28" s="3">
        <f t="shared" si="2"/>
        <v>1957.3809523809502</v>
      </c>
      <c r="H28" s="3">
        <f t="shared" si="3"/>
        <v>208.33333333333334</v>
      </c>
      <c r="I28" s="4">
        <f t="shared" si="4"/>
        <v>33275.476190476154</v>
      </c>
      <c r="J28" s="3">
        <f t="shared" si="5"/>
        <v>2165.7142857142835</v>
      </c>
      <c r="K28" s="4">
        <f t="shared" si="6"/>
        <v>31109.761904761872</v>
      </c>
    </row>
    <row r="29" spans="1:11" x14ac:dyDescent="0.3">
      <c r="A29" s="3">
        <v>128</v>
      </c>
      <c r="B29" s="5" t="s">
        <v>43</v>
      </c>
      <c r="C29" s="3" t="s">
        <v>20</v>
      </c>
      <c r="D29" s="4">
        <v>19695.238095238099</v>
      </c>
      <c r="E29" s="3">
        <f t="shared" si="0"/>
        <v>9847.6190476190495</v>
      </c>
      <c r="F29" s="3">
        <f t="shared" si="1"/>
        <v>3939.0476190476202</v>
      </c>
      <c r="G29" s="3">
        <f t="shared" si="2"/>
        <v>1969.5238095238101</v>
      </c>
      <c r="H29" s="3">
        <f t="shared" si="3"/>
        <v>208.33333333333334</v>
      </c>
      <c r="I29" s="4">
        <f t="shared" si="4"/>
        <v>33481.904761904771</v>
      </c>
      <c r="J29" s="3">
        <f t="shared" si="5"/>
        <v>2177.8571428571436</v>
      </c>
      <c r="K29" s="4">
        <f t="shared" si="6"/>
        <v>31304.047619047626</v>
      </c>
    </row>
    <row r="30" spans="1:11" x14ac:dyDescent="0.3">
      <c r="A30" s="3">
        <v>129</v>
      </c>
      <c r="B30" s="5" t="s">
        <v>44</v>
      </c>
      <c r="C30" s="3" t="s">
        <v>18</v>
      </c>
      <c r="D30" s="4">
        <v>19816.666666666701</v>
      </c>
      <c r="E30" s="3">
        <f t="shared" si="0"/>
        <v>9908.3333333333503</v>
      </c>
      <c r="F30" s="3">
        <f t="shared" si="1"/>
        <v>3963.3333333333403</v>
      </c>
      <c r="G30" s="3">
        <f t="shared" si="2"/>
        <v>1981.6666666666702</v>
      </c>
      <c r="H30" s="3">
        <f t="shared" si="3"/>
        <v>208.33333333333334</v>
      </c>
      <c r="I30" s="4">
        <f t="shared" si="4"/>
        <v>33688.333333333394</v>
      </c>
      <c r="J30" s="3">
        <f t="shared" si="5"/>
        <v>2190.0000000000036</v>
      </c>
      <c r="K30" s="4">
        <f t="shared" si="6"/>
        <v>31498.33333333339</v>
      </c>
    </row>
    <row r="31" spans="1:11" x14ac:dyDescent="0.3">
      <c r="A31" s="3">
        <v>130</v>
      </c>
      <c r="B31" s="5" t="s">
        <v>45</v>
      </c>
      <c r="C31" s="3" t="s">
        <v>16</v>
      </c>
      <c r="D31" s="4">
        <v>19938.0952380952</v>
      </c>
      <c r="E31" s="3">
        <f t="shared" si="0"/>
        <v>9969.0476190476002</v>
      </c>
      <c r="F31" s="3">
        <f t="shared" si="1"/>
        <v>3987.6190476190404</v>
      </c>
      <c r="G31" s="3">
        <f t="shared" si="2"/>
        <v>1993.8095238095202</v>
      </c>
      <c r="H31" s="3">
        <f t="shared" si="3"/>
        <v>208.33333333333334</v>
      </c>
      <c r="I31" s="4">
        <f t="shared" si="4"/>
        <v>33894.761904761843</v>
      </c>
      <c r="J31" s="3">
        <f t="shared" si="5"/>
        <v>2202.1428571428537</v>
      </c>
      <c r="K31" s="4">
        <f t="shared" si="6"/>
        <v>31692.619047618988</v>
      </c>
    </row>
    <row r="32" spans="1:11" x14ac:dyDescent="0.3">
      <c r="A32" s="3">
        <v>131</v>
      </c>
      <c r="B32" s="5" t="s">
        <v>46</v>
      </c>
      <c r="C32" s="3" t="s">
        <v>12</v>
      </c>
      <c r="D32" s="4">
        <v>20059.523809523798</v>
      </c>
      <c r="E32" s="3">
        <f t="shared" si="0"/>
        <v>10029.761904761899</v>
      </c>
      <c r="F32" s="3">
        <f t="shared" si="1"/>
        <v>4011.9047619047597</v>
      </c>
      <c r="G32" s="3">
        <f t="shared" si="2"/>
        <v>2005.9523809523798</v>
      </c>
      <c r="H32" s="3">
        <f t="shared" si="3"/>
        <v>208.33333333333334</v>
      </c>
      <c r="I32" s="4">
        <f t="shared" si="4"/>
        <v>34101.190476190459</v>
      </c>
      <c r="J32" s="3">
        <f t="shared" si="5"/>
        <v>2214.2857142857133</v>
      </c>
      <c r="K32" s="4">
        <f t="shared" si="6"/>
        <v>31886.904761904745</v>
      </c>
    </row>
    <row r="33" spans="1:11" x14ac:dyDescent="0.3">
      <c r="A33" s="3">
        <v>132</v>
      </c>
      <c r="B33" s="5" t="s">
        <v>47</v>
      </c>
      <c r="C33" s="3" t="s">
        <v>14</v>
      </c>
      <c r="D33" s="4">
        <v>20180.9523809524</v>
      </c>
      <c r="E33" s="3">
        <f t="shared" si="0"/>
        <v>10090.4761904762</v>
      </c>
      <c r="F33" s="3">
        <f t="shared" si="1"/>
        <v>4036.1904761904802</v>
      </c>
      <c r="G33" s="3">
        <f t="shared" si="2"/>
        <v>2018.0952380952401</v>
      </c>
      <c r="H33" s="3">
        <f t="shared" si="3"/>
        <v>208.33333333333334</v>
      </c>
      <c r="I33" s="4">
        <f t="shared" si="4"/>
        <v>34307.619047619082</v>
      </c>
      <c r="J33" s="3">
        <f t="shared" si="5"/>
        <v>2226.4285714285734</v>
      </c>
      <c r="K33" s="4">
        <f t="shared" si="6"/>
        <v>32081.19047619051</v>
      </c>
    </row>
    <row r="34" spans="1:11" x14ac:dyDescent="0.3">
      <c r="A34" s="3">
        <v>133</v>
      </c>
      <c r="B34" s="5" t="s">
        <v>48</v>
      </c>
      <c r="C34" s="3" t="s">
        <v>16</v>
      </c>
      <c r="D34" s="4">
        <v>20302.3809523809</v>
      </c>
      <c r="E34" s="3">
        <f t="shared" si="0"/>
        <v>10151.19047619045</v>
      </c>
      <c r="F34" s="3">
        <f t="shared" si="1"/>
        <v>4060.4761904761799</v>
      </c>
      <c r="G34" s="3">
        <f t="shared" si="2"/>
        <v>2030.23809523809</v>
      </c>
      <c r="H34" s="3">
        <f t="shared" si="3"/>
        <v>208.33333333333334</v>
      </c>
      <c r="I34" s="4">
        <f t="shared" si="4"/>
        <v>34514.047619047531</v>
      </c>
      <c r="J34" s="3">
        <f t="shared" si="5"/>
        <v>2238.5714285714234</v>
      </c>
      <c r="K34" s="4">
        <f t="shared" si="6"/>
        <v>32275.476190476107</v>
      </c>
    </row>
    <row r="35" spans="1:11" x14ac:dyDescent="0.3">
      <c r="A35" s="3">
        <v>134</v>
      </c>
      <c r="B35" s="5" t="s">
        <v>49</v>
      </c>
      <c r="C35" s="3" t="s">
        <v>18</v>
      </c>
      <c r="D35" s="4">
        <v>20423.809523809501</v>
      </c>
      <c r="E35" s="3">
        <f t="shared" si="0"/>
        <v>10211.904761904751</v>
      </c>
      <c r="F35" s="3">
        <f t="shared" si="1"/>
        <v>4084.7619047619005</v>
      </c>
      <c r="G35" s="3">
        <f t="shared" si="2"/>
        <v>2042.3809523809502</v>
      </c>
      <c r="H35" s="3">
        <f t="shared" si="3"/>
        <v>208.33333333333334</v>
      </c>
      <c r="I35" s="4">
        <f t="shared" si="4"/>
        <v>34720.476190476154</v>
      </c>
      <c r="J35" s="3">
        <f t="shared" si="5"/>
        <v>2250.7142857142835</v>
      </c>
      <c r="K35" s="4">
        <f t="shared" si="6"/>
        <v>32469.761904761872</v>
      </c>
    </row>
    <row r="36" spans="1:11" x14ac:dyDescent="0.3">
      <c r="A36" s="3">
        <v>135</v>
      </c>
      <c r="B36" s="5" t="s">
        <v>50</v>
      </c>
      <c r="C36" s="3" t="s">
        <v>20</v>
      </c>
      <c r="D36" s="4">
        <v>20545.238095238099</v>
      </c>
      <c r="E36" s="3">
        <f t="shared" si="0"/>
        <v>10272.61904761905</v>
      </c>
      <c r="F36" s="3">
        <f t="shared" si="1"/>
        <v>4109.0476190476202</v>
      </c>
      <c r="G36" s="3">
        <f t="shared" si="2"/>
        <v>2054.5238095238101</v>
      </c>
      <c r="H36" s="3">
        <f t="shared" si="3"/>
        <v>208.33333333333334</v>
      </c>
      <c r="I36" s="4">
        <f t="shared" si="4"/>
        <v>34926.904761904771</v>
      </c>
      <c r="J36" s="3">
        <f t="shared" si="5"/>
        <v>2262.8571428571436</v>
      </c>
      <c r="K36" s="4">
        <f t="shared" si="6"/>
        <v>32664.047619047626</v>
      </c>
    </row>
    <row r="37" spans="1:11" x14ac:dyDescent="0.3">
      <c r="A37" s="3">
        <v>136</v>
      </c>
      <c r="B37" s="5" t="s">
        <v>51</v>
      </c>
      <c r="C37" s="3" t="s">
        <v>20</v>
      </c>
      <c r="D37" s="4">
        <v>20666.666666666701</v>
      </c>
      <c r="E37" s="3">
        <f t="shared" si="0"/>
        <v>10333.33333333335</v>
      </c>
      <c r="F37" s="3">
        <f t="shared" si="1"/>
        <v>4133.3333333333403</v>
      </c>
      <c r="G37" s="3">
        <f t="shared" si="2"/>
        <v>2066.6666666666702</v>
      </c>
      <c r="H37" s="3">
        <f t="shared" si="3"/>
        <v>208.33333333333334</v>
      </c>
      <c r="I37" s="4">
        <f t="shared" si="4"/>
        <v>35133.333333333394</v>
      </c>
      <c r="J37" s="3">
        <f t="shared" si="5"/>
        <v>2275.0000000000036</v>
      </c>
      <c r="K37" s="4">
        <f t="shared" si="6"/>
        <v>32858.333333333387</v>
      </c>
    </row>
    <row r="38" spans="1:11" x14ac:dyDescent="0.3">
      <c r="A38" s="3">
        <v>137</v>
      </c>
      <c r="B38" s="5" t="s">
        <v>52</v>
      </c>
      <c r="C38" s="3" t="s">
        <v>14</v>
      </c>
      <c r="D38" s="4">
        <v>20788.0952380952</v>
      </c>
      <c r="E38" s="3">
        <f t="shared" si="0"/>
        <v>10394.0476190476</v>
      </c>
      <c r="F38" s="3">
        <f t="shared" si="1"/>
        <v>4157.6190476190404</v>
      </c>
      <c r="G38" s="3">
        <f t="shared" si="2"/>
        <v>2078.8095238095202</v>
      </c>
      <c r="H38" s="3">
        <f t="shared" si="3"/>
        <v>208.33333333333334</v>
      </c>
      <c r="I38" s="4">
        <f t="shared" si="4"/>
        <v>35339.761904761843</v>
      </c>
      <c r="J38" s="3">
        <f t="shared" si="5"/>
        <v>2287.1428571428537</v>
      </c>
      <c r="K38" s="4">
        <f t="shared" si="6"/>
        <v>33052.619047618988</v>
      </c>
    </row>
    <row r="39" spans="1:11" x14ac:dyDescent="0.3">
      <c r="A39" s="3">
        <v>138</v>
      </c>
      <c r="B39" s="14" t="s">
        <v>128</v>
      </c>
      <c r="C39" s="3" t="s">
        <v>12</v>
      </c>
      <c r="D39" s="4">
        <v>20909.523809523798</v>
      </c>
      <c r="E39" s="3">
        <f t="shared" si="0"/>
        <v>10454.761904761899</v>
      </c>
      <c r="F39" s="3">
        <f t="shared" si="1"/>
        <v>4181.9047619047597</v>
      </c>
      <c r="G39" s="3">
        <f t="shared" si="2"/>
        <v>2090.9523809523798</v>
      </c>
      <c r="H39" s="3">
        <f t="shared" si="3"/>
        <v>208.33333333333334</v>
      </c>
      <c r="I39" s="4">
        <f t="shared" si="4"/>
        <v>35546.190476190459</v>
      </c>
      <c r="J39" s="3">
        <f t="shared" si="5"/>
        <v>2299.2857142857133</v>
      </c>
      <c r="K39" s="4">
        <f t="shared" si="6"/>
        <v>33246.904761904749</v>
      </c>
    </row>
    <row r="40" spans="1:11" x14ac:dyDescent="0.3">
      <c r="A40" s="3">
        <v>139</v>
      </c>
      <c r="B40" s="14" t="s">
        <v>129</v>
      </c>
      <c r="C40" s="3" t="s">
        <v>18</v>
      </c>
      <c r="D40" s="4">
        <v>21030.9523809524</v>
      </c>
      <c r="E40" s="3">
        <f t="shared" si="0"/>
        <v>10515.4761904762</v>
      </c>
      <c r="F40" s="3">
        <f t="shared" si="1"/>
        <v>4206.1904761904798</v>
      </c>
      <c r="G40" s="3">
        <f t="shared" si="2"/>
        <v>2103.0952380952399</v>
      </c>
      <c r="H40" s="3">
        <f t="shared" si="3"/>
        <v>208.33333333333334</v>
      </c>
      <c r="I40" s="4">
        <f t="shared" si="4"/>
        <v>35752.619047619082</v>
      </c>
      <c r="J40" s="3">
        <f t="shared" si="5"/>
        <v>2311.4285714285734</v>
      </c>
      <c r="K40" s="4">
        <f t="shared" si="6"/>
        <v>33441.19047619051</v>
      </c>
    </row>
    <row r="41" spans="1:11" x14ac:dyDescent="0.3">
      <c r="A41" s="3">
        <v>140</v>
      </c>
      <c r="B41" s="14" t="s">
        <v>130</v>
      </c>
      <c r="C41" s="3" t="s">
        <v>16</v>
      </c>
      <c r="D41" s="4">
        <v>21152.3809523809</v>
      </c>
      <c r="E41" s="3">
        <f t="shared" si="0"/>
        <v>10576.19047619045</v>
      </c>
      <c r="F41" s="3">
        <f t="shared" si="1"/>
        <v>4230.4761904761799</v>
      </c>
      <c r="G41" s="3">
        <f t="shared" si="2"/>
        <v>2115.23809523809</v>
      </c>
      <c r="H41" s="3">
        <f t="shared" si="3"/>
        <v>208.33333333333334</v>
      </c>
      <c r="I41" s="4">
        <f t="shared" si="4"/>
        <v>35959.047619047531</v>
      </c>
      <c r="J41" s="3">
        <f t="shared" si="5"/>
        <v>2323.5714285714234</v>
      </c>
      <c r="K41" s="4">
        <f t="shared" si="6"/>
        <v>33635.476190476111</v>
      </c>
    </row>
    <row r="42" spans="1:11" x14ac:dyDescent="0.3">
      <c r="A42" s="3">
        <v>141</v>
      </c>
      <c r="B42" s="14" t="s">
        <v>132</v>
      </c>
      <c r="C42" s="3" t="s">
        <v>12</v>
      </c>
      <c r="D42" s="4">
        <v>21273.809523809501</v>
      </c>
      <c r="E42" s="3">
        <f t="shared" si="0"/>
        <v>10636.904761904751</v>
      </c>
      <c r="F42" s="3">
        <f t="shared" si="1"/>
        <v>4254.7619047619</v>
      </c>
      <c r="G42" s="3">
        <f t="shared" si="2"/>
        <v>2127.38095238095</v>
      </c>
      <c r="H42" s="3">
        <f t="shared" si="3"/>
        <v>208.33333333333334</v>
      </c>
      <c r="I42" s="4">
        <f t="shared" si="4"/>
        <v>36165.476190476154</v>
      </c>
      <c r="J42" s="3">
        <f t="shared" si="5"/>
        <v>2335.7142857142835</v>
      </c>
      <c r="K42" s="4">
        <f t="shared" si="6"/>
        <v>33829.761904761872</v>
      </c>
    </row>
    <row r="43" spans="1:11" x14ac:dyDescent="0.3">
      <c r="A43" s="3">
        <v>142</v>
      </c>
      <c r="B43" s="14" t="s">
        <v>131</v>
      </c>
      <c r="C43" s="3" t="s">
        <v>14</v>
      </c>
      <c r="D43" s="4">
        <v>21395.238095238099</v>
      </c>
      <c r="E43" s="3">
        <f t="shared" si="0"/>
        <v>10697.61904761905</v>
      </c>
      <c r="F43" s="3">
        <f t="shared" si="1"/>
        <v>4279.0476190476202</v>
      </c>
      <c r="G43" s="3">
        <f t="shared" si="2"/>
        <v>2139.5238095238101</v>
      </c>
      <c r="H43" s="3">
        <f t="shared" si="3"/>
        <v>208.33333333333334</v>
      </c>
      <c r="I43" s="4">
        <f t="shared" si="4"/>
        <v>36371.904761904771</v>
      </c>
      <c r="J43" s="3">
        <f t="shared" si="5"/>
        <v>2347.8571428571436</v>
      </c>
      <c r="K43" s="4">
        <f t="shared" si="6"/>
        <v>34024.047619047626</v>
      </c>
    </row>
    <row r="44" spans="1:11" x14ac:dyDescent="0.3">
      <c r="A44" s="3">
        <v>143</v>
      </c>
      <c r="B44" s="5" t="s">
        <v>58</v>
      </c>
      <c r="C44" s="3" t="s">
        <v>20</v>
      </c>
      <c r="D44" s="4">
        <v>21516.666666666701</v>
      </c>
      <c r="E44" s="3">
        <f t="shared" si="0"/>
        <v>10758.33333333335</v>
      </c>
      <c r="F44" s="3">
        <f t="shared" si="1"/>
        <v>4303.3333333333403</v>
      </c>
      <c r="G44" s="3">
        <f t="shared" si="2"/>
        <v>2151.6666666666702</v>
      </c>
      <c r="H44" s="3">
        <f t="shared" si="3"/>
        <v>208.33333333333334</v>
      </c>
      <c r="I44" s="4">
        <f t="shared" si="4"/>
        <v>36578.333333333394</v>
      </c>
      <c r="J44" s="3">
        <f t="shared" si="5"/>
        <v>2360.0000000000036</v>
      </c>
      <c r="K44" s="4">
        <f t="shared" si="6"/>
        <v>34218.333333333387</v>
      </c>
    </row>
    <row r="45" spans="1:11" x14ac:dyDescent="0.3">
      <c r="A45" s="3">
        <v>144</v>
      </c>
      <c r="B45" s="14" t="s">
        <v>133</v>
      </c>
      <c r="C45" s="3" t="s">
        <v>18</v>
      </c>
      <c r="D45" s="4">
        <v>21638.0952380952</v>
      </c>
      <c r="E45" s="3">
        <f t="shared" si="0"/>
        <v>10819.0476190476</v>
      </c>
      <c r="F45" s="3">
        <f t="shared" si="1"/>
        <v>4327.6190476190404</v>
      </c>
      <c r="G45" s="3">
        <f t="shared" si="2"/>
        <v>2163.8095238095202</v>
      </c>
      <c r="H45" s="3">
        <f t="shared" si="3"/>
        <v>208.33333333333334</v>
      </c>
      <c r="I45" s="4">
        <f t="shared" si="4"/>
        <v>36784.761904761843</v>
      </c>
      <c r="J45" s="3">
        <f t="shared" si="5"/>
        <v>2372.1428571428537</v>
      </c>
      <c r="K45" s="4">
        <f t="shared" si="6"/>
        <v>34412.619047618988</v>
      </c>
    </row>
    <row r="46" spans="1:11" x14ac:dyDescent="0.3">
      <c r="A46" s="3">
        <v>145</v>
      </c>
      <c r="B46" s="5" t="s">
        <v>60</v>
      </c>
      <c r="C46" s="3" t="s">
        <v>16</v>
      </c>
      <c r="D46" s="4">
        <v>21759.523809523798</v>
      </c>
      <c r="E46" s="3">
        <f t="shared" si="0"/>
        <v>10879.761904761899</v>
      </c>
      <c r="F46" s="3">
        <f t="shared" si="1"/>
        <v>4351.9047619047597</v>
      </c>
      <c r="G46" s="3">
        <f t="shared" si="2"/>
        <v>2175.9523809523798</v>
      </c>
      <c r="H46" s="3">
        <f t="shared" si="3"/>
        <v>208.33333333333334</v>
      </c>
      <c r="I46" s="4">
        <f t="shared" si="4"/>
        <v>36991.190476190459</v>
      </c>
      <c r="J46" s="3">
        <f t="shared" si="5"/>
        <v>2384.2857142857133</v>
      </c>
      <c r="K46" s="4">
        <f t="shared" si="6"/>
        <v>34606.904761904749</v>
      </c>
    </row>
    <row r="47" spans="1:11" x14ac:dyDescent="0.3">
      <c r="A47" s="3">
        <v>146</v>
      </c>
      <c r="B47" s="5" t="s">
        <v>61</v>
      </c>
      <c r="C47" s="3" t="s">
        <v>12</v>
      </c>
      <c r="D47" s="4">
        <v>21880.9523809524</v>
      </c>
      <c r="E47" s="3">
        <f t="shared" si="0"/>
        <v>10940.4761904762</v>
      </c>
      <c r="F47" s="3">
        <f t="shared" si="1"/>
        <v>4376.1904761904798</v>
      </c>
      <c r="G47" s="3">
        <f t="shared" si="2"/>
        <v>2188.0952380952399</v>
      </c>
      <c r="H47" s="3">
        <f t="shared" si="3"/>
        <v>208.33333333333334</v>
      </c>
      <c r="I47" s="4">
        <f t="shared" si="4"/>
        <v>37197.619047619082</v>
      </c>
      <c r="J47" s="3">
        <f t="shared" si="5"/>
        <v>2396.4285714285734</v>
      </c>
      <c r="K47" s="4">
        <f t="shared" si="6"/>
        <v>34801.19047619051</v>
      </c>
    </row>
    <row r="48" spans="1:11" x14ac:dyDescent="0.3">
      <c r="A48" s="3">
        <v>147</v>
      </c>
      <c r="B48" s="5" t="s">
        <v>62</v>
      </c>
      <c r="C48" s="3" t="s">
        <v>14</v>
      </c>
      <c r="D48" s="4">
        <v>22002.3809523809</v>
      </c>
      <c r="E48" s="3">
        <f t="shared" si="0"/>
        <v>11001.19047619045</v>
      </c>
      <c r="F48" s="3">
        <f t="shared" si="1"/>
        <v>4400.4761904761799</v>
      </c>
      <c r="G48" s="3">
        <f t="shared" si="2"/>
        <v>2200.23809523809</v>
      </c>
      <c r="H48" s="3">
        <f t="shared" si="3"/>
        <v>208.33333333333334</v>
      </c>
      <c r="I48" s="4">
        <f t="shared" si="4"/>
        <v>37404.047619047531</v>
      </c>
      <c r="J48" s="3">
        <f t="shared" si="5"/>
        <v>2408.5714285714234</v>
      </c>
      <c r="K48" s="4">
        <f t="shared" si="6"/>
        <v>34995.476190476111</v>
      </c>
    </row>
    <row r="49" spans="1:11" x14ac:dyDescent="0.3">
      <c r="A49" s="3">
        <v>148</v>
      </c>
      <c r="B49" s="14" t="s">
        <v>134</v>
      </c>
      <c r="C49" s="3" t="s">
        <v>16</v>
      </c>
      <c r="D49" s="4">
        <v>22123.809523809501</v>
      </c>
      <c r="E49" s="3">
        <f t="shared" si="0"/>
        <v>11061.904761904751</v>
      </c>
      <c r="F49" s="3">
        <f t="shared" si="1"/>
        <v>4424.7619047619</v>
      </c>
      <c r="G49" s="3">
        <f t="shared" si="2"/>
        <v>2212.38095238095</v>
      </c>
      <c r="H49" s="3">
        <f t="shared" si="3"/>
        <v>208.33333333333334</v>
      </c>
      <c r="I49" s="4">
        <f t="shared" si="4"/>
        <v>37610.476190476154</v>
      </c>
      <c r="J49" s="3">
        <f t="shared" si="5"/>
        <v>2420.7142857142835</v>
      </c>
      <c r="K49" s="4">
        <f t="shared" si="6"/>
        <v>35189.761904761872</v>
      </c>
    </row>
    <row r="50" spans="1:11" x14ac:dyDescent="0.3">
      <c r="A50" s="3">
        <v>149</v>
      </c>
      <c r="B50" s="14" t="s">
        <v>135</v>
      </c>
      <c r="C50" s="3" t="s">
        <v>18</v>
      </c>
      <c r="D50" s="4">
        <v>22245.238095238099</v>
      </c>
      <c r="E50" s="3">
        <f t="shared" si="0"/>
        <v>11122.61904761905</v>
      </c>
      <c r="F50" s="3">
        <f t="shared" si="1"/>
        <v>4449.0476190476202</v>
      </c>
      <c r="G50" s="3">
        <f t="shared" si="2"/>
        <v>2224.5238095238101</v>
      </c>
      <c r="H50" s="3">
        <f t="shared" si="3"/>
        <v>208.33333333333334</v>
      </c>
      <c r="I50" s="4">
        <f t="shared" si="4"/>
        <v>37816.904761904763</v>
      </c>
      <c r="J50" s="3">
        <f t="shared" si="5"/>
        <v>2432.8571428571436</v>
      </c>
      <c r="K50" s="4">
        <f t="shared" si="6"/>
        <v>35384.047619047618</v>
      </c>
    </row>
    <row r="51" spans="1:11" x14ac:dyDescent="0.3">
      <c r="A51" s="3">
        <v>150</v>
      </c>
      <c r="B51" s="14" t="s">
        <v>136</v>
      </c>
      <c r="C51" s="3" t="s">
        <v>20</v>
      </c>
      <c r="D51" s="4">
        <v>22366.666666666701</v>
      </c>
      <c r="E51" s="3">
        <f t="shared" si="0"/>
        <v>11183.33333333335</v>
      </c>
      <c r="F51" s="3">
        <f t="shared" si="1"/>
        <v>4473.3333333333403</v>
      </c>
      <c r="G51" s="3">
        <f t="shared" si="2"/>
        <v>2236.6666666666702</v>
      </c>
      <c r="H51" s="3">
        <f t="shared" si="3"/>
        <v>208.33333333333334</v>
      </c>
      <c r="I51" s="4">
        <f t="shared" si="4"/>
        <v>38023.333333333394</v>
      </c>
      <c r="J51" s="3">
        <f t="shared" si="5"/>
        <v>2445.0000000000036</v>
      </c>
      <c r="K51" s="4">
        <f t="shared" si="6"/>
        <v>35578.333333333387</v>
      </c>
    </row>
    <row r="52" spans="1:11" x14ac:dyDescent="0.3">
      <c r="A52" s="3">
        <v>151</v>
      </c>
      <c r="B52" s="14" t="s">
        <v>137</v>
      </c>
      <c r="C52" s="3" t="s">
        <v>20</v>
      </c>
      <c r="D52" s="4">
        <v>22488.0952380952</v>
      </c>
      <c r="E52" s="3">
        <f t="shared" si="0"/>
        <v>11244.0476190476</v>
      </c>
      <c r="F52" s="3">
        <f t="shared" si="1"/>
        <v>4497.6190476190404</v>
      </c>
      <c r="G52" s="3">
        <f t="shared" si="2"/>
        <v>2248.8095238095202</v>
      </c>
      <c r="H52" s="3">
        <f t="shared" si="3"/>
        <v>208.33333333333334</v>
      </c>
      <c r="I52" s="4">
        <f t="shared" si="4"/>
        <v>38229.761904761835</v>
      </c>
      <c r="J52" s="3">
        <f t="shared" si="5"/>
        <v>2457.1428571428537</v>
      </c>
      <c r="K52" s="4">
        <f t="shared" si="6"/>
        <v>35772.61904761898</v>
      </c>
    </row>
    <row r="53" spans="1:11" x14ac:dyDescent="0.3">
      <c r="A53" s="3">
        <v>152</v>
      </c>
      <c r="B53" s="14" t="s">
        <v>138</v>
      </c>
      <c r="C53" s="3" t="s">
        <v>14</v>
      </c>
      <c r="D53" s="4">
        <v>22609.523809523798</v>
      </c>
      <c r="E53" s="3">
        <f t="shared" si="0"/>
        <v>11304.761904761899</v>
      </c>
      <c r="F53" s="3">
        <f t="shared" si="1"/>
        <v>4521.9047619047597</v>
      </c>
      <c r="G53" s="3">
        <f t="shared" si="2"/>
        <v>2260.9523809523798</v>
      </c>
      <c r="H53" s="3">
        <f t="shared" si="3"/>
        <v>208.33333333333334</v>
      </c>
      <c r="I53" s="4">
        <f t="shared" si="4"/>
        <v>38436.190476190459</v>
      </c>
      <c r="J53" s="3">
        <f t="shared" si="5"/>
        <v>2469.2857142857133</v>
      </c>
      <c r="K53" s="4">
        <f t="shared" si="6"/>
        <v>35966.904761904749</v>
      </c>
    </row>
    <row r="54" spans="1:11" x14ac:dyDescent="0.3">
      <c r="A54" s="3">
        <v>153</v>
      </c>
      <c r="B54" s="5" t="s">
        <v>68</v>
      </c>
      <c r="C54" s="3" t="s">
        <v>12</v>
      </c>
      <c r="D54" s="4">
        <v>22730.9523809524</v>
      </c>
      <c r="E54" s="3">
        <f t="shared" si="0"/>
        <v>11365.4761904762</v>
      </c>
      <c r="F54" s="3">
        <f t="shared" si="1"/>
        <v>4546.1904761904798</v>
      </c>
      <c r="G54" s="3">
        <f t="shared" si="2"/>
        <v>2273.0952380952399</v>
      </c>
      <c r="H54" s="3">
        <f t="shared" si="3"/>
        <v>208.33333333333334</v>
      </c>
      <c r="I54" s="4">
        <f t="shared" si="4"/>
        <v>38642.619047619082</v>
      </c>
      <c r="J54" s="3">
        <f t="shared" si="5"/>
        <v>2481.4285714285734</v>
      </c>
      <c r="K54" s="4">
        <f t="shared" si="6"/>
        <v>36161.19047619051</v>
      </c>
    </row>
    <row r="55" spans="1:11" x14ac:dyDescent="0.3">
      <c r="A55" s="3">
        <v>154</v>
      </c>
      <c r="B55" s="5" t="s">
        <v>69</v>
      </c>
      <c r="C55" s="3" t="s">
        <v>18</v>
      </c>
      <c r="D55" s="4">
        <v>22852.3809523809</v>
      </c>
      <c r="E55" s="3">
        <f t="shared" si="0"/>
        <v>11426.19047619045</v>
      </c>
      <c r="F55" s="3">
        <f t="shared" si="1"/>
        <v>4570.4761904761799</v>
      </c>
      <c r="G55" s="3">
        <f t="shared" si="2"/>
        <v>2285.23809523809</v>
      </c>
      <c r="H55" s="3">
        <f t="shared" si="3"/>
        <v>208.33333333333334</v>
      </c>
      <c r="I55" s="4">
        <f t="shared" si="4"/>
        <v>38849.047619047531</v>
      </c>
      <c r="J55" s="3">
        <f t="shared" si="5"/>
        <v>2493.5714285714234</v>
      </c>
      <c r="K55" s="4">
        <f t="shared" si="6"/>
        <v>36355.476190476111</v>
      </c>
    </row>
    <row r="56" spans="1:11" x14ac:dyDescent="0.3">
      <c r="A56" s="3">
        <v>155</v>
      </c>
      <c r="B56" s="14" t="s">
        <v>139</v>
      </c>
      <c r="C56" s="3" t="s">
        <v>16</v>
      </c>
      <c r="D56" s="4">
        <v>22973.809523809501</v>
      </c>
      <c r="E56" s="3">
        <f t="shared" si="0"/>
        <v>11486.904761904751</v>
      </c>
      <c r="F56" s="3">
        <f t="shared" si="1"/>
        <v>4594.7619047619</v>
      </c>
      <c r="G56" s="3">
        <f t="shared" si="2"/>
        <v>2297.38095238095</v>
      </c>
      <c r="H56" s="3">
        <f t="shared" si="3"/>
        <v>208.33333333333334</v>
      </c>
      <c r="I56" s="4">
        <f t="shared" si="4"/>
        <v>39055.476190476154</v>
      </c>
      <c r="J56" s="3">
        <f t="shared" si="5"/>
        <v>2505.7142857142835</v>
      </c>
      <c r="K56" s="4">
        <f t="shared" si="6"/>
        <v>36549.761904761872</v>
      </c>
    </row>
    <row r="57" spans="1:11" x14ac:dyDescent="0.3">
      <c r="A57" s="3">
        <v>156</v>
      </c>
      <c r="B57" s="14" t="s">
        <v>140</v>
      </c>
      <c r="C57" s="3" t="s">
        <v>12</v>
      </c>
      <c r="D57" s="4">
        <v>23095.238095238099</v>
      </c>
      <c r="E57" s="3">
        <f t="shared" si="0"/>
        <v>11547.61904761905</v>
      </c>
      <c r="F57" s="3">
        <f t="shared" si="1"/>
        <v>4619.0476190476202</v>
      </c>
      <c r="G57" s="3">
        <f t="shared" si="2"/>
        <v>2309.5238095238101</v>
      </c>
      <c r="H57" s="3">
        <f t="shared" si="3"/>
        <v>208.33333333333334</v>
      </c>
      <c r="I57" s="4">
        <f t="shared" si="4"/>
        <v>39261.904761904763</v>
      </c>
      <c r="J57" s="3">
        <f t="shared" si="5"/>
        <v>2517.8571428571436</v>
      </c>
      <c r="K57" s="4">
        <f t="shared" si="6"/>
        <v>36744.047619047618</v>
      </c>
    </row>
    <row r="58" spans="1:11" x14ac:dyDescent="0.3">
      <c r="A58" s="3">
        <v>157</v>
      </c>
      <c r="B58" s="14" t="s">
        <v>141</v>
      </c>
      <c r="C58" s="3" t="s">
        <v>14</v>
      </c>
      <c r="D58" s="4">
        <v>23216.666666666701</v>
      </c>
      <c r="E58" s="3">
        <f t="shared" si="0"/>
        <v>11608.33333333335</v>
      </c>
      <c r="F58" s="3">
        <f t="shared" si="1"/>
        <v>4643.3333333333403</v>
      </c>
      <c r="G58" s="3">
        <f t="shared" si="2"/>
        <v>2321.6666666666702</v>
      </c>
      <c r="H58" s="3">
        <f t="shared" si="3"/>
        <v>208.33333333333334</v>
      </c>
      <c r="I58" s="4">
        <f t="shared" si="4"/>
        <v>39468.333333333394</v>
      </c>
      <c r="J58" s="3">
        <f t="shared" si="5"/>
        <v>2530.0000000000036</v>
      </c>
      <c r="K58" s="4">
        <f t="shared" si="6"/>
        <v>36938.333333333387</v>
      </c>
    </row>
    <row r="59" spans="1:11" x14ac:dyDescent="0.3">
      <c r="A59" s="3">
        <v>158</v>
      </c>
      <c r="B59" s="14" t="s">
        <v>142</v>
      </c>
      <c r="C59" s="3" t="s">
        <v>20</v>
      </c>
      <c r="D59" s="4">
        <v>23338.0952380952</v>
      </c>
      <c r="E59" s="3">
        <f t="shared" si="0"/>
        <v>11669.0476190476</v>
      </c>
      <c r="F59" s="3">
        <f t="shared" si="1"/>
        <v>4667.6190476190404</v>
      </c>
      <c r="G59" s="3">
        <f t="shared" si="2"/>
        <v>2333.8095238095202</v>
      </c>
      <c r="H59" s="3">
        <f t="shared" si="3"/>
        <v>208.33333333333334</v>
      </c>
      <c r="I59" s="4">
        <f t="shared" si="4"/>
        <v>39674.761904761835</v>
      </c>
      <c r="J59" s="3">
        <f t="shared" si="5"/>
        <v>2542.1428571428537</v>
      </c>
      <c r="K59" s="4">
        <f t="shared" si="6"/>
        <v>37132.61904761898</v>
      </c>
    </row>
    <row r="60" spans="1:11" x14ac:dyDescent="0.3">
      <c r="A60" s="3">
        <v>159</v>
      </c>
      <c r="B60" s="14" t="s">
        <v>143</v>
      </c>
      <c r="C60" s="3" t="s">
        <v>18</v>
      </c>
      <c r="D60" s="4">
        <v>23459.523809523798</v>
      </c>
      <c r="E60" s="3">
        <f t="shared" si="0"/>
        <v>11729.761904761899</v>
      </c>
      <c r="F60" s="3">
        <f t="shared" si="1"/>
        <v>4691.9047619047597</v>
      </c>
      <c r="G60" s="3">
        <f t="shared" si="2"/>
        <v>2345.9523809523798</v>
      </c>
      <c r="H60" s="3">
        <f t="shared" si="3"/>
        <v>208.33333333333334</v>
      </c>
      <c r="I60" s="4">
        <f t="shared" si="4"/>
        <v>39881.190476190459</v>
      </c>
      <c r="J60" s="3">
        <f t="shared" si="5"/>
        <v>2554.2857142857133</v>
      </c>
      <c r="K60" s="4">
        <f t="shared" si="6"/>
        <v>37326.904761904749</v>
      </c>
    </row>
    <row r="61" spans="1:11" x14ac:dyDescent="0.3">
      <c r="A61" s="3">
        <v>160</v>
      </c>
      <c r="B61" s="14" t="s">
        <v>144</v>
      </c>
      <c r="C61" s="3" t="s">
        <v>16</v>
      </c>
      <c r="D61" s="4">
        <v>23580.9523809524</v>
      </c>
      <c r="E61" s="3">
        <f t="shared" si="0"/>
        <v>11790.4761904762</v>
      </c>
      <c r="F61" s="3">
        <f t="shared" si="1"/>
        <v>4716.1904761904798</v>
      </c>
      <c r="G61" s="3">
        <f t="shared" si="2"/>
        <v>2358.0952380952399</v>
      </c>
      <c r="H61" s="3">
        <f t="shared" si="3"/>
        <v>208.33333333333334</v>
      </c>
      <c r="I61" s="4">
        <f t="shared" si="4"/>
        <v>40087.619047619082</v>
      </c>
      <c r="J61" s="3">
        <f t="shared" si="5"/>
        <v>2566.4285714285734</v>
      </c>
      <c r="K61" s="4">
        <f t="shared" si="6"/>
        <v>37521.19047619051</v>
      </c>
    </row>
    <row r="62" spans="1:11" x14ac:dyDescent="0.3">
      <c r="A62" s="3">
        <v>161</v>
      </c>
      <c r="B62" s="14" t="s">
        <v>145</v>
      </c>
      <c r="C62" s="3" t="s">
        <v>12</v>
      </c>
      <c r="D62" s="4">
        <v>23702.3809523809</v>
      </c>
      <c r="E62" s="3">
        <f t="shared" si="0"/>
        <v>11851.19047619045</v>
      </c>
      <c r="F62" s="3">
        <f t="shared" si="1"/>
        <v>4740.4761904761799</v>
      </c>
      <c r="G62" s="3">
        <f t="shared" si="2"/>
        <v>2370.23809523809</v>
      </c>
      <c r="H62" s="3">
        <f t="shared" si="3"/>
        <v>208.33333333333334</v>
      </c>
      <c r="I62" s="4">
        <f t="shared" si="4"/>
        <v>40294.047619047531</v>
      </c>
      <c r="J62" s="3">
        <f t="shared" si="5"/>
        <v>2578.5714285714234</v>
      </c>
      <c r="K62" s="4">
        <f t="shared" si="6"/>
        <v>37715.476190476111</v>
      </c>
    </row>
    <row r="63" spans="1:11" x14ac:dyDescent="0.3">
      <c r="A63" s="3">
        <v>162</v>
      </c>
      <c r="B63" s="14" t="s">
        <v>146</v>
      </c>
      <c r="C63" s="3" t="s">
        <v>14</v>
      </c>
      <c r="D63" s="4">
        <v>23823.809523809501</v>
      </c>
      <c r="E63" s="3">
        <f t="shared" si="0"/>
        <v>11911.904761904751</v>
      </c>
      <c r="F63" s="3">
        <f t="shared" si="1"/>
        <v>4764.7619047619</v>
      </c>
      <c r="G63" s="3">
        <f t="shared" si="2"/>
        <v>2382.38095238095</v>
      </c>
      <c r="H63" s="3">
        <f t="shared" si="3"/>
        <v>208.33333333333334</v>
      </c>
      <c r="I63" s="4">
        <f t="shared" si="4"/>
        <v>40500.476190476154</v>
      </c>
      <c r="J63" s="3">
        <f t="shared" si="5"/>
        <v>2590.7142857142835</v>
      </c>
      <c r="K63" s="4">
        <f t="shared" si="6"/>
        <v>37909.761904761872</v>
      </c>
    </row>
    <row r="64" spans="1:11" x14ac:dyDescent="0.3">
      <c r="A64" s="3">
        <v>163</v>
      </c>
      <c r="B64" s="5" t="s">
        <v>78</v>
      </c>
      <c r="C64" s="3" t="s">
        <v>16</v>
      </c>
      <c r="D64" s="4">
        <v>23945.238095238099</v>
      </c>
      <c r="E64" s="3">
        <f t="shared" si="0"/>
        <v>11972.61904761905</v>
      </c>
      <c r="F64" s="3">
        <f t="shared" si="1"/>
        <v>4789.0476190476202</v>
      </c>
      <c r="G64" s="3">
        <f t="shared" si="2"/>
        <v>2394.5238095238101</v>
      </c>
      <c r="H64" s="3">
        <f t="shared" si="3"/>
        <v>208.33333333333334</v>
      </c>
      <c r="I64" s="4">
        <f t="shared" si="4"/>
        <v>40706.904761904763</v>
      </c>
      <c r="J64" s="3">
        <f t="shared" si="5"/>
        <v>2602.8571428571436</v>
      </c>
      <c r="K64" s="4">
        <f t="shared" si="6"/>
        <v>38104.047619047618</v>
      </c>
    </row>
    <row r="65" spans="1:11" x14ac:dyDescent="0.3">
      <c r="A65" s="3">
        <v>164</v>
      </c>
      <c r="B65" s="14" t="s">
        <v>147</v>
      </c>
      <c r="C65" s="3" t="s">
        <v>18</v>
      </c>
      <c r="D65" s="4">
        <v>24066.666666666701</v>
      </c>
      <c r="E65" s="3">
        <f t="shared" si="0"/>
        <v>12033.33333333335</v>
      </c>
      <c r="F65" s="3">
        <f t="shared" si="1"/>
        <v>4813.3333333333403</v>
      </c>
      <c r="G65" s="3">
        <f t="shared" si="2"/>
        <v>2406.6666666666702</v>
      </c>
      <c r="H65" s="3">
        <f t="shared" si="3"/>
        <v>208.33333333333334</v>
      </c>
      <c r="I65" s="4">
        <f t="shared" si="4"/>
        <v>40913.333333333394</v>
      </c>
      <c r="J65" s="3">
        <f t="shared" si="5"/>
        <v>2615.0000000000036</v>
      </c>
      <c r="K65" s="4">
        <f t="shared" si="6"/>
        <v>38298.333333333387</v>
      </c>
    </row>
    <row r="66" spans="1:11" x14ac:dyDescent="0.3">
      <c r="A66" s="3">
        <v>165</v>
      </c>
      <c r="B66" s="14" t="s">
        <v>148</v>
      </c>
      <c r="C66" s="3" t="s">
        <v>20</v>
      </c>
      <c r="D66" s="4">
        <v>24188.0952380952</v>
      </c>
      <c r="E66" s="3">
        <f t="shared" si="0"/>
        <v>12094.0476190476</v>
      </c>
      <c r="F66" s="3">
        <f t="shared" si="1"/>
        <v>4837.6190476190404</v>
      </c>
      <c r="G66" s="3">
        <f t="shared" si="2"/>
        <v>2418.8095238095202</v>
      </c>
      <c r="H66" s="3">
        <f t="shared" si="3"/>
        <v>208.33333333333334</v>
      </c>
      <c r="I66" s="4">
        <f t="shared" si="4"/>
        <v>41119.761904761835</v>
      </c>
      <c r="J66" s="3">
        <f t="shared" si="5"/>
        <v>2627.1428571428537</v>
      </c>
      <c r="K66" s="4">
        <f t="shared" si="6"/>
        <v>38492.61904761898</v>
      </c>
    </row>
    <row r="67" spans="1:11" x14ac:dyDescent="0.3">
      <c r="A67" s="3">
        <v>166</v>
      </c>
      <c r="B67" s="5" t="s">
        <v>84</v>
      </c>
      <c r="C67" s="3" t="s">
        <v>20</v>
      </c>
      <c r="D67" s="4">
        <v>24309.523809523798</v>
      </c>
      <c r="E67" s="3">
        <f t="shared" ref="E67:E92" si="8">D67*50%</f>
        <v>12154.761904761899</v>
      </c>
      <c r="F67" s="3">
        <f t="shared" ref="F67:F92" si="9">D67*20%</f>
        <v>4861.9047619047597</v>
      </c>
      <c r="G67" s="3">
        <f t="shared" ref="G67:G92" si="10">D67*10%</f>
        <v>2430.9523809523798</v>
      </c>
      <c r="H67" s="3">
        <f t="shared" ref="H67:H92" si="11">2500/12</f>
        <v>208.33333333333334</v>
      </c>
      <c r="I67" s="4">
        <f t="shared" ref="I67:I92" si="12">SUM(D67:F67)</f>
        <v>41326.190476190459</v>
      </c>
      <c r="J67" s="3">
        <f t="shared" ref="J67:J92" si="13">SUM(G67:H67)</f>
        <v>2639.2857142857133</v>
      </c>
      <c r="K67" s="4">
        <f t="shared" ref="K67:K92" si="14">I67-J67</f>
        <v>38686.904761904749</v>
      </c>
    </row>
    <row r="68" spans="1:11" x14ac:dyDescent="0.3">
      <c r="A68" s="3">
        <v>167</v>
      </c>
      <c r="B68" s="5" t="s">
        <v>85</v>
      </c>
      <c r="C68" s="3" t="s">
        <v>14</v>
      </c>
      <c r="D68" s="4">
        <v>24430.9523809524</v>
      </c>
      <c r="E68" s="3">
        <f t="shared" si="8"/>
        <v>12215.4761904762</v>
      </c>
      <c r="F68" s="3">
        <f t="shared" si="9"/>
        <v>4886.1904761904798</v>
      </c>
      <c r="G68" s="3">
        <f t="shared" si="10"/>
        <v>2443.0952380952399</v>
      </c>
      <c r="H68" s="3">
        <f t="shared" si="11"/>
        <v>208.33333333333334</v>
      </c>
      <c r="I68" s="4">
        <f t="shared" si="12"/>
        <v>41532.619047619082</v>
      </c>
      <c r="J68" s="3">
        <f t="shared" si="13"/>
        <v>2651.4285714285734</v>
      </c>
      <c r="K68" s="4">
        <f t="shared" si="14"/>
        <v>38881.19047619051</v>
      </c>
    </row>
    <row r="69" spans="1:11" x14ac:dyDescent="0.3">
      <c r="A69" s="3">
        <v>168</v>
      </c>
      <c r="B69" s="5" t="s">
        <v>86</v>
      </c>
      <c r="C69" s="3" t="s">
        <v>12</v>
      </c>
      <c r="D69" s="4">
        <v>24552.3809523809</v>
      </c>
      <c r="E69" s="3">
        <f t="shared" si="8"/>
        <v>12276.19047619045</v>
      </c>
      <c r="F69" s="3">
        <f t="shared" si="9"/>
        <v>4910.4761904761799</v>
      </c>
      <c r="G69" s="3">
        <f t="shared" si="10"/>
        <v>2455.23809523809</v>
      </c>
      <c r="H69" s="3">
        <f t="shared" si="11"/>
        <v>208.33333333333334</v>
      </c>
      <c r="I69" s="4">
        <f t="shared" si="12"/>
        <v>41739.047619047531</v>
      </c>
      <c r="J69" s="3">
        <f t="shared" si="13"/>
        <v>2663.5714285714234</v>
      </c>
      <c r="K69" s="4">
        <f t="shared" si="14"/>
        <v>39075.476190476111</v>
      </c>
    </row>
    <row r="70" spans="1:11" x14ac:dyDescent="0.3">
      <c r="A70" s="3">
        <v>169</v>
      </c>
      <c r="B70" s="5" t="s">
        <v>87</v>
      </c>
      <c r="C70" s="3" t="s">
        <v>18</v>
      </c>
      <c r="D70" s="4">
        <v>24673.809523809501</v>
      </c>
      <c r="E70" s="3">
        <f t="shared" si="8"/>
        <v>12336.904761904751</v>
      </c>
      <c r="F70" s="3">
        <f t="shared" si="9"/>
        <v>4934.761904761901</v>
      </c>
      <c r="G70" s="3">
        <f t="shared" si="10"/>
        <v>2467.3809523809505</v>
      </c>
      <c r="H70" s="3">
        <f t="shared" si="11"/>
        <v>208.33333333333334</v>
      </c>
      <c r="I70" s="4">
        <f t="shared" si="12"/>
        <v>41945.476190476154</v>
      </c>
      <c r="J70" s="3">
        <f t="shared" si="13"/>
        <v>2675.714285714284</v>
      </c>
      <c r="K70" s="4">
        <f t="shared" si="14"/>
        <v>39269.761904761872</v>
      </c>
    </row>
    <row r="71" spans="1:11" x14ac:dyDescent="0.3">
      <c r="A71" s="3">
        <v>170</v>
      </c>
      <c r="B71" s="5" t="s">
        <v>88</v>
      </c>
      <c r="C71" s="3" t="s">
        <v>16</v>
      </c>
      <c r="D71" s="4">
        <v>24795.238095238099</v>
      </c>
      <c r="E71" s="3">
        <f t="shared" si="8"/>
        <v>12397.61904761905</v>
      </c>
      <c r="F71" s="3">
        <f t="shared" si="9"/>
        <v>4959.0476190476202</v>
      </c>
      <c r="G71" s="3">
        <f t="shared" si="10"/>
        <v>2479.5238095238101</v>
      </c>
      <c r="H71" s="3">
        <f t="shared" si="11"/>
        <v>208.33333333333334</v>
      </c>
      <c r="I71" s="4">
        <f t="shared" si="12"/>
        <v>42151.904761904763</v>
      </c>
      <c r="J71" s="3">
        <f t="shared" si="13"/>
        <v>2687.8571428571436</v>
      </c>
      <c r="K71" s="4">
        <f t="shared" si="14"/>
        <v>39464.047619047618</v>
      </c>
    </row>
    <row r="72" spans="1:11" x14ac:dyDescent="0.3">
      <c r="A72" s="3">
        <v>171</v>
      </c>
      <c r="B72" s="5" t="s">
        <v>89</v>
      </c>
      <c r="C72" s="3" t="s">
        <v>12</v>
      </c>
      <c r="D72" s="4">
        <v>24916.666666666701</v>
      </c>
      <c r="E72" s="3">
        <f t="shared" si="8"/>
        <v>12458.33333333335</v>
      </c>
      <c r="F72" s="3">
        <f t="shared" si="9"/>
        <v>4983.3333333333403</v>
      </c>
      <c r="G72" s="3">
        <f t="shared" si="10"/>
        <v>2491.6666666666702</v>
      </c>
      <c r="H72" s="3">
        <f t="shared" si="11"/>
        <v>208.33333333333334</v>
      </c>
      <c r="I72" s="4">
        <f t="shared" si="12"/>
        <v>42358.333333333394</v>
      </c>
      <c r="J72" s="3">
        <f t="shared" si="13"/>
        <v>2700.0000000000036</v>
      </c>
      <c r="K72" s="4">
        <f t="shared" si="14"/>
        <v>39658.333333333387</v>
      </c>
    </row>
    <row r="73" spans="1:11" x14ac:dyDescent="0.3">
      <c r="A73" s="3">
        <v>172</v>
      </c>
      <c r="B73" s="5" t="s">
        <v>90</v>
      </c>
      <c r="C73" s="3" t="s">
        <v>14</v>
      </c>
      <c r="D73" s="4">
        <v>25038.0952380952</v>
      </c>
      <c r="E73" s="3">
        <f t="shared" si="8"/>
        <v>12519.0476190476</v>
      </c>
      <c r="F73" s="3">
        <f t="shared" si="9"/>
        <v>5007.6190476190404</v>
      </c>
      <c r="G73" s="3">
        <f t="shared" si="10"/>
        <v>2503.8095238095202</v>
      </c>
      <c r="H73" s="3">
        <f t="shared" si="11"/>
        <v>208.33333333333334</v>
      </c>
      <c r="I73" s="4">
        <f t="shared" si="12"/>
        <v>42564.761904761835</v>
      </c>
      <c r="J73" s="3">
        <f t="shared" si="13"/>
        <v>2712.1428571428537</v>
      </c>
      <c r="K73" s="4">
        <f t="shared" si="14"/>
        <v>39852.61904761898</v>
      </c>
    </row>
    <row r="74" spans="1:11" x14ac:dyDescent="0.3">
      <c r="A74" s="3">
        <v>173</v>
      </c>
      <c r="B74" s="5" t="s">
        <v>91</v>
      </c>
      <c r="C74" s="3" t="s">
        <v>20</v>
      </c>
      <c r="D74" s="4">
        <v>25159.523809523798</v>
      </c>
      <c r="E74" s="3">
        <f t="shared" si="8"/>
        <v>12579.761904761899</v>
      </c>
      <c r="F74" s="3">
        <f t="shared" si="9"/>
        <v>5031.9047619047597</v>
      </c>
      <c r="G74" s="3">
        <f t="shared" si="10"/>
        <v>2515.9523809523798</v>
      </c>
      <c r="H74" s="3">
        <f t="shared" si="11"/>
        <v>208.33333333333334</v>
      </c>
      <c r="I74" s="4">
        <f t="shared" si="12"/>
        <v>42771.190476190459</v>
      </c>
      <c r="J74" s="3">
        <f t="shared" si="13"/>
        <v>2724.2857142857133</v>
      </c>
      <c r="K74" s="4">
        <f t="shared" si="14"/>
        <v>40046.904761904749</v>
      </c>
    </row>
    <row r="75" spans="1:11" x14ac:dyDescent="0.3">
      <c r="A75" s="3">
        <v>174</v>
      </c>
      <c r="B75" s="5" t="s">
        <v>88</v>
      </c>
      <c r="C75" s="3" t="s">
        <v>18</v>
      </c>
      <c r="D75" s="4">
        <v>25280.9523809524</v>
      </c>
      <c r="E75" s="3">
        <f t="shared" si="8"/>
        <v>12640.4761904762</v>
      </c>
      <c r="F75" s="3">
        <f t="shared" si="9"/>
        <v>5056.1904761904807</v>
      </c>
      <c r="G75" s="3">
        <f t="shared" si="10"/>
        <v>2528.0952380952403</v>
      </c>
      <c r="H75" s="3">
        <f t="shared" si="11"/>
        <v>208.33333333333334</v>
      </c>
      <c r="I75" s="4">
        <f t="shared" si="12"/>
        <v>42977.619047619082</v>
      </c>
      <c r="J75" s="3">
        <f t="shared" si="13"/>
        <v>2736.4285714285738</v>
      </c>
      <c r="K75" s="4">
        <f t="shared" si="14"/>
        <v>40241.19047619051</v>
      </c>
    </row>
    <row r="76" spans="1:11" x14ac:dyDescent="0.3">
      <c r="A76" s="3">
        <v>175</v>
      </c>
      <c r="B76" s="5" t="s">
        <v>93</v>
      </c>
      <c r="C76" s="3" t="s">
        <v>16</v>
      </c>
      <c r="D76" s="4">
        <v>25402.3809523809</v>
      </c>
      <c r="E76" s="3">
        <f t="shared" si="8"/>
        <v>12701.19047619045</v>
      </c>
      <c r="F76" s="3">
        <f t="shared" si="9"/>
        <v>5080.4761904761799</v>
      </c>
      <c r="G76" s="3">
        <f t="shared" si="10"/>
        <v>2540.23809523809</v>
      </c>
      <c r="H76" s="3">
        <f t="shared" si="11"/>
        <v>208.33333333333334</v>
      </c>
      <c r="I76" s="4">
        <f t="shared" si="12"/>
        <v>43184.047619047531</v>
      </c>
      <c r="J76" s="3">
        <f t="shared" si="13"/>
        <v>2748.5714285714234</v>
      </c>
      <c r="K76" s="4">
        <f t="shared" si="14"/>
        <v>40435.476190476111</v>
      </c>
    </row>
    <row r="77" spans="1:11" x14ac:dyDescent="0.3">
      <c r="A77" s="3">
        <v>176</v>
      </c>
      <c r="B77" s="5" t="s">
        <v>94</v>
      </c>
      <c r="C77" s="3" t="s">
        <v>12</v>
      </c>
      <c r="D77" s="4">
        <v>25523.809523809501</v>
      </c>
      <c r="E77" s="3">
        <f t="shared" si="8"/>
        <v>12761.904761904751</v>
      </c>
      <c r="F77" s="3">
        <f t="shared" si="9"/>
        <v>5104.761904761901</v>
      </c>
      <c r="G77" s="3">
        <f t="shared" si="10"/>
        <v>2552.3809523809505</v>
      </c>
      <c r="H77" s="3">
        <f t="shared" si="11"/>
        <v>208.33333333333334</v>
      </c>
      <c r="I77" s="4">
        <f t="shared" si="12"/>
        <v>43390.476190476154</v>
      </c>
      <c r="J77" s="3">
        <f t="shared" si="13"/>
        <v>2760.714285714284</v>
      </c>
      <c r="K77" s="4">
        <f t="shared" si="14"/>
        <v>40629.761904761872</v>
      </c>
    </row>
    <row r="78" spans="1:11" x14ac:dyDescent="0.3">
      <c r="A78" s="3">
        <v>177</v>
      </c>
      <c r="B78" s="5" t="s">
        <v>95</v>
      </c>
      <c r="C78" s="3" t="s">
        <v>14</v>
      </c>
      <c r="D78" s="4">
        <v>25645.238095238099</v>
      </c>
      <c r="E78" s="3">
        <f t="shared" si="8"/>
        <v>12822.61904761905</v>
      </c>
      <c r="F78" s="3">
        <f t="shared" si="9"/>
        <v>5129.0476190476202</v>
      </c>
      <c r="G78" s="3">
        <f t="shared" si="10"/>
        <v>2564.5238095238101</v>
      </c>
      <c r="H78" s="3">
        <f t="shared" si="11"/>
        <v>208.33333333333334</v>
      </c>
      <c r="I78" s="4">
        <f t="shared" si="12"/>
        <v>43596.904761904763</v>
      </c>
      <c r="J78" s="3">
        <f t="shared" si="13"/>
        <v>2772.8571428571436</v>
      </c>
      <c r="K78" s="4">
        <f t="shared" si="14"/>
        <v>40824.047619047618</v>
      </c>
    </row>
    <row r="79" spans="1:11" x14ac:dyDescent="0.3">
      <c r="A79" s="3">
        <v>178</v>
      </c>
      <c r="B79" s="5" t="s">
        <v>96</v>
      </c>
      <c r="C79" s="3" t="s">
        <v>16</v>
      </c>
      <c r="D79" s="4">
        <v>25766.666666666701</v>
      </c>
      <c r="E79" s="3">
        <f t="shared" si="8"/>
        <v>12883.33333333335</v>
      </c>
      <c r="F79" s="3">
        <f t="shared" si="9"/>
        <v>5153.3333333333403</v>
      </c>
      <c r="G79" s="3">
        <f t="shared" si="10"/>
        <v>2576.6666666666702</v>
      </c>
      <c r="H79" s="3">
        <f t="shared" si="11"/>
        <v>208.33333333333334</v>
      </c>
      <c r="I79" s="4">
        <f t="shared" si="12"/>
        <v>43803.333333333394</v>
      </c>
      <c r="J79" s="3">
        <f t="shared" si="13"/>
        <v>2785.0000000000036</v>
      </c>
      <c r="K79" s="4">
        <f t="shared" si="14"/>
        <v>41018.333333333387</v>
      </c>
    </row>
    <row r="80" spans="1:11" x14ac:dyDescent="0.3">
      <c r="A80" s="3">
        <v>179</v>
      </c>
      <c r="B80" s="5" t="s">
        <v>97</v>
      </c>
      <c r="C80" s="3" t="s">
        <v>18</v>
      </c>
      <c r="D80" s="4">
        <v>25888.0952380952</v>
      </c>
      <c r="E80" s="3">
        <f t="shared" si="8"/>
        <v>12944.0476190476</v>
      </c>
      <c r="F80" s="3">
        <f t="shared" si="9"/>
        <v>5177.6190476190404</v>
      </c>
      <c r="G80" s="3">
        <f t="shared" si="10"/>
        <v>2588.8095238095202</v>
      </c>
      <c r="H80" s="3">
        <f t="shared" si="11"/>
        <v>208.33333333333334</v>
      </c>
      <c r="I80" s="4">
        <f t="shared" si="12"/>
        <v>44009.761904761835</v>
      </c>
      <c r="J80" s="3">
        <f t="shared" si="13"/>
        <v>2797.1428571428537</v>
      </c>
      <c r="K80" s="4">
        <f t="shared" si="14"/>
        <v>41212.61904761898</v>
      </c>
    </row>
    <row r="81" spans="1:11" x14ac:dyDescent="0.3">
      <c r="A81" s="3">
        <v>180</v>
      </c>
      <c r="B81" s="5" t="s">
        <v>98</v>
      </c>
      <c r="C81" s="3" t="s">
        <v>20</v>
      </c>
      <c r="D81" s="4">
        <v>26009.523809523798</v>
      </c>
      <c r="E81" s="3">
        <f t="shared" si="8"/>
        <v>13004.761904761899</v>
      </c>
      <c r="F81" s="3">
        <f t="shared" si="9"/>
        <v>5201.9047619047597</v>
      </c>
      <c r="G81" s="3">
        <f t="shared" si="10"/>
        <v>2600.9523809523798</v>
      </c>
      <c r="H81" s="3">
        <f t="shared" si="11"/>
        <v>208.33333333333334</v>
      </c>
      <c r="I81" s="4">
        <f t="shared" si="12"/>
        <v>44216.190476190459</v>
      </c>
      <c r="J81" s="3">
        <f t="shared" si="13"/>
        <v>2809.2857142857133</v>
      </c>
      <c r="K81" s="4">
        <f t="shared" si="14"/>
        <v>41406.904761904749</v>
      </c>
    </row>
    <row r="82" spans="1:11" x14ac:dyDescent="0.3">
      <c r="A82" s="3">
        <v>181</v>
      </c>
      <c r="B82" s="5" t="s">
        <v>99</v>
      </c>
      <c r="C82" s="3" t="s">
        <v>20</v>
      </c>
      <c r="D82" s="4">
        <v>26130.9523809524</v>
      </c>
      <c r="E82" s="3">
        <f t="shared" si="8"/>
        <v>13065.4761904762</v>
      </c>
      <c r="F82" s="3">
        <f t="shared" si="9"/>
        <v>5226.1904761904807</v>
      </c>
      <c r="G82" s="3">
        <f t="shared" si="10"/>
        <v>2613.0952380952403</v>
      </c>
      <c r="H82" s="3">
        <f t="shared" si="11"/>
        <v>208.33333333333334</v>
      </c>
      <c r="I82" s="4">
        <f t="shared" si="12"/>
        <v>44422.619047619082</v>
      </c>
      <c r="J82" s="3">
        <f t="shared" si="13"/>
        <v>2821.4285714285738</v>
      </c>
      <c r="K82" s="4">
        <f t="shared" si="14"/>
        <v>41601.19047619051</v>
      </c>
    </row>
    <row r="83" spans="1:11" x14ac:dyDescent="0.3">
      <c r="A83" s="3">
        <v>182</v>
      </c>
      <c r="B83" s="5" t="s">
        <v>104</v>
      </c>
      <c r="C83" s="3" t="s">
        <v>14</v>
      </c>
      <c r="D83" s="4">
        <v>26252.3809523809</v>
      </c>
      <c r="E83" s="3">
        <f t="shared" si="8"/>
        <v>13126.19047619045</v>
      </c>
      <c r="F83" s="3">
        <f t="shared" si="9"/>
        <v>5250.4761904761799</v>
      </c>
      <c r="G83" s="3">
        <f t="shared" si="10"/>
        <v>2625.23809523809</v>
      </c>
      <c r="H83" s="3">
        <f t="shared" si="11"/>
        <v>208.33333333333334</v>
      </c>
      <c r="I83" s="4">
        <f t="shared" si="12"/>
        <v>44629.047619047531</v>
      </c>
      <c r="J83" s="3">
        <f t="shared" si="13"/>
        <v>2833.5714285714234</v>
      </c>
      <c r="K83" s="4">
        <f t="shared" si="14"/>
        <v>41795.476190476111</v>
      </c>
    </row>
    <row r="84" spans="1:11" x14ac:dyDescent="0.3">
      <c r="A84" s="3">
        <v>183</v>
      </c>
      <c r="B84" s="5" t="s">
        <v>101</v>
      </c>
      <c r="C84" s="3" t="s">
        <v>12</v>
      </c>
      <c r="D84" s="4">
        <v>26373.809523809501</v>
      </c>
      <c r="E84" s="3">
        <f t="shared" si="8"/>
        <v>13186.904761904751</v>
      </c>
      <c r="F84" s="3">
        <f t="shared" si="9"/>
        <v>5274.761904761901</v>
      </c>
      <c r="G84" s="3">
        <f t="shared" si="10"/>
        <v>2637.3809523809505</v>
      </c>
      <c r="H84" s="3">
        <f t="shared" si="11"/>
        <v>208.33333333333334</v>
      </c>
      <c r="I84" s="4">
        <f t="shared" si="12"/>
        <v>44835.476190476154</v>
      </c>
      <c r="J84" s="3">
        <f t="shared" si="13"/>
        <v>2845.714285714284</v>
      </c>
      <c r="K84" s="4">
        <f t="shared" si="14"/>
        <v>41989.761904761872</v>
      </c>
    </row>
    <row r="85" spans="1:11" x14ac:dyDescent="0.3">
      <c r="A85" s="3">
        <v>184</v>
      </c>
      <c r="B85" s="5" t="s">
        <v>102</v>
      </c>
      <c r="C85" s="3" t="s">
        <v>18</v>
      </c>
      <c r="D85" s="4">
        <v>26495.238095238099</v>
      </c>
      <c r="E85" s="3">
        <f t="shared" si="8"/>
        <v>13247.61904761905</v>
      </c>
      <c r="F85" s="3">
        <f t="shared" si="9"/>
        <v>5299.0476190476202</v>
      </c>
      <c r="G85" s="3">
        <f t="shared" si="10"/>
        <v>2649.5238095238101</v>
      </c>
      <c r="H85" s="3">
        <f t="shared" si="11"/>
        <v>208.33333333333334</v>
      </c>
      <c r="I85" s="4">
        <f t="shared" si="12"/>
        <v>45041.904761904763</v>
      </c>
      <c r="J85" s="3">
        <f t="shared" si="13"/>
        <v>2857.8571428571436</v>
      </c>
      <c r="K85" s="4">
        <f t="shared" si="14"/>
        <v>42184.047619047618</v>
      </c>
    </row>
    <row r="86" spans="1:11" x14ac:dyDescent="0.3">
      <c r="A86" s="3">
        <v>185</v>
      </c>
      <c r="B86" s="5" t="s">
        <v>103</v>
      </c>
      <c r="C86" s="3" t="s">
        <v>16</v>
      </c>
      <c r="D86" s="4">
        <v>26616.666666666701</v>
      </c>
      <c r="E86" s="3">
        <f t="shared" si="8"/>
        <v>13308.33333333335</v>
      </c>
      <c r="F86" s="3">
        <f t="shared" si="9"/>
        <v>5323.3333333333403</v>
      </c>
      <c r="G86" s="3">
        <f t="shared" si="10"/>
        <v>2661.6666666666702</v>
      </c>
      <c r="H86" s="3">
        <f t="shared" si="11"/>
        <v>208.33333333333334</v>
      </c>
      <c r="I86" s="4">
        <f t="shared" si="12"/>
        <v>45248.333333333394</v>
      </c>
      <c r="J86" s="3">
        <f t="shared" si="13"/>
        <v>2870.0000000000036</v>
      </c>
      <c r="K86" s="4">
        <f t="shared" si="14"/>
        <v>42378.333333333387</v>
      </c>
    </row>
    <row r="87" spans="1:11" x14ac:dyDescent="0.3">
      <c r="A87" s="3">
        <v>186</v>
      </c>
      <c r="B87" s="5" t="s">
        <v>104</v>
      </c>
      <c r="C87" s="3" t="s">
        <v>12</v>
      </c>
      <c r="D87" s="4">
        <v>26738.095238095299</v>
      </c>
      <c r="E87" s="3">
        <f t="shared" si="8"/>
        <v>13369.047619047649</v>
      </c>
      <c r="F87" s="3">
        <f t="shared" si="9"/>
        <v>5347.6190476190604</v>
      </c>
      <c r="G87" s="3">
        <f t="shared" si="10"/>
        <v>2673.8095238095302</v>
      </c>
      <c r="H87" s="3">
        <f t="shared" si="11"/>
        <v>208.33333333333334</v>
      </c>
      <c r="I87" s="4">
        <f t="shared" si="12"/>
        <v>45454.76190476201</v>
      </c>
      <c r="J87" s="3">
        <f t="shared" si="13"/>
        <v>2882.1428571428637</v>
      </c>
      <c r="K87" s="4">
        <f t="shared" si="14"/>
        <v>42572.619047619148</v>
      </c>
    </row>
    <row r="88" spans="1:11" x14ac:dyDescent="0.3">
      <c r="A88" s="3">
        <v>187</v>
      </c>
      <c r="B88" s="5" t="s">
        <v>105</v>
      </c>
      <c r="C88" s="3" t="s">
        <v>14</v>
      </c>
      <c r="D88" s="4">
        <v>26859.523809523798</v>
      </c>
      <c r="E88" s="3">
        <f t="shared" si="8"/>
        <v>13429.761904761899</v>
      </c>
      <c r="F88" s="3">
        <f t="shared" si="9"/>
        <v>5371.9047619047597</v>
      </c>
      <c r="G88" s="3">
        <f t="shared" si="10"/>
        <v>2685.9523809523798</v>
      </c>
      <c r="H88" s="3">
        <f t="shared" si="11"/>
        <v>208.33333333333334</v>
      </c>
      <c r="I88" s="4">
        <f t="shared" si="12"/>
        <v>45661.190476190459</v>
      </c>
      <c r="J88" s="3">
        <f t="shared" si="13"/>
        <v>2894.2857142857133</v>
      </c>
      <c r="K88" s="4">
        <f t="shared" si="14"/>
        <v>42766.904761904749</v>
      </c>
    </row>
    <row r="89" spans="1:11" x14ac:dyDescent="0.3">
      <c r="A89" s="3">
        <v>188</v>
      </c>
      <c r="B89" s="5" t="s">
        <v>106</v>
      </c>
      <c r="C89" s="3" t="s">
        <v>20</v>
      </c>
      <c r="D89" s="4">
        <v>26980.9523809524</v>
      </c>
      <c r="E89" s="3">
        <f t="shared" si="8"/>
        <v>13490.4761904762</v>
      </c>
      <c r="F89" s="3">
        <f t="shared" si="9"/>
        <v>5396.1904761904807</v>
      </c>
      <c r="G89" s="3">
        <f t="shared" si="10"/>
        <v>2698.0952380952403</v>
      </c>
      <c r="H89" s="3">
        <f t="shared" si="11"/>
        <v>208.33333333333334</v>
      </c>
      <c r="I89" s="4">
        <f t="shared" si="12"/>
        <v>45867.619047619082</v>
      </c>
      <c r="J89" s="3">
        <f t="shared" si="13"/>
        <v>2906.4285714285738</v>
      </c>
      <c r="K89" s="4">
        <f t="shared" si="14"/>
        <v>42961.19047619051</v>
      </c>
    </row>
    <row r="90" spans="1:11" x14ac:dyDescent="0.3">
      <c r="A90" s="3">
        <v>189</v>
      </c>
      <c r="B90" t="s">
        <v>149</v>
      </c>
      <c r="C90" s="3" t="s">
        <v>18</v>
      </c>
      <c r="D90" s="4">
        <v>27102.380952381001</v>
      </c>
      <c r="E90" s="3">
        <f t="shared" si="8"/>
        <v>13551.190476190501</v>
      </c>
      <c r="F90" s="3">
        <f t="shared" si="9"/>
        <v>5420.4761904762008</v>
      </c>
      <c r="G90" s="3">
        <f t="shared" si="10"/>
        <v>2710.2380952381004</v>
      </c>
      <c r="H90" s="3">
        <f t="shared" si="11"/>
        <v>208.33333333333334</v>
      </c>
      <c r="I90" s="4">
        <f t="shared" si="12"/>
        <v>46074.047619047698</v>
      </c>
      <c r="J90" s="3">
        <f t="shared" si="13"/>
        <v>2918.5714285714339</v>
      </c>
      <c r="K90" s="4">
        <f t="shared" si="14"/>
        <v>43155.476190476264</v>
      </c>
    </row>
    <row r="91" spans="1:11" x14ac:dyDescent="0.3">
      <c r="A91" s="3">
        <v>190</v>
      </c>
      <c r="B91" t="s">
        <v>150</v>
      </c>
      <c r="C91" s="3" t="s">
        <v>16</v>
      </c>
      <c r="D91" s="4">
        <v>27223.809523809599</v>
      </c>
      <c r="E91" s="3">
        <f t="shared" si="8"/>
        <v>13611.9047619048</v>
      </c>
      <c r="F91" s="3">
        <f t="shared" si="9"/>
        <v>5444.7619047619201</v>
      </c>
      <c r="G91" s="3">
        <f t="shared" si="10"/>
        <v>2722.38095238096</v>
      </c>
      <c r="H91" s="3">
        <f t="shared" si="11"/>
        <v>208.33333333333334</v>
      </c>
      <c r="I91" s="4">
        <f t="shared" si="12"/>
        <v>46280.476190476322</v>
      </c>
      <c r="J91" s="3">
        <f t="shared" si="13"/>
        <v>2930.7142857142935</v>
      </c>
      <c r="K91" s="4">
        <f t="shared" si="14"/>
        <v>43349.761904762025</v>
      </c>
    </row>
    <row r="92" spans="1:11" x14ac:dyDescent="0.3">
      <c r="A92" s="3">
        <v>191</v>
      </c>
      <c r="B92" t="s">
        <v>79</v>
      </c>
      <c r="C92" s="3" t="s">
        <v>12</v>
      </c>
      <c r="D92" s="4">
        <v>27345.238095238099</v>
      </c>
      <c r="E92" s="3">
        <f t="shared" si="8"/>
        <v>13672.61904761905</v>
      </c>
      <c r="F92" s="3">
        <f t="shared" si="9"/>
        <v>5469.0476190476202</v>
      </c>
      <c r="G92" s="3">
        <f t="shared" si="10"/>
        <v>2734.5238095238101</v>
      </c>
      <c r="H92" s="3">
        <f t="shared" si="11"/>
        <v>208.33333333333334</v>
      </c>
      <c r="I92" s="4">
        <f t="shared" si="12"/>
        <v>46486.904761904763</v>
      </c>
      <c r="J92" s="3">
        <f t="shared" si="13"/>
        <v>2942.8571428571436</v>
      </c>
      <c r="K92" s="4">
        <f t="shared" si="14"/>
        <v>43544.047619047618</v>
      </c>
    </row>
    <row r="93" spans="1:11" x14ac:dyDescent="0.3">
      <c r="A93" s="3"/>
    </row>
    <row r="94" spans="1:11" x14ac:dyDescent="0.3">
      <c r="A94" s="3"/>
    </row>
    <row r="95" spans="1:11" x14ac:dyDescent="0.3">
      <c r="A95" s="3"/>
    </row>
    <row r="96" spans="1:1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6335-35B5-45A2-93C7-683094069A79}">
  <dimension ref="A1:R92"/>
  <sheetViews>
    <sheetView workbookViewId="0">
      <selection activeCell="B10" sqref="B10"/>
    </sheetView>
  </sheetViews>
  <sheetFormatPr defaultRowHeight="14.4" x14ac:dyDescent="0.3"/>
  <cols>
    <col min="2" max="2" width="18.44140625" customWidth="1"/>
    <col min="3" max="3" width="17.21875" customWidth="1"/>
    <col min="4" max="5" width="21" customWidth="1"/>
  </cols>
  <sheetData>
    <row r="1" spans="1:18" x14ac:dyDescent="0.3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8" x14ac:dyDescent="0.3">
      <c r="A2" s="3">
        <v>101</v>
      </c>
      <c r="B2" s="3" t="s">
        <v>94</v>
      </c>
      <c r="C2" s="3" t="str">
        <f>TRIM(B2)</f>
        <v>Champa Chameli</v>
      </c>
      <c r="D2" s="3" t="str">
        <f>PROPER(C2)</f>
        <v>Champa Chameli</v>
      </c>
      <c r="E2" s="3" t="str">
        <f>D2</f>
        <v>Champa Chameli</v>
      </c>
      <c r="F2" s="3" t="s">
        <v>12</v>
      </c>
      <c r="G2" s="4">
        <v>15000</v>
      </c>
      <c r="H2" s="3">
        <f>G2*50%</f>
        <v>7500</v>
      </c>
      <c r="I2" s="3">
        <f>G2*20%</f>
        <v>3000</v>
      </c>
      <c r="J2" s="3">
        <f>G2*10%</f>
        <v>1500</v>
      </c>
      <c r="K2" s="3">
        <f>2500/12</f>
        <v>208.33333333333334</v>
      </c>
      <c r="L2" s="4">
        <f>SUM(G2:I2)</f>
        <v>25500</v>
      </c>
      <c r="M2" s="3">
        <f>SUM(J2:K2)</f>
        <v>1708.3333333333333</v>
      </c>
      <c r="N2" s="4">
        <f>L2-M2</f>
        <v>23791.666666666668</v>
      </c>
    </row>
    <row r="3" spans="1:18" x14ac:dyDescent="0.3">
      <c r="A3" s="3">
        <v>102</v>
      </c>
      <c r="B3" s="3" t="s">
        <v>13</v>
      </c>
      <c r="C3" s="3" t="str">
        <f t="shared" ref="C3:C66" si="0">TRIM(B3)</f>
        <v>Minakshi Narke</v>
      </c>
      <c r="D3" s="3" t="str">
        <f t="shared" ref="D3:D66" si="1">PROPER(C3)</f>
        <v>Minakshi Narke</v>
      </c>
      <c r="E3" s="3" t="str">
        <f t="shared" ref="E3:E66" si="2">D3</f>
        <v>Minakshi Narke</v>
      </c>
      <c r="F3" s="3" t="s">
        <v>14</v>
      </c>
      <c r="G3" s="4">
        <v>18000</v>
      </c>
      <c r="H3" s="3">
        <f t="shared" ref="H3:H66" si="3">G3*50%</f>
        <v>9000</v>
      </c>
      <c r="I3" s="3">
        <f t="shared" ref="I3:I66" si="4">G3*20%</f>
        <v>3600</v>
      </c>
      <c r="J3" s="3">
        <f t="shared" ref="J3:J66" si="5">G3*10%</f>
        <v>1800</v>
      </c>
      <c r="K3" s="3">
        <f t="shared" ref="K3:K66" si="6">2500/12</f>
        <v>208.33333333333334</v>
      </c>
      <c r="L3" s="4">
        <f t="shared" ref="L3:L66" si="7">SUM(G3:I3)</f>
        <v>30600</v>
      </c>
      <c r="M3" s="3">
        <f t="shared" ref="M3:M66" si="8">SUM(J3:K3)</f>
        <v>2008.3333333333333</v>
      </c>
      <c r="N3" s="4">
        <f t="shared" ref="N3:N66" si="9">L3-M3</f>
        <v>28591.666666666668</v>
      </c>
    </row>
    <row r="4" spans="1:18" x14ac:dyDescent="0.3">
      <c r="A4" s="3">
        <v>103</v>
      </c>
      <c r="B4" s="3" t="s">
        <v>109</v>
      </c>
      <c r="C4" s="3" t="str">
        <f t="shared" si="0"/>
        <v>Swati more</v>
      </c>
      <c r="D4" s="3" t="str">
        <f t="shared" si="1"/>
        <v>Swati More</v>
      </c>
      <c r="E4" s="3" t="str">
        <f t="shared" si="2"/>
        <v>Swati More</v>
      </c>
      <c r="F4" s="3" t="s">
        <v>16</v>
      </c>
      <c r="G4" s="4">
        <v>16000</v>
      </c>
      <c r="H4" s="3">
        <f t="shared" si="3"/>
        <v>8000</v>
      </c>
      <c r="I4" s="3">
        <f t="shared" si="4"/>
        <v>3200</v>
      </c>
      <c r="J4" s="3">
        <f t="shared" si="5"/>
        <v>1600</v>
      </c>
      <c r="K4" s="3">
        <f t="shared" si="6"/>
        <v>208.33333333333334</v>
      </c>
      <c r="L4" s="4">
        <f t="shared" si="7"/>
        <v>27200</v>
      </c>
      <c r="M4" s="3">
        <f t="shared" si="8"/>
        <v>1808.3333333333333</v>
      </c>
      <c r="N4" s="4">
        <f t="shared" si="9"/>
        <v>25391.666666666668</v>
      </c>
      <c r="R4" t="str">
        <f>TRIM(B2)</f>
        <v>Champa Chameli</v>
      </c>
    </row>
    <row r="5" spans="1:18" x14ac:dyDescent="0.3">
      <c r="A5" s="3">
        <v>104</v>
      </c>
      <c r="B5" s="3" t="s">
        <v>107</v>
      </c>
      <c r="C5" s="3" t="str">
        <f t="shared" si="0"/>
        <v>sidhu Kamte</v>
      </c>
      <c r="D5" s="3" t="str">
        <f t="shared" si="1"/>
        <v>Sidhu Kamte</v>
      </c>
      <c r="E5" s="3" t="str">
        <f t="shared" si="2"/>
        <v>Sidhu Kamte</v>
      </c>
      <c r="F5" s="3" t="s">
        <v>18</v>
      </c>
      <c r="G5" s="4">
        <v>17000</v>
      </c>
      <c r="H5" s="3">
        <f t="shared" si="3"/>
        <v>8500</v>
      </c>
      <c r="I5" s="3">
        <f t="shared" si="4"/>
        <v>3400</v>
      </c>
      <c r="J5" s="3">
        <f t="shared" si="5"/>
        <v>1700</v>
      </c>
      <c r="K5" s="3">
        <f t="shared" si="6"/>
        <v>208.33333333333334</v>
      </c>
      <c r="L5" s="4">
        <f t="shared" si="7"/>
        <v>28900</v>
      </c>
      <c r="M5" s="3">
        <f t="shared" si="8"/>
        <v>1908.3333333333333</v>
      </c>
      <c r="N5" s="4">
        <f t="shared" si="9"/>
        <v>26991.666666666668</v>
      </c>
    </row>
    <row r="6" spans="1:18" x14ac:dyDescent="0.3">
      <c r="A6" s="3">
        <v>105</v>
      </c>
      <c r="B6" s="3" t="s">
        <v>19</v>
      </c>
      <c r="C6" s="3" t="str">
        <f t="shared" si="0"/>
        <v>Mayur Gore</v>
      </c>
      <c r="D6" s="3" t="str">
        <f t="shared" si="1"/>
        <v>Mayur Gore</v>
      </c>
      <c r="E6" s="3" t="str">
        <f t="shared" si="2"/>
        <v>Mayur Gore</v>
      </c>
      <c r="F6" s="3" t="s">
        <v>20</v>
      </c>
      <c r="G6" s="4">
        <v>20000</v>
      </c>
      <c r="H6" s="3">
        <f t="shared" si="3"/>
        <v>10000</v>
      </c>
      <c r="I6" s="3">
        <f t="shared" si="4"/>
        <v>4000</v>
      </c>
      <c r="J6" s="3">
        <f t="shared" si="5"/>
        <v>2000</v>
      </c>
      <c r="K6" s="3">
        <f t="shared" si="6"/>
        <v>208.33333333333334</v>
      </c>
      <c r="L6" s="4">
        <f t="shared" si="7"/>
        <v>34000</v>
      </c>
      <c r="M6" s="3">
        <f t="shared" si="8"/>
        <v>2208.3333333333335</v>
      </c>
      <c r="N6" s="4">
        <f t="shared" si="9"/>
        <v>31791.666666666668</v>
      </c>
    </row>
    <row r="7" spans="1:18" x14ac:dyDescent="0.3">
      <c r="A7" s="3">
        <v>106</v>
      </c>
      <c r="B7" s="3" t="s">
        <v>108</v>
      </c>
      <c r="C7" s="3" t="str">
        <f t="shared" si="0"/>
        <v>Hemal cholangi</v>
      </c>
      <c r="D7" s="3" t="str">
        <f t="shared" si="1"/>
        <v>Hemal Cholangi</v>
      </c>
      <c r="E7" s="3" t="str">
        <f t="shared" si="2"/>
        <v>Hemal Cholangi</v>
      </c>
      <c r="F7" s="3" t="s">
        <v>20</v>
      </c>
      <c r="G7" s="4">
        <v>21000</v>
      </c>
      <c r="H7" s="3">
        <f t="shared" si="3"/>
        <v>10500</v>
      </c>
      <c r="I7" s="3">
        <f t="shared" si="4"/>
        <v>4200</v>
      </c>
      <c r="J7" s="3">
        <f t="shared" si="5"/>
        <v>2100</v>
      </c>
      <c r="K7" s="3">
        <f t="shared" si="6"/>
        <v>208.33333333333334</v>
      </c>
      <c r="L7" s="4">
        <f t="shared" si="7"/>
        <v>35700</v>
      </c>
      <c r="M7" s="3">
        <f t="shared" si="8"/>
        <v>2308.3333333333335</v>
      </c>
      <c r="N7" s="4">
        <f>L7-M7</f>
        <v>33391.666666666664</v>
      </c>
    </row>
    <row r="8" spans="1:18" x14ac:dyDescent="0.3">
      <c r="A8" s="3">
        <v>107</v>
      </c>
      <c r="B8" s="3" t="s">
        <v>22</v>
      </c>
      <c r="C8" s="3" t="str">
        <f t="shared" si="0"/>
        <v>Aditya Birla</v>
      </c>
      <c r="D8" s="3" t="str">
        <f t="shared" si="1"/>
        <v>Aditya Birla</v>
      </c>
      <c r="E8" s="3" t="str">
        <f t="shared" si="2"/>
        <v>Aditya Birla</v>
      </c>
      <c r="F8" s="3" t="s">
        <v>14</v>
      </c>
      <c r="G8" s="4">
        <v>13000</v>
      </c>
      <c r="H8" s="3">
        <f t="shared" si="3"/>
        <v>6500</v>
      </c>
      <c r="I8" s="3">
        <f t="shared" si="4"/>
        <v>2600</v>
      </c>
      <c r="J8" s="3">
        <f t="shared" si="5"/>
        <v>1300</v>
      </c>
      <c r="K8" s="3">
        <f t="shared" si="6"/>
        <v>208.33333333333334</v>
      </c>
      <c r="L8" s="4">
        <f t="shared" si="7"/>
        <v>22100</v>
      </c>
      <c r="M8" s="3">
        <f t="shared" si="8"/>
        <v>1508.3333333333333</v>
      </c>
      <c r="N8" s="4">
        <f t="shared" si="9"/>
        <v>20591.666666666668</v>
      </c>
    </row>
    <row r="9" spans="1:18" x14ac:dyDescent="0.3">
      <c r="A9" s="3">
        <v>108</v>
      </c>
      <c r="B9" s="3" t="s">
        <v>118</v>
      </c>
      <c r="C9" s="3" t="str">
        <f t="shared" si="0"/>
        <v>Harsh Londhe</v>
      </c>
      <c r="D9" s="3" t="str">
        <f t="shared" si="1"/>
        <v>Harsh Londhe</v>
      </c>
      <c r="E9" s="3" t="str">
        <f t="shared" si="2"/>
        <v>Harsh Londhe</v>
      </c>
      <c r="F9" s="3" t="s">
        <v>12</v>
      </c>
      <c r="G9" s="4">
        <v>14000</v>
      </c>
      <c r="H9" s="3">
        <f t="shared" si="3"/>
        <v>7000</v>
      </c>
      <c r="I9" s="3"/>
      <c r="J9" s="3">
        <f t="shared" si="5"/>
        <v>1400</v>
      </c>
      <c r="K9" s="3">
        <f t="shared" si="6"/>
        <v>208.33333333333334</v>
      </c>
      <c r="L9" s="4">
        <f t="shared" si="7"/>
        <v>21000</v>
      </c>
      <c r="M9" s="3">
        <f t="shared" si="8"/>
        <v>1608.3333333333333</v>
      </c>
      <c r="N9" s="4">
        <f t="shared" si="9"/>
        <v>19391.666666666668</v>
      </c>
    </row>
    <row r="10" spans="1:18" x14ac:dyDescent="0.3">
      <c r="A10" s="3">
        <v>109</v>
      </c>
      <c r="B10" s="3" t="s">
        <v>124</v>
      </c>
      <c r="C10" s="3" t="str">
        <f t="shared" si="0"/>
        <v>N\A</v>
      </c>
      <c r="D10" s="3" t="str">
        <f t="shared" si="1"/>
        <v>N\A</v>
      </c>
      <c r="E10" s="3" t="str">
        <f t="shared" si="2"/>
        <v>N\A</v>
      </c>
      <c r="F10" s="3" t="s">
        <v>18</v>
      </c>
      <c r="G10" s="4">
        <v>17000</v>
      </c>
      <c r="H10" s="3">
        <f t="shared" si="3"/>
        <v>8500</v>
      </c>
      <c r="I10" s="3">
        <f t="shared" si="4"/>
        <v>3400</v>
      </c>
      <c r="J10" s="3">
        <f t="shared" si="5"/>
        <v>1700</v>
      </c>
      <c r="K10" s="3">
        <f t="shared" si="6"/>
        <v>208.33333333333334</v>
      </c>
      <c r="L10" s="4">
        <f t="shared" si="7"/>
        <v>28900</v>
      </c>
      <c r="M10" s="3">
        <f t="shared" si="8"/>
        <v>1908.3333333333333</v>
      </c>
      <c r="N10" s="4">
        <f t="shared" si="9"/>
        <v>26991.666666666668</v>
      </c>
    </row>
    <row r="11" spans="1:18" x14ac:dyDescent="0.3">
      <c r="A11" s="3">
        <v>110</v>
      </c>
      <c r="B11" s="3" t="s">
        <v>25</v>
      </c>
      <c r="C11" s="3" t="str">
        <f t="shared" si="0"/>
        <v>Aankush Lokhande</v>
      </c>
      <c r="D11" s="3" t="str">
        <f t="shared" si="1"/>
        <v>Aankush Lokhande</v>
      </c>
      <c r="E11" s="3" t="str">
        <f t="shared" si="2"/>
        <v>Aankush Lokhande</v>
      </c>
      <c r="F11" s="3" t="s">
        <v>16</v>
      </c>
      <c r="G11" s="4">
        <v>21000</v>
      </c>
      <c r="H11" s="3">
        <f t="shared" si="3"/>
        <v>10500</v>
      </c>
      <c r="I11" s="3">
        <f t="shared" si="4"/>
        <v>4200</v>
      </c>
      <c r="J11" s="3">
        <f t="shared" si="5"/>
        <v>2100</v>
      </c>
      <c r="K11" s="3">
        <f t="shared" si="6"/>
        <v>208.33333333333334</v>
      </c>
      <c r="L11" s="4">
        <f t="shared" si="7"/>
        <v>35700</v>
      </c>
      <c r="M11" s="3">
        <f t="shared" si="8"/>
        <v>2308.3333333333335</v>
      </c>
      <c r="N11" s="4">
        <f t="shared" si="9"/>
        <v>33391.666666666664</v>
      </c>
    </row>
    <row r="12" spans="1:18" x14ac:dyDescent="0.3">
      <c r="A12" s="3">
        <v>111</v>
      </c>
      <c r="B12" s="3" t="s">
        <v>26</v>
      </c>
      <c r="C12" s="3" t="str">
        <f t="shared" si="0"/>
        <v>Kishori Mehata</v>
      </c>
      <c r="D12" s="3" t="str">
        <f t="shared" si="1"/>
        <v>Kishori Mehata</v>
      </c>
      <c r="E12" s="3" t="str">
        <f t="shared" si="2"/>
        <v>Kishori Mehata</v>
      </c>
      <c r="F12" s="3" t="s">
        <v>12</v>
      </c>
      <c r="G12" s="4">
        <v>19000</v>
      </c>
      <c r="H12" s="3">
        <f t="shared" si="3"/>
        <v>9500</v>
      </c>
      <c r="I12" s="3">
        <f t="shared" si="4"/>
        <v>3800</v>
      </c>
      <c r="J12" s="3">
        <f t="shared" si="5"/>
        <v>1900</v>
      </c>
      <c r="K12" s="3">
        <f t="shared" si="6"/>
        <v>208.33333333333334</v>
      </c>
      <c r="L12" s="4">
        <f t="shared" si="7"/>
        <v>32300</v>
      </c>
      <c r="M12" s="3">
        <f t="shared" si="8"/>
        <v>2108.3333333333335</v>
      </c>
      <c r="N12" s="4">
        <f t="shared" si="9"/>
        <v>30191.666666666668</v>
      </c>
    </row>
    <row r="13" spans="1:18" x14ac:dyDescent="0.3">
      <c r="A13" s="3">
        <v>112</v>
      </c>
      <c r="B13" s="3" t="s">
        <v>27</v>
      </c>
      <c r="C13" s="3" t="str">
        <f t="shared" si="0"/>
        <v>Sonalika Bhide</v>
      </c>
      <c r="D13" s="3" t="str">
        <f t="shared" si="1"/>
        <v>Sonalika Bhide</v>
      </c>
      <c r="E13" s="3" t="str">
        <f t="shared" si="2"/>
        <v>Sonalika Bhide</v>
      </c>
      <c r="F13" s="3" t="s">
        <v>14</v>
      </c>
      <c r="G13" s="4">
        <v>12000</v>
      </c>
      <c r="H13" s="3">
        <f t="shared" si="3"/>
        <v>6000</v>
      </c>
      <c r="I13" s="3">
        <f t="shared" si="4"/>
        <v>2400</v>
      </c>
      <c r="J13" s="3">
        <f t="shared" si="5"/>
        <v>1200</v>
      </c>
      <c r="K13" s="3">
        <f t="shared" si="6"/>
        <v>208.33333333333334</v>
      </c>
      <c r="L13" s="4">
        <f t="shared" si="7"/>
        <v>20400</v>
      </c>
      <c r="M13" s="3">
        <f t="shared" si="8"/>
        <v>1408.3333333333333</v>
      </c>
      <c r="N13" s="4">
        <f t="shared" si="9"/>
        <v>18991.666666666668</v>
      </c>
    </row>
    <row r="14" spans="1:18" x14ac:dyDescent="0.3">
      <c r="A14" s="3">
        <v>113</v>
      </c>
      <c r="B14" s="3" t="s">
        <v>28</v>
      </c>
      <c r="C14" s="3" t="str">
        <f t="shared" si="0"/>
        <v>Roshan Sodhi</v>
      </c>
      <c r="D14" s="3" t="str">
        <f t="shared" si="1"/>
        <v>Roshan Sodhi</v>
      </c>
      <c r="E14" s="3" t="str">
        <f t="shared" si="2"/>
        <v>Roshan Sodhi</v>
      </c>
      <c r="F14" s="3" t="s">
        <v>20</v>
      </c>
      <c r="G14" s="4"/>
      <c r="H14" s="3">
        <f t="shared" si="3"/>
        <v>0</v>
      </c>
      <c r="I14" s="3">
        <f t="shared" si="4"/>
        <v>0</v>
      </c>
      <c r="J14" s="3">
        <f t="shared" si="5"/>
        <v>0</v>
      </c>
      <c r="K14" s="3">
        <f t="shared" si="6"/>
        <v>208.33333333333334</v>
      </c>
      <c r="L14" s="4">
        <f t="shared" si="7"/>
        <v>0</v>
      </c>
      <c r="M14" s="3">
        <f t="shared" si="8"/>
        <v>208.33333333333334</v>
      </c>
      <c r="N14" s="4">
        <f t="shared" si="9"/>
        <v>-208.33333333333334</v>
      </c>
    </row>
    <row r="15" spans="1:18" x14ac:dyDescent="0.3">
      <c r="A15" s="3">
        <v>114</v>
      </c>
      <c r="B15" s="3" t="s">
        <v>29</v>
      </c>
      <c r="C15" s="3" t="str">
        <f t="shared" si="0"/>
        <v>Rohini Markute</v>
      </c>
      <c r="D15" s="3" t="str">
        <f t="shared" si="1"/>
        <v>Rohini Markute</v>
      </c>
      <c r="E15" s="3" t="str">
        <f t="shared" si="2"/>
        <v>Rohini Markute</v>
      </c>
      <c r="F15" s="3" t="s">
        <v>18</v>
      </c>
      <c r="G15" s="4">
        <v>20000</v>
      </c>
      <c r="H15" s="3">
        <f t="shared" si="3"/>
        <v>10000</v>
      </c>
      <c r="I15" s="3">
        <f t="shared" si="4"/>
        <v>4000</v>
      </c>
      <c r="J15" s="3">
        <f t="shared" si="5"/>
        <v>2000</v>
      </c>
      <c r="K15" s="3">
        <f t="shared" si="6"/>
        <v>208.33333333333334</v>
      </c>
      <c r="L15" s="4">
        <f t="shared" si="7"/>
        <v>34000</v>
      </c>
      <c r="M15" s="3">
        <f t="shared" si="8"/>
        <v>2208.3333333333335</v>
      </c>
      <c r="N15" s="4">
        <f t="shared" si="9"/>
        <v>31791.666666666668</v>
      </c>
    </row>
    <row r="16" spans="1:18" x14ac:dyDescent="0.3">
      <c r="A16" s="3">
        <v>115</v>
      </c>
      <c r="B16" s="3" t="s">
        <v>30</v>
      </c>
      <c r="C16" s="3" t="str">
        <f t="shared" si="0"/>
        <v>Raja Verma</v>
      </c>
      <c r="D16" s="3" t="str">
        <f t="shared" si="1"/>
        <v>Raja Verma</v>
      </c>
      <c r="E16" s="3" t="str">
        <f t="shared" si="2"/>
        <v>Raja Verma</v>
      </c>
      <c r="F16" s="3" t="s">
        <v>16</v>
      </c>
      <c r="G16" s="4">
        <v>23000</v>
      </c>
      <c r="H16" s="3">
        <f t="shared" si="3"/>
        <v>11500</v>
      </c>
      <c r="I16" s="3">
        <f>G16*20%</f>
        <v>4600</v>
      </c>
      <c r="J16" s="3">
        <f t="shared" si="5"/>
        <v>2300</v>
      </c>
      <c r="K16" s="3">
        <f t="shared" si="6"/>
        <v>208.33333333333334</v>
      </c>
      <c r="L16" s="4">
        <f t="shared" si="7"/>
        <v>39100</v>
      </c>
      <c r="M16" s="3">
        <f t="shared" si="8"/>
        <v>2508.3333333333335</v>
      </c>
      <c r="N16" s="4">
        <f t="shared" si="9"/>
        <v>36591.666666666664</v>
      </c>
    </row>
    <row r="17" spans="1:14" x14ac:dyDescent="0.3">
      <c r="A17" s="3">
        <v>116</v>
      </c>
      <c r="B17" s="3" t="s">
        <v>108</v>
      </c>
      <c r="C17" s="3" t="str">
        <f t="shared" si="0"/>
        <v>Hemal cholangi</v>
      </c>
      <c r="D17" s="3" t="str">
        <f t="shared" si="1"/>
        <v>Hemal Cholangi</v>
      </c>
      <c r="E17" s="3" t="str">
        <f t="shared" si="2"/>
        <v>Hemal Cholangi</v>
      </c>
      <c r="F17" s="3" t="s">
        <v>12</v>
      </c>
      <c r="G17" s="4">
        <v>18238.0952380952</v>
      </c>
      <c r="H17" s="3">
        <f t="shared" si="3"/>
        <v>9119.0476190476002</v>
      </c>
      <c r="I17" s="3">
        <f t="shared" ref="I17" si="10">G17*20%</f>
        <v>3647.6190476190404</v>
      </c>
      <c r="J17" s="3">
        <f>G17*10%</f>
        <v>1823.8095238095202</v>
      </c>
      <c r="K17" s="3">
        <f t="shared" si="6"/>
        <v>208.33333333333334</v>
      </c>
      <c r="L17" s="4">
        <f t="shared" si="7"/>
        <v>31004.761904761843</v>
      </c>
      <c r="M17" s="3">
        <f t="shared" si="8"/>
        <v>2032.1428571428535</v>
      </c>
      <c r="N17" s="4">
        <f t="shared" si="9"/>
        <v>28972.619047618988</v>
      </c>
    </row>
    <row r="18" spans="1:14" x14ac:dyDescent="0.3">
      <c r="A18" s="3">
        <v>117</v>
      </c>
      <c r="B18" s="5" t="s">
        <v>32</v>
      </c>
      <c r="C18" s="3" t="str">
        <f t="shared" si="0"/>
        <v>Raju Edhe</v>
      </c>
      <c r="D18" s="3" t="str">
        <f t="shared" si="1"/>
        <v>Raju Edhe</v>
      </c>
      <c r="E18" s="3" t="str">
        <f t="shared" si="2"/>
        <v>Raju Edhe</v>
      </c>
      <c r="F18" s="3" t="s">
        <v>14</v>
      </c>
      <c r="G18" s="4">
        <v>18359.523809523798</v>
      </c>
      <c r="H18" s="3">
        <f t="shared" si="3"/>
        <v>9179.7619047618991</v>
      </c>
      <c r="I18" s="3">
        <f t="shared" si="4"/>
        <v>3671.9047619047597</v>
      </c>
      <c r="J18" s="3">
        <f t="shared" si="5"/>
        <v>1835.9523809523798</v>
      </c>
      <c r="K18" s="3">
        <f t="shared" si="6"/>
        <v>208.33333333333334</v>
      </c>
      <c r="L18" s="4">
        <f t="shared" si="7"/>
        <v>31211.190476190455</v>
      </c>
      <c r="M18" s="3">
        <f t="shared" si="8"/>
        <v>2044.2857142857131</v>
      </c>
      <c r="N18" s="4">
        <f t="shared" si="9"/>
        <v>29166.904761904741</v>
      </c>
    </row>
    <row r="19" spans="1:14" x14ac:dyDescent="0.3">
      <c r="A19" s="3">
        <v>118</v>
      </c>
      <c r="B19" s="5" t="s">
        <v>33</v>
      </c>
      <c r="C19" s="3" t="str">
        <f t="shared" si="0"/>
        <v>manurama</v>
      </c>
      <c r="D19" s="3" t="str">
        <f t="shared" si="1"/>
        <v>Manurama</v>
      </c>
      <c r="E19" s="3" t="str">
        <f t="shared" si="2"/>
        <v>Manurama</v>
      </c>
      <c r="F19" s="3" t="s">
        <v>16</v>
      </c>
      <c r="G19" s="4">
        <v>18480.9523809524</v>
      </c>
      <c r="H19" s="3">
        <f t="shared" si="3"/>
        <v>9240.4761904761999</v>
      </c>
      <c r="I19" s="3">
        <f t="shared" si="4"/>
        <v>3696.1904761904802</v>
      </c>
      <c r="J19" s="3">
        <f t="shared" si="5"/>
        <v>1848.0952380952401</v>
      </c>
      <c r="K19" s="3"/>
      <c r="L19" s="4">
        <f t="shared" si="7"/>
        <v>31417.619047619082</v>
      </c>
      <c r="M19" s="3">
        <f t="shared" si="8"/>
        <v>1848.0952380952401</v>
      </c>
      <c r="N19" s="4">
        <f t="shared" si="9"/>
        <v>29569.523809523842</v>
      </c>
    </row>
    <row r="20" spans="1:14" x14ac:dyDescent="0.3">
      <c r="A20" s="3">
        <v>119</v>
      </c>
      <c r="B20" s="5" t="s">
        <v>118</v>
      </c>
      <c r="C20" s="3" t="str">
        <f t="shared" si="0"/>
        <v>Harsh Londhe</v>
      </c>
      <c r="D20" s="3" t="str">
        <f t="shared" si="1"/>
        <v>Harsh Londhe</v>
      </c>
      <c r="E20" s="3" t="str">
        <f t="shared" si="2"/>
        <v>Harsh Londhe</v>
      </c>
      <c r="F20" s="3" t="s">
        <v>18</v>
      </c>
      <c r="G20" s="4">
        <v>18602.3809523809</v>
      </c>
      <c r="H20" s="3">
        <f t="shared" si="3"/>
        <v>9301.1904761904498</v>
      </c>
      <c r="I20" s="3">
        <f t="shared" si="4"/>
        <v>3720.4761904761799</v>
      </c>
      <c r="J20" s="3">
        <f t="shared" si="5"/>
        <v>1860.23809523809</v>
      </c>
      <c r="K20" s="3">
        <f t="shared" si="6"/>
        <v>208.33333333333334</v>
      </c>
      <c r="L20" s="4">
        <f t="shared" si="7"/>
        <v>31624.047619047527</v>
      </c>
      <c r="M20" s="3">
        <f t="shared" si="8"/>
        <v>2068.5714285714234</v>
      </c>
      <c r="N20" s="4">
        <f t="shared" si="9"/>
        <v>29555.476190476104</v>
      </c>
    </row>
    <row r="21" spans="1:14" x14ac:dyDescent="0.3">
      <c r="A21" s="3">
        <v>120</v>
      </c>
      <c r="B21" s="5" t="s">
        <v>35</v>
      </c>
      <c r="C21" s="3" t="str">
        <f t="shared" si="0"/>
        <v>Mina Kumari</v>
      </c>
      <c r="D21" s="3" t="str">
        <f t="shared" si="1"/>
        <v>Mina Kumari</v>
      </c>
      <c r="E21" s="3" t="str">
        <f t="shared" si="2"/>
        <v>Mina Kumari</v>
      </c>
      <c r="F21" s="3" t="s">
        <v>20</v>
      </c>
      <c r="G21" s="4">
        <v>18723.809523809501</v>
      </c>
      <c r="H21" s="3">
        <f t="shared" si="3"/>
        <v>9361.9047619047506</v>
      </c>
      <c r="I21" s="3">
        <f t="shared" si="4"/>
        <v>3744.7619047619005</v>
      </c>
      <c r="J21" s="3">
        <f t="shared" si="5"/>
        <v>1872.3809523809502</v>
      </c>
      <c r="K21" s="3">
        <f t="shared" si="6"/>
        <v>208.33333333333334</v>
      </c>
      <c r="L21" s="4">
        <f t="shared" si="7"/>
        <v>31830.476190476154</v>
      </c>
      <c r="M21" s="3">
        <f t="shared" si="8"/>
        <v>2080.7142857142835</v>
      </c>
      <c r="N21" s="4">
        <f t="shared" si="9"/>
        <v>29749.761904761872</v>
      </c>
    </row>
    <row r="22" spans="1:14" x14ac:dyDescent="0.3">
      <c r="A22" s="3">
        <v>121</v>
      </c>
      <c r="B22" s="5" t="s">
        <v>36</v>
      </c>
      <c r="C22" s="3" t="str">
        <f t="shared" si="0"/>
        <v>Sagar Kusalkar</v>
      </c>
      <c r="D22" s="3" t="str">
        <f t="shared" si="1"/>
        <v>Sagar Kusalkar</v>
      </c>
      <c r="E22" s="3" t="str">
        <f t="shared" si="2"/>
        <v>Sagar Kusalkar</v>
      </c>
      <c r="F22" s="3" t="s">
        <v>20</v>
      </c>
      <c r="G22" s="4">
        <v>18845.238095238099</v>
      </c>
      <c r="H22" s="3">
        <f t="shared" si="3"/>
        <v>9422.6190476190495</v>
      </c>
      <c r="I22" s="3">
        <f t="shared" si="4"/>
        <v>3769.0476190476202</v>
      </c>
      <c r="J22" s="3">
        <f t="shared" si="5"/>
        <v>1884.5238095238101</v>
      </c>
      <c r="K22" s="3">
        <f t="shared" si="6"/>
        <v>208.33333333333334</v>
      </c>
      <c r="L22" s="4">
        <f t="shared" si="7"/>
        <v>32036.904761904771</v>
      </c>
      <c r="M22" s="3">
        <f t="shared" si="8"/>
        <v>2092.8571428571436</v>
      </c>
      <c r="N22" s="4">
        <f t="shared" si="9"/>
        <v>29944.047619047626</v>
      </c>
    </row>
    <row r="23" spans="1:14" x14ac:dyDescent="0.3">
      <c r="A23" s="3">
        <v>122</v>
      </c>
      <c r="B23" s="5" t="s">
        <v>37</v>
      </c>
      <c r="C23" s="3" t="str">
        <f t="shared" si="0"/>
        <v>Santosh Kusalkar</v>
      </c>
      <c r="D23" s="3" t="str">
        <f t="shared" si="1"/>
        <v>Santosh Kusalkar</v>
      </c>
      <c r="E23" s="3" t="str">
        <f t="shared" si="2"/>
        <v>Santosh Kusalkar</v>
      </c>
      <c r="F23" s="3" t="s">
        <v>14</v>
      </c>
      <c r="G23" s="4">
        <v>18966.666666666701</v>
      </c>
      <c r="H23" s="3">
        <f t="shared" si="3"/>
        <v>9483.3333333333503</v>
      </c>
      <c r="I23" s="3">
        <f t="shared" si="4"/>
        <v>3793.3333333333403</v>
      </c>
      <c r="J23" s="3">
        <f t="shared" si="5"/>
        <v>1896.6666666666702</v>
      </c>
      <c r="K23" s="3">
        <f t="shared" si="6"/>
        <v>208.33333333333334</v>
      </c>
      <c r="L23" s="4">
        <f t="shared" si="7"/>
        <v>32243.33333333339</v>
      </c>
      <c r="M23" s="3">
        <f t="shared" si="8"/>
        <v>2105.0000000000036</v>
      </c>
      <c r="N23" s="4">
        <f t="shared" si="9"/>
        <v>30138.333333333387</v>
      </c>
    </row>
    <row r="24" spans="1:14" x14ac:dyDescent="0.3">
      <c r="A24" s="3">
        <v>123</v>
      </c>
      <c r="B24" s="5" t="s">
        <v>38</v>
      </c>
      <c r="C24" s="3" t="str">
        <f t="shared" si="0"/>
        <v>Aditya Bhode</v>
      </c>
      <c r="D24" s="3" t="str">
        <f t="shared" si="1"/>
        <v>Aditya Bhode</v>
      </c>
      <c r="E24" s="3" t="str">
        <f t="shared" si="2"/>
        <v>Aditya Bhode</v>
      </c>
      <c r="F24" s="3" t="s">
        <v>12</v>
      </c>
      <c r="G24" s="4">
        <v>19088.0952380952</v>
      </c>
      <c r="H24" s="3">
        <f t="shared" si="3"/>
        <v>9544.0476190476002</v>
      </c>
      <c r="I24" s="3">
        <f t="shared" si="4"/>
        <v>3817.6190476190404</v>
      </c>
      <c r="J24" s="3">
        <f t="shared" si="5"/>
        <v>1908.8095238095202</v>
      </c>
      <c r="K24" s="3">
        <f t="shared" si="6"/>
        <v>208.33333333333334</v>
      </c>
      <c r="L24" s="4">
        <f t="shared" si="7"/>
        <v>32449.761904761843</v>
      </c>
      <c r="M24" s="3">
        <f t="shared" si="8"/>
        <v>2117.1428571428537</v>
      </c>
      <c r="N24" s="4">
        <f t="shared" si="9"/>
        <v>30332.619047618988</v>
      </c>
    </row>
    <row r="25" spans="1:14" x14ac:dyDescent="0.3">
      <c r="A25" s="3">
        <v>124</v>
      </c>
      <c r="B25" s="5" t="s">
        <v>39</v>
      </c>
      <c r="C25" s="3" t="str">
        <f t="shared" si="0"/>
        <v>Sahil Doundkar</v>
      </c>
      <c r="D25" s="3" t="str">
        <f t="shared" si="1"/>
        <v>Sahil Doundkar</v>
      </c>
      <c r="E25" s="3" t="str">
        <f t="shared" si="2"/>
        <v>Sahil Doundkar</v>
      </c>
      <c r="F25" s="3" t="s">
        <v>18</v>
      </c>
      <c r="G25" s="4">
        <v>19209.523809523798</v>
      </c>
      <c r="H25" s="3">
        <f t="shared" si="3"/>
        <v>9604.7619047618991</v>
      </c>
      <c r="I25" s="3">
        <f t="shared" si="4"/>
        <v>3841.9047619047597</v>
      </c>
      <c r="J25" s="3">
        <f t="shared" si="5"/>
        <v>1920.9523809523798</v>
      </c>
      <c r="K25" s="3">
        <f t="shared" si="6"/>
        <v>208.33333333333334</v>
      </c>
      <c r="L25" s="4">
        <f t="shared" si="7"/>
        <v>32656.190476190455</v>
      </c>
      <c r="M25" s="3">
        <f t="shared" si="8"/>
        <v>2129.2857142857133</v>
      </c>
      <c r="N25" s="4">
        <f t="shared" si="9"/>
        <v>30526.904761904741</v>
      </c>
    </row>
    <row r="26" spans="1:14" x14ac:dyDescent="0.3">
      <c r="A26" s="3">
        <v>125</v>
      </c>
      <c r="B26" s="5" t="s">
        <v>40</v>
      </c>
      <c r="C26" s="3" t="str">
        <f t="shared" si="0"/>
        <v>Ajay Rathod</v>
      </c>
      <c r="D26" s="3" t="str">
        <f t="shared" si="1"/>
        <v>Ajay Rathod</v>
      </c>
      <c r="E26" s="3" t="str">
        <f t="shared" si="2"/>
        <v>Ajay Rathod</v>
      </c>
      <c r="F26" s="3" t="s">
        <v>16</v>
      </c>
      <c r="G26" s="4">
        <v>19330.9523809524</v>
      </c>
      <c r="H26" s="3">
        <f t="shared" si="3"/>
        <v>9665.4761904761999</v>
      </c>
      <c r="I26" s="3">
        <f t="shared" si="4"/>
        <v>3866.1904761904802</v>
      </c>
      <c r="J26" s="3">
        <f t="shared" si="5"/>
        <v>1933.0952380952401</v>
      </c>
      <c r="K26" s="3">
        <f t="shared" si="6"/>
        <v>208.33333333333334</v>
      </c>
      <c r="L26" s="4">
        <f t="shared" si="7"/>
        <v>32862.619047619082</v>
      </c>
      <c r="M26" s="3">
        <f t="shared" si="8"/>
        <v>2141.4285714285734</v>
      </c>
      <c r="N26" s="4">
        <f t="shared" si="9"/>
        <v>30721.19047619051</v>
      </c>
    </row>
    <row r="27" spans="1:14" x14ac:dyDescent="0.3">
      <c r="A27" s="3">
        <v>126</v>
      </c>
      <c r="B27" s="5" t="s">
        <v>41</v>
      </c>
      <c r="C27" s="3" t="str">
        <f t="shared" si="0"/>
        <v>Vaishnavi Alandkar</v>
      </c>
      <c r="D27" s="3" t="str">
        <f t="shared" si="1"/>
        <v>Vaishnavi Alandkar</v>
      </c>
      <c r="E27" s="3" t="str">
        <f t="shared" si="2"/>
        <v>Vaishnavi Alandkar</v>
      </c>
      <c r="F27" s="3" t="s">
        <v>12</v>
      </c>
      <c r="G27" s="4">
        <v>19452.3809523809</v>
      </c>
      <c r="H27" s="3">
        <f t="shared" si="3"/>
        <v>9726.1904761904498</v>
      </c>
      <c r="I27" s="3">
        <f t="shared" si="4"/>
        <v>3890.4761904761799</v>
      </c>
      <c r="J27" s="3">
        <f t="shared" si="5"/>
        <v>1945.23809523809</v>
      </c>
      <c r="K27" s="3">
        <f t="shared" si="6"/>
        <v>208.33333333333334</v>
      </c>
      <c r="L27" s="4">
        <f t="shared" si="7"/>
        <v>33069.047619047531</v>
      </c>
      <c r="M27" s="3">
        <f t="shared" si="8"/>
        <v>2153.5714285714234</v>
      </c>
      <c r="N27" s="4">
        <f t="shared" si="9"/>
        <v>30915.476190476107</v>
      </c>
    </row>
    <row r="28" spans="1:14" x14ac:dyDescent="0.3">
      <c r="A28" s="3">
        <v>127</v>
      </c>
      <c r="B28" s="5" t="s">
        <v>42</v>
      </c>
      <c r="C28" s="3" t="str">
        <f t="shared" si="0"/>
        <v>Manish Verma</v>
      </c>
      <c r="D28" s="3" t="str">
        <f t="shared" si="1"/>
        <v>Manish Verma</v>
      </c>
      <c r="E28" s="3" t="str">
        <f t="shared" si="2"/>
        <v>Manish Verma</v>
      </c>
      <c r="F28" s="3" t="s">
        <v>14</v>
      </c>
      <c r="G28" s="4">
        <v>19573.809523809501</v>
      </c>
      <c r="H28" s="3">
        <f t="shared" si="3"/>
        <v>9786.9047619047506</v>
      </c>
      <c r="I28" s="3">
        <f t="shared" si="4"/>
        <v>3914.7619047619005</v>
      </c>
      <c r="J28" s="3">
        <f t="shared" si="5"/>
        <v>1957.3809523809502</v>
      </c>
      <c r="K28" s="3">
        <f t="shared" si="6"/>
        <v>208.33333333333334</v>
      </c>
      <c r="L28" s="4">
        <f t="shared" si="7"/>
        <v>33275.476190476154</v>
      </c>
      <c r="M28" s="3">
        <f t="shared" si="8"/>
        <v>2165.7142857142835</v>
      </c>
      <c r="N28" s="4">
        <f t="shared" si="9"/>
        <v>31109.761904761872</v>
      </c>
    </row>
    <row r="29" spans="1:14" x14ac:dyDescent="0.3">
      <c r="A29" s="3">
        <v>128</v>
      </c>
      <c r="B29" s="5" t="s">
        <v>43</v>
      </c>
      <c r="C29" s="3" t="str">
        <f t="shared" si="0"/>
        <v>Jyoti Verma</v>
      </c>
      <c r="D29" s="3" t="str">
        <f t="shared" si="1"/>
        <v>Jyoti Verma</v>
      </c>
      <c r="E29" s="3" t="str">
        <f t="shared" si="2"/>
        <v>Jyoti Verma</v>
      </c>
      <c r="F29" s="3" t="s">
        <v>20</v>
      </c>
      <c r="G29" s="4">
        <v>19695.238095238099</v>
      </c>
      <c r="H29" s="3">
        <f t="shared" si="3"/>
        <v>9847.6190476190495</v>
      </c>
      <c r="I29" s="3">
        <f t="shared" si="4"/>
        <v>3939.0476190476202</v>
      </c>
      <c r="J29" s="3">
        <f t="shared" si="5"/>
        <v>1969.5238095238101</v>
      </c>
      <c r="K29" s="3">
        <f t="shared" si="6"/>
        <v>208.33333333333334</v>
      </c>
      <c r="L29" s="4">
        <f t="shared" si="7"/>
        <v>33481.904761904771</v>
      </c>
      <c r="M29" s="3">
        <f t="shared" si="8"/>
        <v>2177.8571428571436</v>
      </c>
      <c r="N29" s="4">
        <f t="shared" si="9"/>
        <v>31304.047619047626</v>
      </c>
    </row>
    <row r="30" spans="1:14" x14ac:dyDescent="0.3">
      <c r="A30" s="3">
        <v>129</v>
      </c>
      <c r="B30" s="5" t="s">
        <v>44</v>
      </c>
      <c r="C30" s="3" t="str">
        <f t="shared" si="0"/>
        <v>Dimpal kapadya</v>
      </c>
      <c r="D30" s="3" t="str">
        <f t="shared" si="1"/>
        <v>Dimpal Kapadya</v>
      </c>
      <c r="E30" s="3" t="str">
        <f t="shared" si="2"/>
        <v>Dimpal Kapadya</v>
      </c>
      <c r="F30" s="3" t="s">
        <v>18</v>
      </c>
      <c r="G30" s="4">
        <v>19816.666666666701</v>
      </c>
      <c r="H30" s="3">
        <f t="shared" si="3"/>
        <v>9908.3333333333503</v>
      </c>
      <c r="I30" s="3">
        <f t="shared" si="4"/>
        <v>3963.3333333333403</v>
      </c>
      <c r="J30" s="3">
        <f t="shared" si="5"/>
        <v>1981.6666666666702</v>
      </c>
      <c r="K30" s="3">
        <f t="shared" si="6"/>
        <v>208.33333333333334</v>
      </c>
      <c r="L30" s="4">
        <f t="shared" si="7"/>
        <v>33688.333333333394</v>
      </c>
      <c r="M30" s="3">
        <f t="shared" si="8"/>
        <v>2190.0000000000036</v>
      </c>
      <c r="N30" s="4">
        <f t="shared" si="9"/>
        <v>31498.33333333339</v>
      </c>
    </row>
    <row r="31" spans="1:14" x14ac:dyDescent="0.3">
      <c r="A31" s="3">
        <v>130</v>
      </c>
      <c r="B31" s="5" t="s">
        <v>45</v>
      </c>
      <c r="C31" s="3" t="str">
        <f t="shared" si="0"/>
        <v>Shorya Pingle</v>
      </c>
      <c r="D31" s="3" t="str">
        <f t="shared" si="1"/>
        <v>Shorya Pingle</v>
      </c>
      <c r="E31" s="3" t="str">
        <f t="shared" si="2"/>
        <v>Shorya Pingle</v>
      </c>
      <c r="F31" s="3" t="s">
        <v>16</v>
      </c>
      <c r="G31" s="4">
        <v>19938.0952380952</v>
      </c>
      <c r="H31" s="3">
        <f t="shared" si="3"/>
        <v>9969.0476190476002</v>
      </c>
      <c r="I31" s="3">
        <f t="shared" si="4"/>
        <v>3987.6190476190404</v>
      </c>
      <c r="J31" s="3">
        <f t="shared" si="5"/>
        <v>1993.8095238095202</v>
      </c>
      <c r="K31" s="3">
        <f t="shared" si="6"/>
        <v>208.33333333333334</v>
      </c>
      <c r="L31" s="4">
        <f t="shared" si="7"/>
        <v>33894.761904761843</v>
      </c>
      <c r="M31" s="3">
        <f t="shared" si="8"/>
        <v>2202.1428571428537</v>
      </c>
      <c r="N31" s="4">
        <f t="shared" si="9"/>
        <v>31692.619047618988</v>
      </c>
    </row>
    <row r="32" spans="1:14" x14ac:dyDescent="0.3">
      <c r="A32" s="3">
        <v>131</v>
      </c>
      <c r="B32" s="5" t="s">
        <v>46</v>
      </c>
      <c r="C32" s="3" t="str">
        <f t="shared" si="0"/>
        <v>Vanita Dhole</v>
      </c>
      <c r="D32" s="3" t="str">
        <f t="shared" si="1"/>
        <v>Vanita Dhole</v>
      </c>
      <c r="E32" s="3" t="str">
        <f t="shared" si="2"/>
        <v>Vanita Dhole</v>
      </c>
      <c r="F32" s="3" t="s">
        <v>12</v>
      </c>
      <c r="G32" s="4">
        <v>20059.523809523798</v>
      </c>
      <c r="H32" s="3">
        <f t="shared" si="3"/>
        <v>10029.761904761899</v>
      </c>
      <c r="I32" s="3">
        <f t="shared" si="4"/>
        <v>4011.9047619047597</v>
      </c>
      <c r="J32" s="3">
        <f t="shared" si="5"/>
        <v>2005.9523809523798</v>
      </c>
      <c r="K32" s="3">
        <f t="shared" si="6"/>
        <v>208.33333333333334</v>
      </c>
      <c r="L32" s="4">
        <f t="shared" si="7"/>
        <v>34101.190476190459</v>
      </c>
      <c r="M32" s="3">
        <f t="shared" si="8"/>
        <v>2214.2857142857133</v>
      </c>
      <c r="N32" s="4">
        <f t="shared" si="9"/>
        <v>31886.904761904745</v>
      </c>
    </row>
    <row r="33" spans="1:14" x14ac:dyDescent="0.3">
      <c r="A33" s="3">
        <v>132</v>
      </c>
      <c r="B33" s="5" t="s">
        <v>47</v>
      </c>
      <c r="C33" s="3" t="str">
        <f t="shared" si="0"/>
        <v>Aradhya ghode</v>
      </c>
      <c r="D33" s="3" t="str">
        <f t="shared" si="1"/>
        <v>Aradhya Ghode</v>
      </c>
      <c r="E33" s="3" t="str">
        <f t="shared" si="2"/>
        <v>Aradhya Ghode</v>
      </c>
      <c r="F33" s="3" t="s">
        <v>14</v>
      </c>
      <c r="G33" s="4">
        <v>20180.9523809524</v>
      </c>
      <c r="H33" s="3">
        <f t="shared" si="3"/>
        <v>10090.4761904762</v>
      </c>
      <c r="I33" s="3">
        <f t="shared" si="4"/>
        <v>4036.1904761904802</v>
      </c>
      <c r="J33" s="3">
        <f t="shared" si="5"/>
        <v>2018.0952380952401</v>
      </c>
      <c r="K33" s="3">
        <f t="shared" si="6"/>
        <v>208.33333333333334</v>
      </c>
      <c r="L33" s="4">
        <f t="shared" si="7"/>
        <v>34307.619047619082</v>
      </c>
      <c r="M33" s="3">
        <f t="shared" si="8"/>
        <v>2226.4285714285734</v>
      </c>
      <c r="N33" s="4">
        <f t="shared" si="9"/>
        <v>32081.19047619051</v>
      </c>
    </row>
    <row r="34" spans="1:14" x14ac:dyDescent="0.3">
      <c r="A34" s="3">
        <v>133</v>
      </c>
      <c r="B34" s="5" t="s">
        <v>48</v>
      </c>
      <c r="C34" s="3" t="str">
        <f t="shared" si="0"/>
        <v>maneesh Navle</v>
      </c>
      <c r="D34" s="3" t="str">
        <f t="shared" si="1"/>
        <v>Maneesh Navle</v>
      </c>
      <c r="E34" s="3" t="str">
        <f t="shared" si="2"/>
        <v>Maneesh Navle</v>
      </c>
      <c r="F34" s="3" t="s">
        <v>16</v>
      </c>
      <c r="G34" s="4">
        <v>20302.3809523809</v>
      </c>
      <c r="H34" s="3">
        <f t="shared" si="3"/>
        <v>10151.19047619045</v>
      </c>
      <c r="I34" s="3">
        <f t="shared" si="4"/>
        <v>4060.4761904761799</v>
      </c>
      <c r="J34" s="3">
        <f t="shared" si="5"/>
        <v>2030.23809523809</v>
      </c>
      <c r="K34" s="3">
        <f t="shared" si="6"/>
        <v>208.33333333333334</v>
      </c>
      <c r="L34" s="4">
        <f t="shared" si="7"/>
        <v>34514.047619047531</v>
      </c>
      <c r="M34" s="3">
        <f t="shared" si="8"/>
        <v>2238.5714285714234</v>
      </c>
      <c r="N34" s="4">
        <f t="shared" si="9"/>
        <v>32275.476190476107</v>
      </c>
    </row>
    <row r="35" spans="1:14" x14ac:dyDescent="0.3">
      <c r="A35" s="3">
        <v>134</v>
      </c>
      <c r="B35" s="5" t="s">
        <v>49</v>
      </c>
      <c r="C35" s="3" t="str">
        <f t="shared" si="0"/>
        <v>Vina Kusum</v>
      </c>
      <c r="D35" s="3" t="str">
        <f t="shared" si="1"/>
        <v>Vina Kusum</v>
      </c>
      <c r="E35" s="3" t="str">
        <f t="shared" si="2"/>
        <v>Vina Kusum</v>
      </c>
      <c r="F35" s="3" t="s">
        <v>18</v>
      </c>
      <c r="G35" s="4">
        <v>20423.809523809501</v>
      </c>
      <c r="H35" s="3">
        <f t="shared" si="3"/>
        <v>10211.904761904751</v>
      </c>
      <c r="I35" s="3">
        <f t="shared" si="4"/>
        <v>4084.7619047619005</v>
      </c>
      <c r="J35" s="3">
        <f t="shared" si="5"/>
        <v>2042.3809523809502</v>
      </c>
      <c r="K35" s="3">
        <f t="shared" si="6"/>
        <v>208.33333333333334</v>
      </c>
      <c r="L35" s="4">
        <f t="shared" si="7"/>
        <v>34720.476190476154</v>
      </c>
      <c r="M35" s="3">
        <f t="shared" si="8"/>
        <v>2250.7142857142835</v>
      </c>
      <c r="N35" s="4">
        <f t="shared" si="9"/>
        <v>32469.761904761872</v>
      </c>
    </row>
    <row r="36" spans="1:14" x14ac:dyDescent="0.3">
      <c r="A36" s="3">
        <v>135</v>
      </c>
      <c r="B36" s="5" t="s">
        <v>50</v>
      </c>
      <c r="C36" s="3" t="str">
        <f t="shared" si="0"/>
        <v>Raghini Patil</v>
      </c>
      <c r="D36" s="3" t="str">
        <f t="shared" si="1"/>
        <v>Raghini Patil</v>
      </c>
      <c r="E36" s="3" t="str">
        <f t="shared" si="2"/>
        <v>Raghini Patil</v>
      </c>
      <c r="F36" s="3" t="s">
        <v>20</v>
      </c>
      <c r="G36" s="4">
        <v>20545.238095238099</v>
      </c>
      <c r="H36" s="3">
        <f t="shared" si="3"/>
        <v>10272.61904761905</v>
      </c>
      <c r="I36" s="3">
        <f t="shared" si="4"/>
        <v>4109.0476190476202</v>
      </c>
      <c r="J36" s="3">
        <f t="shared" si="5"/>
        <v>2054.5238095238101</v>
      </c>
      <c r="K36" s="3">
        <f t="shared" si="6"/>
        <v>208.33333333333334</v>
      </c>
      <c r="L36" s="4">
        <f t="shared" si="7"/>
        <v>34926.904761904771</v>
      </c>
      <c r="M36" s="3">
        <f t="shared" si="8"/>
        <v>2262.8571428571436</v>
      </c>
      <c r="N36" s="4">
        <f t="shared" si="9"/>
        <v>32664.047619047626</v>
      </c>
    </row>
    <row r="37" spans="1:14" x14ac:dyDescent="0.3">
      <c r="A37" s="3">
        <v>136</v>
      </c>
      <c r="B37" s="5" t="s">
        <v>51</v>
      </c>
      <c r="C37" s="3" t="str">
        <f t="shared" si="0"/>
        <v>aishwarya Pagare</v>
      </c>
      <c r="D37" s="3" t="str">
        <f t="shared" si="1"/>
        <v>Aishwarya Pagare</v>
      </c>
      <c r="E37" s="3" t="str">
        <f t="shared" si="2"/>
        <v>Aishwarya Pagare</v>
      </c>
      <c r="F37" s="3" t="s">
        <v>20</v>
      </c>
      <c r="G37" s="4">
        <v>20666.666666666701</v>
      </c>
      <c r="H37" s="3">
        <f t="shared" si="3"/>
        <v>10333.33333333335</v>
      </c>
      <c r="I37" s="3">
        <f t="shared" si="4"/>
        <v>4133.3333333333403</v>
      </c>
      <c r="J37" s="3">
        <f t="shared" si="5"/>
        <v>2066.6666666666702</v>
      </c>
      <c r="K37" s="3">
        <f t="shared" si="6"/>
        <v>208.33333333333334</v>
      </c>
      <c r="L37" s="4">
        <f t="shared" si="7"/>
        <v>35133.333333333394</v>
      </c>
      <c r="M37" s="3">
        <f t="shared" si="8"/>
        <v>2275.0000000000036</v>
      </c>
      <c r="N37" s="4">
        <f t="shared" si="9"/>
        <v>32858.333333333387</v>
      </c>
    </row>
    <row r="38" spans="1:14" x14ac:dyDescent="0.3">
      <c r="A38" s="3">
        <v>137</v>
      </c>
      <c r="B38" s="5" t="s">
        <v>52</v>
      </c>
      <c r="C38" s="3" t="str">
        <f t="shared" si="0"/>
        <v>Mohan Kusmude</v>
      </c>
      <c r="D38" s="3" t="str">
        <f t="shared" si="1"/>
        <v>Mohan Kusmude</v>
      </c>
      <c r="E38" s="3" t="str">
        <f t="shared" si="2"/>
        <v>Mohan Kusmude</v>
      </c>
      <c r="F38" s="3" t="s">
        <v>14</v>
      </c>
      <c r="G38" s="4">
        <v>20788.0952380952</v>
      </c>
      <c r="H38" s="3">
        <f t="shared" si="3"/>
        <v>10394.0476190476</v>
      </c>
      <c r="I38" s="3">
        <f t="shared" si="4"/>
        <v>4157.6190476190404</v>
      </c>
      <c r="J38" s="3">
        <f t="shared" si="5"/>
        <v>2078.8095238095202</v>
      </c>
      <c r="K38" s="3">
        <f t="shared" si="6"/>
        <v>208.33333333333334</v>
      </c>
      <c r="L38" s="4">
        <f t="shared" si="7"/>
        <v>35339.761904761843</v>
      </c>
      <c r="M38" s="3">
        <f t="shared" si="8"/>
        <v>2287.1428571428537</v>
      </c>
      <c r="N38" s="4">
        <f t="shared" si="9"/>
        <v>33052.619047618988</v>
      </c>
    </row>
    <row r="39" spans="1:14" x14ac:dyDescent="0.3">
      <c r="A39" s="3">
        <v>138</v>
      </c>
      <c r="B39" s="5" t="s">
        <v>53</v>
      </c>
      <c r="C39" s="3" t="str">
        <f t="shared" si="0"/>
        <v>Ram amale</v>
      </c>
      <c r="D39" s="3" t="str">
        <f t="shared" si="1"/>
        <v>Ram Amale</v>
      </c>
      <c r="E39" s="3" t="str">
        <f t="shared" si="2"/>
        <v>Ram Amale</v>
      </c>
      <c r="F39" s="3" t="s">
        <v>12</v>
      </c>
      <c r="G39" s="4">
        <v>20909.523809523798</v>
      </c>
      <c r="H39" s="3">
        <f t="shared" si="3"/>
        <v>10454.761904761899</v>
      </c>
      <c r="I39" s="3">
        <f t="shared" si="4"/>
        <v>4181.9047619047597</v>
      </c>
      <c r="J39" s="3">
        <f t="shared" si="5"/>
        <v>2090.9523809523798</v>
      </c>
      <c r="K39" s="3">
        <f t="shared" si="6"/>
        <v>208.33333333333334</v>
      </c>
      <c r="L39" s="4">
        <f t="shared" si="7"/>
        <v>35546.190476190459</v>
      </c>
      <c r="M39" s="3">
        <f t="shared" si="8"/>
        <v>2299.2857142857133</v>
      </c>
      <c r="N39" s="4">
        <f t="shared" si="9"/>
        <v>33246.904761904749</v>
      </c>
    </row>
    <row r="40" spans="1:14" x14ac:dyDescent="0.3">
      <c r="A40" s="3">
        <v>139</v>
      </c>
      <c r="B40" s="5" t="s">
        <v>54</v>
      </c>
      <c r="C40" s="3" t="str">
        <f t="shared" si="0"/>
        <v>Kumar sanu</v>
      </c>
      <c r="D40" s="3" t="str">
        <f t="shared" si="1"/>
        <v>Kumar Sanu</v>
      </c>
      <c r="E40" s="3" t="str">
        <f t="shared" si="2"/>
        <v>Kumar Sanu</v>
      </c>
      <c r="F40" s="3" t="s">
        <v>18</v>
      </c>
      <c r="G40" s="4">
        <v>21030.9523809524</v>
      </c>
      <c r="H40" s="3">
        <f t="shared" si="3"/>
        <v>10515.4761904762</v>
      </c>
      <c r="I40" s="3">
        <f t="shared" si="4"/>
        <v>4206.1904761904798</v>
      </c>
      <c r="J40" s="3">
        <f t="shared" si="5"/>
        <v>2103.0952380952399</v>
      </c>
      <c r="K40" s="3">
        <f t="shared" si="6"/>
        <v>208.33333333333334</v>
      </c>
      <c r="L40" s="4">
        <f t="shared" si="7"/>
        <v>35752.619047619082</v>
      </c>
      <c r="M40" s="3">
        <f t="shared" si="8"/>
        <v>2311.4285714285734</v>
      </c>
      <c r="N40" s="4">
        <f t="shared" si="9"/>
        <v>33441.19047619051</v>
      </c>
    </row>
    <row r="41" spans="1:14" x14ac:dyDescent="0.3">
      <c r="A41" s="3">
        <v>140</v>
      </c>
      <c r="B41" s="5" t="s">
        <v>55</v>
      </c>
      <c r="C41" s="3" t="str">
        <f t="shared" si="0"/>
        <v>Gita banpatte</v>
      </c>
      <c r="D41" s="3" t="str">
        <f t="shared" si="1"/>
        <v>Gita Banpatte</v>
      </c>
      <c r="E41" s="3" t="str">
        <f t="shared" si="2"/>
        <v>Gita Banpatte</v>
      </c>
      <c r="F41" s="3" t="s">
        <v>16</v>
      </c>
      <c r="G41" s="4">
        <v>21152.3809523809</v>
      </c>
      <c r="H41" s="3">
        <f t="shared" si="3"/>
        <v>10576.19047619045</v>
      </c>
      <c r="I41" s="3">
        <f t="shared" si="4"/>
        <v>4230.4761904761799</v>
      </c>
      <c r="J41" s="3">
        <f t="shared" si="5"/>
        <v>2115.23809523809</v>
      </c>
      <c r="K41" s="3">
        <f t="shared" si="6"/>
        <v>208.33333333333334</v>
      </c>
      <c r="L41" s="4">
        <f t="shared" si="7"/>
        <v>35959.047619047531</v>
      </c>
      <c r="M41" s="3">
        <f t="shared" si="8"/>
        <v>2323.5714285714234</v>
      </c>
      <c r="N41" s="4">
        <f t="shared" si="9"/>
        <v>33635.476190476111</v>
      </c>
    </row>
    <row r="42" spans="1:14" x14ac:dyDescent="0.3">
      <c r="A42" s="3">
        <v>141</v>
      </c>
      <c r="B42" s="5" t="s">
        <v>56</v>
      </c>
      <c r="C42" s="3" t="str">
        <f t="shared" si="0"/>
        <v>sunita pawar</v>
      </c>
      <c r="D42" s="3" t="str">
        <f t="shared" si="1"/>
        <v>Sunita Pawar</v>
      </c>
      <c r="E42" s="3" t="str">
        <f t="shared" si="2"/>
        <v>Sunita Pawar</v>
      </c>
      <c r="F42" s="3" t="s">
        <v>12</v>
      </c>
      <c r="G42" s="4">
        <v>21273.809523809501</v>
      </c>
      <c r="H42" s="3">
        <f t="shared" si="3"/>
        <v>10636.904761904751</v>
      </c>
      <c r="I42" s="3">
        <f t="shared" si="4"/>
        <v>4254.7619047619</v>
      </c>
      <c r="J42" s="3">
        <f t="shared" si="5"/>
        <v>2127.38095238095</v>
      </c>
      <c r="K42" s="3">
        <f t="shared" si="6"/>
        <v>208.33333333333334</v>
      </c>
      <c r="L42" s="4">
        <f t="shared" si="7"/>
        <v>36165.476190476154</v>
      </c>
      <c r="M42" s="3">
        <f t="shared" si="8"/>
        <v>2335.7142857142835</v>
      </c>
      <c r="N42" s="4">
        <f t="shared" si="9"/>
        <v>33829.761904761872</v>
      </c>
    </row>
    <row r="43" spans="1:14" x14ac:dyDescent="0.3">
      <c r="A43" s="3">
        <v>142</v>
      </c>
      <c r="B43" s="5" t="s">
        <v>57</v>
      </c>
      <c r="C43" s="3" t="str">
        <f t="shared" si="0"/>
        <v>dipali potdar</v>
      </c>
      <c r="D43" s="3" t="str">
        <f t="shared" si="1"/>
        <v>Dipali Potdar</v>
      </c>
      <c r="E43" s="3" t="str">
        <f t="shared" si="2"/>
        <v>Dipali Potdar</v>
      </c>
      <c r="F43" s="3" t="s">
        <v>14</v>
      </c>
      <c r="G43" s="4">
        <v>21395.238095238099</v>
      </c>
      <c r="H43" s="3">
        <f t="shared" si="3"/>
        <v>10697.61904761905</v>
      </c>
      <c r="I43" s="3">
        <f t="shared" si="4"/>
        <v>4279.0476190476202</v>
      </c>
      <c r="J43" s="3">
        <f t="shared" si="5"/>
        <v>2139.5238095238101</v>
      </c>
      <c r="K43" s="3">
        <f t="shared" si="6"/>
        <v>208.33333333333334</v>
      </c>
      <c r="L43" s="4">
        <f t="shared" si="7"/>
        <v>36371.904761904771</v>
      </c>
      <c r="M43" s="3">
        <f t="shared" si="8"/>
        <v>2347.8571428571436</v>
      </c>
      <c r="N43" s="4">
        <f t="shared" si="9"/>
        <v>34024.047619047626</v>
      </c>
    </row>
    <row r="44" spans="1:14" x14ac:dyDescent="0.3">
      <c r="A44" s="3">
        <v>143</v>
      </c>
      <c r="B44" s="5" t="s">
        <v>58</v>
      </c>
      <c r="C44" s="3" t="str">
        <f t="shared" si="0"/>
        <v>Niraja</v>
      </c>
      <c r="D44" s="3" t="str">
        <f t="shared" si="1"/>
        <v>Niraja</v>
      </c>
      <c r="E44" s="3" t="str">
        <f t="shared" si="2"/>
        <v>Niraja</v>
      </c>
      <c r="F44" s="3" t="s">
        <v>20</v>
      </c>
      <c r="G44" s="4">
        <v>21516.666666666701</v>
      </c>
      <c r="H44" s="3">
        <f t="shared" si="3"/>
        <v>10758.33333333335</v>
      </c>
      <c r="I44" s="3">
        <f t="shared" si="4"/>
        <v>4303.3333333333403</v>
      </c>
      <c r="J44" s="3">
        <f t="shared" si="5"/>
        <v>2151.6666666666702</v>
      </c>
      <c r="K44" s="3">
        <f t="shared" si="6"/>
        <v>208.33333333333334</v>
      </c>
      <c r="L44" s="4">
        <f t="shared" si="7"/>
        <v>36578.333333333394</v>
      </c>
      <c r="M44" s="3">
        <f t="shared" si="8"/>
        <v>2360.0000000000036</v>
      </c>
      <c r="N44" s="4">
        <f t="shared" si="9"/>
        <v>34218.333333333387</v>
      </c>
    </row>
    <row r="45" spans="1:14" x14ac:dyDescent="0.3">
      <c r="A45" s="3">
        <v>144</v>
      </c>
      <c r="B45" s="5" t="s">
        <v>59</v>
      </c>
      <c r="C45" s="3" t="str">
        <f t="shared" si="0"/>
        <v>dimppy</v>
      </c>
      <c r="D45" s="3" t="str">
        <f t="shared" si="1"/>
        <v>Dimppy</v>
      </c>
      <c r="E45" s="3" t="str">
        <f t="shared" si="2"/>
        <v>Dimppy</v>
      </c>
      <c r="F45" s="3" t="s">
        <v>18</v>
      </c>
      <c r="G45" s="4">
        <v>21638.0952380952</v>
      </c>
      <c r="H45" s="3">
        <f t="shared" si="3"/>
        <v>10819.0476190476</v>
      </c>
      <c r="I45" s="3">
        <f t="shared" si="4"/>
        <v>4327.6190476190404</v>
      </c>
      <c r="J45" s="3">
        <f t="shared" si="5"/>
        <v>2163.8095238095202</v>
      </c>
      <c r="K45" s="3">
        <f t="shared" si="6"/>
        <v>208.33333333333334</v>
      </c>
      <c r="L45" s="4">
        <f t="shared" si="7"/>
        <v>36784.761904761843</v>
      </c>
      <c r="M45" s="3">
        <f t="shared" si="8"/>
        <v>2372.1428571428537</v>
      </c>
      <c r="N45" s="4">
        <f t="shared" si="9"/>
        <v>34412.619047618988</v>
      </c>
    </row>
    <row r="46" spans="1:14" x14ac:dyDescent="0.3">
      <c r="A46" s="3">
        <v>145</v>
      </c>
      <c r="B46" s="5" t="s">
        <v>60</v>
      </c>
      <c r="C46" s="3" t="str">
        <f t="shared" si="0"/>
        <v>Rajendra Prasad</v>
      </c>
      <c r="D46" s="3" t="str">
        <f t="shared" si="1"/>
        <v>Rajendra Prasad</v>
      </c>
      <c r="E46" s="3" t="str">
        <f t="shared" si="2"/>
        <v>Rajendra Prasad</v>
      </c>
      <c r="F46" s="3" t="s">
        <v>16</v>
      </c>
      <c r="G46" s="4">
        <v>21759.523809523798</v>
      </c>
      <c r="H46" s="3">
        <f t="shared" si="3"/>
        <v>10879.761904761899</v>
      </c>
      <c r="I46" s="3">
        <f t="shared" si="4"/>
        <v>4351.9047619047597</v>
      </c>
      <c r="J46" s="3">
        <f t="shared" si="5"/>
        <v>2175.9523809523798</v>
      </c>
      <c r="K46" s="3">
        <f t="shared" si="6"/>
        <v>208.33333333333334</v>
      </c>
      <c r="L46" s="4">
        <f t="shared" si="7"/>
        <v>36991.190476190459</v>
      </c>
      <c r="M46" s="3">
        <f t="shared" si="8"/>
        <v>2384.2857142857133</v>
      </c>
      <c r="N46" s="4">
        <f t="shared" si="9"/>
        <v>34606.904761904749</v>
      </c>
    </row>
    <row r="47" spans="1:14" x14ac:dyDescent="0.3">
      <c r="A47" s="3">
        <v>146</v>
      </c>
      <c r="B47" s="5" t="s">
        <v>61</v>
      </c>
      <c r="C47" s="3" t="str">
        <f t="shared" si="0"/>
        <v>Narendra Modi</v>
      </c>
      <c r="D47" s="3" t="str">
        <f t="shared" si="1"/>
        <v>Narendra Modi</v>
      </c>
      <c r="E47" s="3" t="str">
        <f t="shared" si="2"/>
        <v>Narendra Modi</v>
      </c>
      <c r="F47" s="3" t="s">
        <v>12</v>
      </c>
      <c r="G47" s="4">
        <v>21880.9523809524</v>
      </c>
      <c r="H47" s="3">
        <f t="shared" si="3"/>
        <v>10940.4761904762</v>
      </c>
      <c r="I47" s="3">
        <f t="shared" si="4"/>
        <v>4376.1904761904798</v>
      </c>
      <c r="J47" s="3">
        <f t="shared" si="5"/>
        <v>2188.0952380952399</v>
      </c>
      <c r="K47" s="3">
        <f t="shared" si="6"/>
        <v>208.33333333333334</v>
      </c>
      <c r="L47" s="4">
        <f t="shared" si="7"/>
        <v>37197.619047619082</v>
      </c>
      <c r="M47" s="3">
        <f t="shared" si="8"/>
        <v>2396.4285714285734</v>
      </c>
      <c r="N47" s="4">
        <f t="shared" si="9"/>
        <v>34801.19047619051</v>
      </c>
    </row>
    <row r="48" spans="1:14" x14ac:dyDescent="0.3">
      <c r="A48" s="3">
        <v>147</v>
      </c>
      <c r="B48" s="5" t="s">
        <v>62</v>
      </c>
      <c r="C48" s="3" t="str">
        <f t="shared" si="0"/>
        <v>gitanjali pagare</v>
      </c>
      <c r="D48" s="3" t="str">
        <f t="shared" si="1"/>
        <v>Gitanjali Pagare</v>
      </c>
      <c r="E48" s="3" t="str">
        <f t="shared" si="2"/>
        <v>Gitanjali Pagare</v>
      </c>
      <c r="F48" s="3" t="s">
        <v>14</v>
      </c>
      <c r="G48" s="4">
        <v>22002.3809523809</v>
      </c>
      <c r="H48" s="3">
        <f t="shared" si="3"/>
        <v>11001.19047619045</v>
      </c>
      <c r="I48" s="3">
        <f t="shared" si="4"/>
        <v>4400.4761904761799</v>
      </c>
      <c r="J48" s="3">
        <f t="shared" si="5"/>
        <v>2200.23809523809</v>
      </c>
      <c r="K48" s="3">
        <f t="shared" si="6"/>
        <v>208.33333333333334</v>
      </c>
      <c r="L48" s="4">
        <f t="shared" si="7"/>
        <v>37404.047619047531</v>
      </c>
      <c r="M48" s="3">
        <f t="shared" si="8"/>
        <v>2408.5714285714234</v>
      </c>
      <c r="N48" s="4">
        <f t="shared" si="9"/>
        <v>34995.476190476111</v>
      </c>
    </row>
    <row r="49" spans="1:14" x14ac:dyDescent="0.3">
      <c r="A49" s="3">
        <v>148</v>
      </c>
      <c r="B49" s="5" t="s">
        <v>63</v>
      </c>
      <c r="C49" s="3" t="str">
        <f t="shared" si="0"/>
        <v>swapnil vagh</v>
      </c>
      <c r="D49" s="3" t="str">
        <f t="shared" si="1"/>
        <v>Swapnil Vagh</v>
      </c>
      <c r="E49" s="3" t="str">
        <f t="shared" si="2"/>
        <v>Swapnil Vagh</v>
      </c>
      <c r="F49" s="3" t="s">
        <v>16</v>
      </c>
      <c r="G49" s="4">
        <v>22123.809523809501</v>
      </c>
      <c r="H49" s="3">
        <f t="shared" si="3"/>
        <v>11061.904761904751</v>
      </c>
      <c r="I49" s="3">
        <f t="shared" si="4"/>
        <v>4424.7619047619</v>
      </c>
      <c r="J49" s="3">
        <f t="shared" si="5"/>
        <v>2212.38095238095</v>
      </c>
      <c r="K49" s="3">
        <f t="shared" si="6"/>
        <v>208.33333333333334</v>
      </c>
      <c r="L49" s="4">
        <f t="shared" si="7"/>
        <v>37610.476190476154</v>
      </c>
      <c r="M49" s="3">
        <f t="shared" si="8"/>
        <v>2420.7142857142835</v>
      </c>
      <c r="N49" s="4">
        <f t="shared" si="9"/>
        <v>35189.761904761872</v>
      </c>
    </row>
    <row r="50" spans="1:14" x14ac:dyDescent="0.3">
      <c r="A50" s="3">
        <v>149</v>
      </c>
      <c r="B50" s="5" t="s">
        <v>64</v>
      </c>
      <c r="C50" s="3" t="str">
        <f t="shared" si="0"/>
        <v>suraj poikrav</v>
      </c>
      <c r="D50" s="3" t="str">
        <f t="shared" si="1"/>
        <v>Suraj Poikrav</v>
      </c>
      <c r="E50" s="3" t="str">
        <f t="shared" si="2"/>
        <v>Suraj Poikrav</v>
      </c>
      <c r="F50" s="3" t="s">
        <v>18</v>
      </c>
      <c r="G50" s="4">
        <v>22245.238095238099</v>
      </c>
      <c r="H50" s="3">
        <f t="shared" si="3"/>
        <v>11122.61904761905</v>
      </c>
      <c r="I50" s="3">
        <f t="shared" si="4"/>
        <v>4449.0476190476202</v>
      </c>
      <c r="J50" s="3">
        <f t="shared" si="5"/>
        <v>2224.5238095238101</v>
      </c>
      <c r="K50" s="3">
        <f t="shared" si="6"/>
        <v>208.33333333333334</v>
      </c>
      <c r="L50" s="4">
        <f t="shared" si="7"/>
        <v>37816.904761904763</v>
      </c>
      <c r="M50" s="3">
        <f t="shared" si="8"/>
        <v>2432.8571428571436</v>
      </c>
      <c r="N50" s="4">
        <f t="shared" si="9"/>
        <v>35384.047619047618</v>
      </c>
    </row>
    <row r="51" spans="1:14" x14ac:dyDescent="0.3">
      <c r="A51" s="3">
        <v>150</v>
      </c>
      <c r="B51" s="5" t="s">
        <v>65</v>
      </c>
      <c r="C51" s="3" t="str">
        <f t="shared" si="0"/>
        <v>ranjana mali</v>
      </c>
      <c r="D51" s="3" t="str">
        <f t="shared" si="1"/>
        <v>Ranjana Mali</v>
      </c>
      <c r="E51" s="3" t="str">
        <f t="shared" si="2"/>
        <v>Ranjana Mali</v>
      </c>
      <c r="F51" s="3" t="s">
        <v>20</v>
      </c>
      <c r="G51" s="4">
        <v>22366.666666666701</v>
      </c>
      <c r="H51" s="3">
        <f t="shared" si="3"/>
        <v>11183.33333333335</v>
      </c>
      <c r="I51" s="3">
        <f t="shared" si="4"/>
        <v>4473.3333333333403</v>
      </c>
      <c r="J51" s="3">
        <f t="shared" si="5"/>
        <v>2236.6666666666702</v>
      </c>
      <c r="K51" s="3">
        <f t="shared" si="6"/>
        <v>208.33333333333334</v>
      </c>
      <c r="L51" s="4">
        <f t="shared" si="7"/>
        <v>38023.333333333394</v>
      </c>
      <c r="M51" s="3">
        <f t="shared" si="8"/>
        <v>2445.0000000000036</v>
      </c>
      <c r="N51" s="4">
        <f t="shared" si="9"/>
        <v>35578.333333333387</v>
      </c>
    </row>
    <row r="52" spans="1:14" x14ac:dyDescent="0.3">
      <c r="A52" s="3">
        <v>151</v>
      </c>
      <c r="B52" s="5" t="s">
        <v>66</v>
      </c>
      <c r="C52" s="3" t="str">
        <f t="shared" si="0"/>
        <v>Ashok kumade</v>
      </c>
      <c r="D52" s="3" t="str">
        <f t="shared" si="1"/>
        <v>Ashok Kumade</v>
      </c>
      <c r="E52" s="3" t="str">
        <f t="shared" si="2"/>
        <v>Ashok Kumade</v>
      </c>
      <c r="F52" s="3" t="s">
        <v>20</v>
      </c>
      <c r="G52" s="4">
        <v>22488.0952380952</v>
      </c>
      <c r="H52" s="3">
        <f t="shared" si="3"/>
        <v>11244.0476190476</v>
      </c>
      <c r="I52" s="3">
        <f t="shared" si="4"/>
        <v>4497.6190476190404</v>
      </c>
      <c r="J52" s="3">
        <f t="shared" si="5"/>
        <v>2248.8095238095202</v>
      </c>
      <c r="K52" s="3">
        <f t="shared" si="6"/>
        <v>208.33333333333334</v>
      </c>
      <c r="L52" s="4">
        <f t="shared" si="7"/>
        <v>38229.761904761835</v>
      </c>
      <c r="M52" s="3">
        <f t="shared" si="8"/>
        <v>2457.1428571428537</v>
      </c>
      <c r="N52" s="4">
        <f t="shared" si="9"/>
        <v>35772.61904761898</v>
      </c>
    </row>
    <row r="53" spans="1:14" x14ac:dyDescent="0.3">
      <c r="A53" s="3">
        <v>152</v>
      </c>
      <c r="B53" s="5" t="s">
        <v>67</v>
      </c>
      <c r="C53" s="3" t="str">
        <f t="shared" si="0"/>
        <v>Radha devkar</v>
      </c>
      <c r="D53" s="3" t="str">
        <f t="shared" si="1"/>
        <v>Radha Devkar</v>
      </c>
      <c r="E53" s="3" t="str">
        <f t="shared" si="2"/>
        <v>Radha Devkar</v>
      </c>
      <c r="F53" s="3" t="s">
        <v>14</v>
      </c>
      <c r="G53" s="4">
        <v>22609.523809523798</v>
      </c>
      <c r="H53" s="3">
        <f t="shared" si="3"/>
        <v>11304.761904761899</v>
      </c>
      <c r="I53" s="3">
        <f t="shared" si="4"/>
        <v>4521.9047619047597</v>
      </c>
      <c r="J53" s="3">
        <f t="shared" si="5"/>
        <v>2260.9523809523798</v>
      </c>
      <c r="K53" s="3">
        <f t="shared" si="6"/>
        <v>208.33333333333334</v>
      </c>
      <c r="L53" s="4">
        <f t="shared" si="7"/>
        <v>38436.190476190459</v>
      </c>
      <c r="M53" s="3">
        <f t="shared" si="8"/>
        <v>2469.2857142857133</v>
      </c>
      <c r="N53" s="4">
        <f t="shared" si="9"/>
        <v>35966.904761904749</v>
      </c>
    </row>
    <row r="54" spans="1:14" x14ac:dyDescent="0.3">
      <c r="A54" s="3">
        <v>153</v>
      </c>
      <c r="B54" s="5" t="s">
        <v>68</v>
      </c>
      <c r="C54" s="3" t="str">
        <f t="shared" si="0"/>
        <v>Rakhi Sawant</v>
      </c>
      <c r="D54" s="3" t="str">
        <f t="shared" si="1"/>
        <v>Rakhi Sawant</v>
      </c>
      <c r="E54" s="3" t="str">
        <f t="shared" si="2"/>
        <v>Rakhi Sawant</v>
      </c>
      <c r="F54" s="3" t="s">
        <v>12</v>
      </c>
      <c r="G54" s="4">
        <v>22730.9523809524</v>
      </c>
      <c r="H54" s="3">
        <f t="shared" si="3"/>
        <v>11365.4761904762</v>
      </c>
      <c r="I54" s="3">
        <f t="shared" si="4"/>
        <v>4546.1904761904798</v>
      </c>
      <c r="J54" s="3">
        <f t="shared" si="5"/>
        <v>2273.0952380952399</v>
      </c>
      <c r="K54" s="3">
        <f t="shared" si="6"/>
        <v>208.33333333333334</v>
      </c>
      <c r="L54" s="4">
        <f t="shared" si="7"/>
        <v>38642.619047619082</v>
      </c>
      <c r="M54" s="3">
        <f t="shared" si="8"/>
        <v>2481.4285714285734</v>
      </c>
      <c r="N54" s="4">
        <f t="shared" si="9"/>
        <v>36161.19047619051</v>
      </c>
    </row>
    <row r="55" spans="1:14" x14ac:dyDescent="0.3">
      <c r="A55" s="3">
        <v>154</v>
      </c>
      <c r="B55" s="5" t="s">
        <v>69</v>
      </c>
      <c r="C55" s="3" t="str">
        <f t="shared" si="0"/>
        <v>Zara Khan</v>
      </c>
      <c r="D55" s="3" t="str">
        <f t="shared" si="1"/>
        <v>Zara Khan</v>
      </c>
      <c r="E55" s="3" t="str">
        <f t="shared" si="2"/>
        <v>Zara Khan</v>
      </c>
      <c r="F55" s="3" t="s">
        <v>18</v>
      </c>
      <c r="G55" s="4">
        <v>22852.3809523809</v>
      </c>
      <c r="H55" s="3">
        <f t="shared" si="3"/>
        <v>11426.19047619045</v>
      </c>
      <c r="I55" s="3">
        <f t="shared" si="4"/>
        <v>4570.4761904761799</v>
      </c>
      <c r="J55" s="3">
        <f t="shared" si="5"/>
        <v>2285.23809523809</v>
      </c>
      <c r="K55" s="3">
        <f t="shared" si="6"/>
        <v>208.33333333333334</v>
      </c>
      <c r="L55" s="4">
        <f t="shared" si="7"/>
        <v>38849.047619047531</v>
      </c>
      <c r="M55" s="3">
        <f t="shared" si="8"/>
        <v>2493.5714285714234</v>
      </c>
      <c r="N55" s="4">
        <f t="shared" si="9"/>
        <v>36355.476190476111</v>
      </c>
    </row>
    <row r="56" spans="1:14" x14ac:dyDescent="0.3">
      <c r="A56" s="3">
        <v>155</v>
      </c>
      <c r="B56" s="5" t="s">
        <v>70</v>
      </c>
      <c r="C56" s="3" t="str">
        <f t="shared" si="0"/>
        <v>joya shaikh</v>
      </c>
      <c r="D56" s="3" t="str">
        <f t="shared" si="1"/>
        <v>Joya Shaikh</v>
      </c>
      <c r="E56" s="3" t="str">
        <f t="shared" si="2"/>
        <v>Joya Shaikh</v>
      </c>
      <c r="F56" s="3" t="s">
        <v>16</v>
      </c>
      <c r="G56" s="4">
        <v>22973.809523809501</v>
      </c>
      <c r="H56" s="3">
        <f t="shared" si="3"/>
        <v>11486.904761904751</v>
      </c>
      <c r="I56" s="3">
        <f t="shared" si="4"/>
        <v>4594.7619047619</v>
      </c>
      <c r="J56" s="3">
        <f t="shared" si="5"/>
        <v>2297.38095238095</v>
      </c>
      <c r="K56" s="3">
        <f t="shared" si="6"/>
        <v>208.33333333333334</v>
      </c>
      <c r="L56" s="4">
        <f t="shared" si="7"/>
        <v>39055.476190476154</v>
      </c>
      <c r="M56" s="3">
        <f t="shared" si="8"/>
        <v>2505.7142857142835</v>
      </c>
      <c r="N56" s="4">
        <f t="shared" si="9"/>
        <v>36549.761904761872</v>
      </c>
    </row>
    <row r="57" spans="1:14" x14ac:dyDescent="0.3">
      <c r="A57" s="3">
        <v>156</v>
      </c>
      <c r="B57" s="5" t="s">
        <v>71</v>
      </c>
      <c r="C57" s="3" t="str">
        <f t="shared" si="0"/>
        <v>tahura Shaikh</v>
      </c>
      <c r="D57" s="3" t="str">
        <f t="shared" si="1"/>
        <v>Tahura Shaikh</v>
      </c>
      <c r="E57" s="3" t="str">
        <f t="shared" si="2"/>
        <v>Tahura Shaikh</v>
      </c>
      <c r="F57" s="3" t="s">
        <v>12</v>
      </c>
      <c r="G57" s="4">
        <v>23095.238095238099</v>
      </c>
      <c r="H57" s="3">
        <f t="shared" si="3"/>
        <v>11547.61904761905</v>
      </c>
      <c r="I57" s="3">
        <f t="shared" si="4"/>
        <v>4619.0476190476202</v>
      </c>
      <c r="J57" s="3">
        <f t="shared" si="5"/>
        <v>2309.5238095238101</v>
      </c>
      <c r="K57" s="3">
        <f t="shared" si="6"/>
        <v>208.33333333333334</v>
      </c>
      <c r="L57" s="4">
        <f t="shared" si="7"/>
        <v>39261.904761904763</v>
      </c>
      <c r="M57" s="3">
        <f t="shared" si="8"/>
        <v>2517.8571428571436</v>
      </c>
      <c r="N57" s="4">
        <f t="shared" si="9"/>
        <v>36744.047619047618</v>
      </c>
    </row>
    <row r="58" spans="1:14" x14ac:dyDescent="0.3">
      <c r="A58" s="3">
        <v>157</v>
      </c>
      <c r="B58" s="5" t="s">
        <v>72</v>
      </c>
      <c r="C58" s="3" t="str">
        <f t="shared" si="0"/>
        <v>fiza surve</v>
      </c>
      <c r="D58" s="3" t="str">
        <f t="shared" si="1"/>
        <v>Fiza Surve</v>
      </c>
      <c r="E58" s="3" t="str">
        <f t="shared" si="2"/>
        <v>Fiza Surve</v>
      </c>
      <c r="F58" s="3" t="s">
        <v>14</v>
      </c>
      <c r="G58" s="4">
        <v>23216.666666666701</v>
      </c>
      <c r="H58" s="3">
        <f t="shared" si="3"/>
        <v>11608.33333333335</v>
      </c>
      <c r="I58" s="3">
        <f t="shared" si="4"/>
        <v>4643.3333333333403</v>
      </c>
      <c r="J58" s="3">
        <f t="shared" si="5"/>
        <v>2321.6666666666702</v>
      </c>
      <c r="K58" s="3">
        <f t="shared" si="6"/>
        <v>208.33333333333334</v>
      </c>
      <c r="L58" s="4">
        <f t="shared" si="7"/>
        <v>39468.333333333394</v>
      </c>
      <c r="M58" s="3">
        <f t="shared" si="8"/>
        <v>2530.0000000000036</v>
      </c>
      <c r="N58" s="4">
        <f t="shared" si="9"/>
        <v>36938.333333333387</v>
      </c>
    </row>
    <row r="59" spans="1:14" x14ac:dyDescent="0.3">
      <c r="A59" s="3">
        <v>158</v>
      </c>
      <c r="B59" s="5" t="s">
        <v>73</v>
      </c>
      <c r="C59" s="3" t="str">
        <f t="shared" si="0"/>
        <v>yamini Gulab</v>
      </c>
      <c r="D59" s="3" t="str">
        <f t="shared" si="1"/>
        <v>Yamini Gulab</v>
      </c>
      <c r="E59" s="3" t="str">
        <f t="shared" si="2"/>
        <v>Yamini Gulab</v>
      </c>
      <c r="F59" s="3" t="s">
        <v>20</v>
      </c>
      <c r="G59" s="4">
        <v>23338.0952380952</v>
      </c>
      <c r="H59" s="3">
        <f t="shared" si="3"/>
        <v>11669.0476190476</v>
      </c>
      <c r="I59" s="3">
        <f t="shared" si="4"/>
        <v>4667.6190476190404</v>
      </c>
      <c r="J59" s="3">
        <f t="shared" si="5"/>
        <v>2333.8095238095202</v>
      </c>
      <c r="K59" s="3">
        <f t="shared" si="6"/>
        <v>208.33333333333334</v>
      </c>
      <c r="L59" s="4">
        <f t="shared" si="7"/>
        <v>39674.761904761835</v>
      </c>
      <c r="M59" s="3">
        <f t="shared" si="8"/>
        <v>2542.1428571428537</v>
      </c>
      <c r="N59" s="4">
        <f t="shared" si="9"/>
        <v>37132.61904761898</v>
      </c>
    </row>
    <row r="60" spans="1:14" x14ac:dyDescent="0.3">
      <c r="A60" s="3">
        <v>159</v>
      </c>
      <c r="B60" s="5" t="s">
        <v>74</v>
      </c>
      <c r="C60" s="3" t="str">
        <f t="shared" si="0"/>
        <v>twinkal Khana</v>
      </c>
      <c r="D60" s="3" t="str">
        <f t="shared" si="1"/>
        <v>Twinkal Khana</v>
      </c>
      <c r="E60" s="3" t="str">
        <f t="shared" si="2"/>
        <v>Twinkal Khana</v>
      </c>
      <c r="F60" s="3" t="s">
        <v>18</v>
      </c>
      <c r="G60" s="4">
        <v>23459.523809523798</v>
      </c>
      <c r="H60" s="3">
        <f t="shared" si="3"/>
        <v>11729.761904761899</v>
      </c>
      <c r="I60" s="3">
        <f t="shared" si="4"/>
        <v>4691.9047619047597</v>
      </c>
      <c r="J60" s="3">
        <f t="shared" si="5"/>
        <v>2345.9523809523798</v>
      </c>
      <c r="K60" s="3">
        <f t="shared" si="6"/>
        <v>208.33333333333334</v>
      </c>
      <c r="L60" s="4">
        <f t="shared" si="7"/>
        <v>39881.190476190459</v>
      </c>
      <c r="M60" s="3">
        <f t="shared" si="8"/>
        <v>2554.2857142857133</v>
      </c>
      <c r="N60" s="4">
        <f t="shared" si="9"/>
        <v>37326.904761904749</v>
      </c>
    </row>
    <row r="61" spans="1:14" x14ac:dyDescent="0.3">
      <c r="A61" s="3">
        <v>160</v>
      </c>
      <c r="B61" s="5" t="s">
        <v>75</v>
      </c>
      <c r="C61" s="3" t="str">
        <f t="shared" si="0"/>
        <v>yashraj gupta</v>
      </c>
      <c r="D61" s="3" t="str">
        <f t="shared" si="1"/>
        <v>Yashraj Gupta</v>
      </c>
      <c r="E61" s="3" t="str">
        <f t="shared" si="2"/>
        <v>Yashraj Gupta</v>
      </c>
      <c r="F61" s="3" t="s">
        <v>16</v>
      </c>
      <c r="G61" s="4">
        <v>23580.9523809524</v>
      </c>
      <c r="H61" s="3">
        <f t="shared" si="3"/>
        <v>11790.4761904762</v>
      </c>
      <c r="I61" s="3">
        <f t="shared" si="4"/>
        <v>4716.1904761904798</v>
      </c>
      <c r="J61" s="3">
        <f t="shared" si="5"/>
        <v>2358.0952380952399</v>
      </c>
      <c r="K61" s="3">
        <f t="shared" si="6"/>
        <v>208.33333333333334</v>
      </c>
      <c r="L61" s="4">
        <f t="shared" si="7"/>
        <v>40087.619047619082</v>
      </c>
      <c r="M61" s="3">
        <f t="shared" si="8"/>
        <v>2566.4285714285734</v>
      </c>
      <c r="N61" s="4">
        <f t="shared" si="9"/>
        <v>37521.19047619051</v>
      </c>
    </row>
    <row r="62" spans="1:14" x14ac:dyDescent="0.3">
      <c r="A62" s="3">
        <v>161</v>
      </c>
      <c r="B62" s="5" t="s">
        <v>76</v>
      </c>
      <c r="C62" s="3" t="str">
        <f t="shared" si="0"/>
        <v>rahi dighe</v>
      </c>
      <c r="D62" s="3" t="str">
        <f t="shared" si="1"/>
        <v>Rahi Dighe</v>
      </c>
      <c r="E62" s="3" t="str">
        <f t="shared" si="2"/>
        <v>Rahi Dighe</v>
      </c>
      <c r="F62" s="3" t="s">
        <v>12</v>
      </c>
      <c r="G62" s="4">
        <v>23702.3809523809</v>
      </c>
      <c r="H62" s="3">
        <f t="shared" si="3"/>
        <v>11851.19047619045</v>
      </c>
      <c r="I62" s="3">
        <f t="shared" si="4"/>
        <v>4740.4761904761799</v>
      </c>
      <c r="J62" s="3">
        <f t="shared" si="5"/>
        <v>2370.23809523809</v>
      </c>
      <c r="K62" s="3">
        <f t="shared" si="6"/>
        <v>208.33333333333334</v>
      </c>
      <c r="L62" s="4">
        <f t="shared" si="7"/>
        <v>40294.047619047531</v>
      </c>
      <c r="M62" s="3">
        <f t="shared" si="8"/>
        <v>2578.5714285714234</v>
      </c>
      <c r="N62" s="4">
        <f t="shared" si="9"/>
        <v>37715.476190476111</v>
      </c>
    </row>
    <row r="63" spans="1:14" x14ac:dyDescent="0.3">
      <c r="A63" s="3">
        <v>162</v>
      </c>
      <c r="B63" s="5" t="s">
        <v>77</v>
      </c>
      <c r="C63" s="3" t="str">
        <f t="shared" si="0"/>
        <v>naha sharma</v>
      </c>
      <c r="D63" s="3" t="str">
        <f t="shared" si="1"/>
        <v>Naha Sharma</v>
      </c>
      <c r="E63" s="3" t="str">
        <f t="shared" si="2"/>
        <v>Naha Sharma</v>
      </c>
      <c r="F63" s="3" t="s">
        <v>14</v>
      </c>
      <c r="G63" s="4">
        <v>23823.809523809501</v>
      </c>
      <c r="H63" s="3">
        <f t="shared" si="3"/>
        <v>11911.904761904751</v>
      </c>
      <c r="I63" s="3">
        <f t="shared" si="4"/>
        <v>4764.7619047619</v>
      </c>
      <c r="J63" s="3">
        <f t="shared" si="5"/>
        <v>2382.38095238095</v>
      </c>
      <c r="K63" s="3">
        <f t="shared" si="6"/>
        <v>208.33333333333334</v>
      </c>
      <c r="L63" s="4">
        <f t="shared" si="7"/>
        <v>40500.476190476154</v>
      </c>
      <c r="M63" s="3">
        <f t="shared" si="8"/>
        <v>2590.7142857142835</v>
      </c>
      <c r="N63" s="4">
        <f t="shared" si="9"/>
        <v>37909.761904761872</v>
      </c>
    </row>
    <row r="64" spans="1:14" x14ac:dyDescent="0.3">
      <c r="A64" s="3">
        <v>163</v>
      </c>
      <c r="B64" s="5" t="s">
        <v>78</v>
      </c>
      <c r="C64" s="3" t="str">
        <f t="shared" si="0"/>
        <v>Payal Gosavi</v>
      </c>
      <c r="D64" s="3" t="str">
        <f t="shared" si="1"/>
        <v>Payal Gosavi</v>
      </c>
      <c r="E64" s="3" t="str">
        <f t="shared" si="2"/>
        <v>Payal Gosavi</v>
      </c>
      <c r="F64" s="3" t="s">
        <v>16</v>
      </c>
      <c r="G64" s="4">
        <v>23945.238095238099</v>
      </c>
      <c r="H64" s="3">
        <f t="shared" si="3"/>
        <v>11972.61904761905</v>
      </c>
      <c r="I64" s="3">
        <f t="shared" si="4"/>
        <v>4789.0476190476202</v>
      </c>
      <c r="J64" s="3">
        <f t="shared" si="5"/>
        <v>2394.5238095238101</v>
      </c>
      <c r="K64" s="3">
        <f t="shared" si="6"/>
        <v>208.33333333333334</v>
      </c>
      <c r="L64" s="4">
        <f t="shared" si="7"/>
        <v>40706.904761904763</v>
      </c>
      <c r="M64" s="3">
        <f t="shared" si="8"/>
        <v>2602.8571428571436</v>
      </c>
      <c r="N64" s="4">
        <f t="shared" si="9"/>
        <v>38104.047619047618</v>
      </c>
    </row>
    <row r="65" spans="1:14" x14ac:dyDescent="0.3">
      <c r="A65" s="3">
        <v>164</v>
      </c>
      <c r="B65" s="5" t="s">
        <v>82</v>
      </c>
      <c r="C65" s="3" t="str">
        <f t="shared" si="0"/>
        <v>Megha yatri</v>
      </c>
      <c r="D65" s="3" t="str">
        <f t="shared" si="1"/>
        <v>Megha Yatri</v>
      </c>
      <c r="E65" s="3" t="str">
        <f t="shared" si="2"/>
        <v>Megha Yatri</v>
      </c>
      <c r="F65" s="3" t="s">
        <v>18</v>
      </c>
      <c r="G65" s="4">
        <v>24066.666666666701</v>
      </c>
      <c r="H65" s="3">
        <f t="shared" si="3"/>
        <v>12033.33333333335</v>
      </c>
      <c r="I65" s="3">
        <f t="shared" si="4"/>
        <v>4813.3333333333403</v>
      </c>
      <c r="J65" s="3">
        <f t="shared" si="5"/>
        <v>2406.6666666666702</v>
      </c>
      <c r="K65" s="3">
        <f t="shared" si="6"/>
        <v>208.33333333333334</v>
      </c>
      <c r="L65" s="4">
        <f t="shared" si="7"/>
        <v>40913.333333333394</v>
      </c>
      <c r="M65" s="3">
        <f t="shared" si="8"/>
        <v>2615.0000000000036</v>
      </c>
      <c r="N65" s="4">
        <f t="shared" si="9"/>
        <v>38298.333333333387</v>
      </c>
    </row>
    <row r="66" spans="1:14" x14ac:dyDescent="0.3">
      <c r="A66" s="3">
        <v>165</v>
      </c>
      <c r="B66" s="5" t="s">
        <v>83</v>
      </c>
      <c r="C66" s="3" t="str">
        <f t="shared" si="0"/>
        <v>Suhani jaiswal</v>
      </c>
      <c r="D66" s="3" t="str">
        <f t="shared" si="1"/>
        <v>Suhani Jaiswal</v>
      </c>
      <c r="E66" s="3" t="str">
        <f t="shared" si="2"/>
        <v>Suhani Jaiswal</v>
      </c>
      <c r="F66" s="3" t="s">
        <v>20</v>
      </c>
      <c r="G66" s="4">
        <v>24188.0952380952</v>
      </c>
      <c r="H66" s="3">
        <f t="shared" si="3"/>
        <v>12094.0476190476</v>
      </c>
      <c r="I66" s="3">
        <f t="shared" si="4"/>
        <v>4837.6190476190404</v>
      </c>
      <c r="J66" s="3">
        <f t="shared" si="5"/>
        <v>2418.8095238095202</v>
      </c>
      <c r="K66" s="3">
        <f t="shared" si="6"/>
        <v>208.33333333333334</v>
      </c>
      <c r="L66" s="4">
        <f t="shared" si="7"/>
        <v>41119.761904761835</v>
      </c>
      <c r="M66" s="3">
        <f t="shared" si="8"/>
        <v>2627.1428571428537</v>
      </c>
      <c r="N66" s="4">
        <f t="shared" si="9"/>
        <v>38492.61904761898</v>
      </c>
    </row>
    <row r="67" spans="1:14" x14ac:dyDescent="0.3">
      <c r="A67" s="3">
        <v>166</v>
      </c>
      <c r="B67" s="5" t="s">
        <v>84</v>
      </c>
      <c r="C67" s="3" t="str">
        <f t="shared" ref="C67:C92" si="11">TRIM(B67)</f>
        <v>Poonam Devkar</v>
      </c>
      <c r="D67" s="3" t="str">
        <f t="shared" ref="D67:D92" si="12">PROPER(C67)</f>
        <v>Poonam Devkar</v>
      </c>
      <c r="E67" s="3" t="str">
        <f t="shared" ref="E67:E92" si="13">D67</f>
        <v>Poonam Devkar</v>
      </c>
      <c r="F67" s="3" t="s">
        <v>20</v>
      </c>
      <c r="G67" s="4">
        <v>24309.523809523798</v>
      </c>
      <c r="H67" s="3">
        <f t="shared" ref="H67:H92" si="14">G67*50%</f>
        <v>12154.761904761899</v>
      </c>
      <c r="I67" s="3">
        <f t="shared" ref="I67:I92" si="15">G67*20%</f>
        <v>4861.9047619047597</v>
      </c>
      <c r="J67" s="3">
        <f t="shared" ref="J67:J92" si="16">G67*10%</f>
        <v>2430.9523809523798</v>
      </c>
      <c r="K67" s="3">
        <f t="shared" ref="K67:K92" si="17">2500/12</f>
        <v>208.33333333333334</v>
      </c>
      <c r="L67" s="4">
        <f t="shared" ref="L67:L92" si="18">SUM(G67:I67)</f>
        <v>41326.190476190459</v>
      </c>
      <c r="M67" s="3">
        <f t="shared" ref="M67:M92" si="19">SUM(J67:K67)</f>
        <v>2639.2857142857133</v>
      </c>
      <c r="N67" s="4">
        <f t="shared" ref="N67:N92" si="20">L67-M67</f>
        <v>38686.904761904749</v>
      </c>
    </row>
    <row r="68" spans="1:14" x14ac:dyDescent="0.3">
      <c r="A68" s="3">
        <v>167</v>
      </c>
      <c r="B68" s="5" t="s">
        <v>85</v>
      </c>
      <c r="C68" s="3" t="str">
        <f t="shared" si="11"/>
        <v>Priya Devkar</v>
      </c>
      <c r="D68" s="3" t="str">
        <f t="shared" si="12"/>
        <v>Priya Devkar</v>
      </c>
      <c r="E68" s="3" t="str">
        <f t="shared" si="13"/>
        <v>Priya Devkar</v>
      </c>
      <c r="F68" s="3" t="s">
        <v>14</v>
      </c>
      <c r="G68" s="4">
        <v>24430.9523809524</v>
      </c>
      <c r="H68" s="3">
        <f t="shared" si="14"/>
        <v>12215.4761904762</v>
      </c>
      <c r="I68" s="3">
        <f t="shared" si="15"/>
        <v>4886.1904761904798</v>
      </c>
      <c r="J68" s="3">
        <f t="shared" si="16"/>
        <v>2443.0952380952399</v>
      </c>
      <c r="K68" s="3">
        <f t="shared" si="17"/>
        <v>208.33333333333334</v>
      </c>
      <c r="L68" s="4">
        <f t="shared" si="18"/>
        <v>41532.619047619082</v>
      </c>
      <c r="M68" s="3">
        <f t="shared" si="19"/>
        <v>2651.4285714285734</v>
      </c>
      <c r="N68" s="4">
        <f t="shared" si="20"/>
        <v>38881.19047619051</v>
      </c>
    </row>
    <row r="69" spans="1:14" x14ac:dyDescent="0.3">
      <c r="A69" s="3">
        <v>168</v>
      </c>
      <c r="B69" s="5" t="s">
        <v>86</v>
      </c>
      <c r="C69" s="3" t="str">
        <f t="shared" si="11"/>
        <v>Neha Pawar</v>
      </c>
      <c r="D69" s="3" t="str">
        <f t="shared" si="12"/>
        <v>Neha Pawar</v>
      </c>
      <c r="E69" s="3" t="str">
        <f t="shared" si="13"/>
        <v>Neha Pawar</v>
      </c>
      <c r="F69" s="3" t="s">
        <v>12</v>
      </c>
      <c r="G69" s="4">
        <v>24552.3809523809</v>
      </c>
      <c r="H69" s="3">
        <f t="shared" si="14"/>
        <v>12276.19047619045</v>
      </c>
      <c r="I69" s="3">
        <f t="shared" si="15"/>
        <v>4910.4761904761799</v>
      </c>
      <c r="J69" s="3">
        <f t="shared" si="16"/>
        <v>2455.23809523809</v>
      </c>
      <c r="K69" s="3">
        <f t="shared" si="17"/>
        <v>208.33333333333334</v>
      </c>
      <c r="L69" s="4">
        <f t="shared" si="18"/>
        <v>41739.047619047531</v>
      </c>
      <c r="M69" s="3">
        <f t="shared" si="19"/>
        <v>2663.5714285714234</v>
      </c>
      <c r="N69" s="4">
        <f t="shared" si="20"/>
        <v>39075.476190476111</v>
      </c>
    </row>
    <row r="70" spans="1:14" x14ac:dyDescent="0.3">
      <c r="A70" s="3">
        <v>169</v>
      </c>
      <c r="B70" s="5" t="s">
        <v>87</v>
      </c>
      <c r="C70" s="3" t="str">
        <f t="shared" si="11"/>
        <v>Sadhana Yevale</v>
      </c>
      <c r="D70" s="3" t="str">
        <f t="shared" si="12"/>
        <v>Sadhana Yevale</v>
      </c>
      <c r="E70" s="3" t="str">
        <f t="shared" si="13"/>
        <v>Sadhana Yevale</v>
      </c>
      <c r="F70" s="3" t="s">
        <v>18</v>
      </c>
      <c r="G70" s="4">
        <v>24673.809523809501</v>
      </c>
      <c r="H70" s="3">
        <f t="shared" si="14"/>
        <v>12336.904761904751</v>
      </c>
      <c r="I70" s="3">
        <f t="shared" si="15"/>
        <v>4934.761904761901</v>
      </c>
      <c r="J70" s="3">
        <f t="shared" si="16"/>
        <v>2467.3809523809505</v>
      </c>
      <c r="K70" s="3">
        <f t="shared" si="17"/>
        <v>208.33333333333334</v>
      </c>
      <c r="L70" s="4">
        <f t="shared" si="18"/>
        <v>41945.476190476154</v>
      </c>
      <c r="M70" s="3">
        <f t="shared" si="19"/>
        <v>2675.714285714284</v>
      </c>
      <c r="N70" s="4">
        <f t="shared" si="20"/>
        <v>39269.761904761872</v>
      </c>
    </row>
    <row r="71" spans="1:14" x14ac:dyDescent="0.3">
      <c r="A71" s="3">
        <v>170</v>
      </c>
      <c r="B71" s="5" t="s">
        <v>88</v>
      </c>
      <c r="C71" s="3" t="str">
        <f t="shared" si="11"/>
        <v>kishori Aagarwal</v>
      </c>
      <c r="D71" s="3" t="str">
        <f t="shared" si="12"/>
        <v>Kishori Aagarwal</v>
      </c>
      <c r="E71" s="3" t="str">
        <f t="shared" si="13"/>
        <v>Kishori Aagarwal</v>
      </c>
      <c r="F71" s="3" t="s">
        <v>16</v>
      </c>
      <c r="G71" s="4">
        <v>24795.238095238099</v>
      </c>
      <c r="H71" s="3">
        <f t="shared" si="14"/>
        <v>12397.61904761905</v>
      </c>
      <c r="I71" s="3">
        <f t="shared" si="15"/>
        <v>4959.0476190476202</v>
      </c>
      <c r="J71" s="3">
        <f t="shared" si="16"/>
        <v>2479.5238095238101</v>
      </c>
      <c r="K71" s="3">
        <f t="shared" si="17"/>
        <v>208.33333333333334</v>
      </c>
      <c r="L71" s="4">
        <f t="shared" si="18"/>
        <v>42151.904761904763</v>
      </c>
      <c r="M71" s="3">
        <f t="shared" si="19"/>
        <v>2687.8571428571436</v>
      </c>
      <c r="N71" s="4">
        <f t="shared" si="20"/>
        <v>39464.047619047618</v>
      </c>
    </row>
    <row r="72" spans="1:14" x14ac:dyDescent="0.3">
      <c r="A72" s="3">
        <v>171</v>
      </c>
      <c r="B72" s="5" t="s">
        <v>89</v>
      </c>
      <c r="C72" s="3" t="str">
        <f t="shared" si="11"/>
        <v>Akshay kumar</v>
      </c>
      <c r="D72" s="3" t="str">
        <f t="shared" si="12"/>
        <v>Akshay Kumar</v>
      </c>
      <c r="E72" s="3" t="str">
        <f t="shared" si="13"/>
        <v>Akshay Kumar</v>
      </c>
      <c r="F72" s="3" t="s">
        <v>12</v>
      </c>
      <c r="G72" s="4">
        <v>24916.666666666701</v>
      </c>
      <c r="H72" s="3">
        <f t="shared" si="14"/>
        <v>12458.33333333335</v>
      </c>
      <c r="I72" s="3">
        <f t="shared" si="15"/>
        <v>4983.3333333333403</v>
      </c>
      <c r="J72" s="3">
        <f t="shared" si="16"/>
        <v>2491.6666666666702</v>
      </c>
      <c r="K72" s="3">
        <f t="shared" si="17"/>
        <v>208.33333333333334</v>
      </c>
      <c r="L72" s="4">
        <f t="shared" si="18"/>
        <v>42358.333333333394</v>
      </c>
      <c r="M72" s="3">
        <f t="shared" si="19"/>
        <v>2700.0000000000036</v>
      </c>
      <c r="N72" s="4">
        <f t="shared" si="20"/>
        <v>39658.333333333387</v>
      </c>
    </row>
    <row r="73" spans="1:14" x14ac:dyDescent="0.3">
      <c r="A73" s="3">
        <v>172</v>
      </c>
      <c r="B73" s="5" t="s">
        <v>90</v>
      </c>
      <c r="C73" s="3" t="str">
        <f t="shared" si="11"/>
        <v>Gauri Raut</v>
      </c>
      <c r="D73" s="3" t="str">
        <f t="shared" si="12"/>
        <v>Gauri Raut</v>
      </c>
      <c r="E73" s="3" t="str">
        <f t="shared" si="13"/>
        <v>Gauri Raut</v>
      </c>
      <c r="F73" s="3" t="s">
        <v>14</v>
      </c>
      <c r="G73" s="4">
        <v>25038.0952380952</v>
      </c>
      <c r="H73" s="3">
        <f t="shared" si="14"/>
        <v>12519.0476190476</v>
      </c>
      <c r="I73" s="3">
        <f t="shared" si="15"/>
        <v>5007.6190476190404</v>
      </c>
      <c r="J73" s="3">
        <f t="shared" si="16"/>
        <v>2503.8095238095202</v>
      </c>
      <c r="K73" s="3">
        <f t="shared" si="17"/>
        <v>208.33333333333334</v>
      </c>
      <c r="L73" s="4">
        <f t="shared" si="18"/>
        <v>42564.761904761835</v>
      </c>
      <c r="M73" s="3">
        <f t="shared" si="19"/>
        <v>2712.1428571428537</v>
      </c>
      <c r="N73" s="4">
        <f t="shared" si="20"/>
        <v>39852.61904761898</v>
      </c>
    </row>
    <row r="74" spans="1:14" x14ac:dyDescent="0.3">
      <c r="A74" s="3">
        <v>173</v>
      </c>
      <c r="B74" s="5" t="s">
        <v>91</v>
      </c>
      <c r="C74" s="3" t="str">
        <f t="shared" si="11"/>
        <v>Alisha Ghadge</v>
      </c>
      <c r="D74" s="3" t="str">
        <f t="shared" si="12"/>
        <v>Alisha Ghadge</v>
      </c>
      <c r="E74" s="3" t="str">
        <f t="shared" si="13"/>
        <v>Alisha Ghadge</v>
      </c>
      <c r="F74" s="3" t="s">
        <v>20</v>
      </c>
      <c r="G74" s="4">
        <v>25159.523809523798</v>
      </c>
      <c r="H74" s="3">
        <f t="shared" si="14"/>
        <v>12579.761904761899</v>
      </c>
      <c r="I74" s="3">
        <f t="shared" si="15"/>
        <v>5031.9047619047597</v>
      </c>
      <c r="J74" s="3">
        <f t="shared" si="16"/>
        <v>2515.9523809523798</v>
      </c>
      <c r="K74" s="3">
        <f t="shared" si="17"/>
        <v>208.33333333333334</v>
      </c>
      <c r="L74" s="4">
        <f t="shared" si="18"/>
        <v>42771.190476190459</v>
      </c>
      <c r="M74" s="3">
        <f t="shared" si="19"/>
        <v>2724.2857142857133</v>
      </c>
      <c r="N74" s="4">
        <f t="shared" si="20"/>
        <v>40046.904761904749</v>
      </c>
    </row>
    <row r="75" spans="1:14" x14ac:dyDescent="0.3">
      <c r="A75" s="3">
        <v>174</v>
      </c>
      <c r="B75" s="5" t="s">
        <v>92</v>
      </c>
      <c r="C75" s="3" t="str">
        <f t="shared" si="11"/>
        <v>Sharvari Nalawde</v>
      </c>
      <c r="D75" s="3" t="str">
        <f t="shared" si="12"/>
        <v>Sharvari Nalawde</v>
      </c>
      <c r="E75" s="3" t="str">
        <f t="shared" si="13"/>
        <v>Sharvari Nalawde</v>
      </c>
      <c r="F75" s="3" t="s">
        <v>18</v>
      </c>
      <c r="G75" s="4">
        <v>25280.9523809524</v>
      </c>
      <c r="H75" s="3">
        <f t="shared" si="14"/>
        <v>12640.4761904762</v>
      </c>
      <c r="I75" s="3">
        <f t="shared" si="15"/>
        <v>5056.1904761904807</v>
      </c>
      <c r="J75" s="3">
        <f t="shared" si="16"/>
        <v>2528.0952380952403</v>
      </c>
      <c r="K75" s="3">
        <f t="shared" si="17"/>
        <v>208.33333333333334</v>
      </c>
      <c r="L75" s="4">
        <f t="shared" si="18"/>
        <v>42977.619047619082</v>
      </c>
      <c r="M75" s="3">
        <f t="shared" si="19"/>
        <v>2736.4285714285738</v>
      </c>
      <c r="N75" s="4">
        <f t="shared" si="20"/>
        <v>40241.19047619051</v>
      </c>
    </row>
    <row r="76" spans="1:14" x14ac:dyDescent="0.3">
      <c r="A76" s="3">
        <v>175</v>
      </c>
      <c r="B76" s="5" t="s">
        <v>93</v>
      </c>
      <c r="C76" s="3" t="str">
        <f t="shared" si="11"/>
        <v>pooja Devkar</v>
      </c>
      <c r="D76" s="3" t="str">
        <f t="shared" si="12"/>
        <v>Pooja Devkar</v>
      </c>
      <c r="E76" s="3" t="str">
        <f t="shared" si="13"/>
        <v>Pooja Devkar</v>
      </c>
      <c r="F76" s="3" t="s">
        <v>16</v>
      </c>
      <c r="G76" s="4">
        <v>25402.3809523809</v>
      </c>
      <c r="H76" s="3">
        <f t="shared" si="14"/>
        <v>12701.19047619045</v>
      </c>
      <c r="I76" s="3">
        <f t="shared" si="15"/>
        <v>5080.4761904761799</v>
      </c>
      <c r="J76" s="3">
        <f t="shared" si="16"/>
        <v>2540.23809523809</v>
      </c>
      <c r="K76" s="3">
        <f t="shared" si="17"/>
        <v>208.33333333333334</v>
      </c>
      <c r="L76" s="4">
        <f t="shared" si="18"/>
        <v>43184.047619047531</v>
      </c>
      <c r="M76" s="3">
        <f t="shared" si="19"/>
        <v>2748.5714285714234</v>
      </c>
      <c r="N76" s="4">
        <f t="shared" si="20"/>
        <v>40435.476190476111</v>
      </c>
    </row>
    <row r="77" spans="1:14" x14ac:dyDescent="0.3">
      <c r="A77" s="3">
        <v>176</v>
      </c>
      <c r="B77" s="5" t="s">
        <v>94</v>
      </c>
      <c r="C77" s="3" t="str">
        <f t="shared" si="11"/>
        <v>Champa Chameli</v>
      </c>
      <c r="D77" s="3" t="str">
        <f t="shared" si="12"/>
        <v>Champa Chameli</v>
      </c>
      <c r="E77" s="3" t="str">
        <f t="shared" si="13"/>
        <v>Champa Chameli</v>
      </c>
      <c r="F77" s="3" t="s">
        <v>12</v>
      </c>
      <c r="G77" s="4">
        <v>25523.809523809501</v>
      </c>
      <c r="H77" s="3">
        <f t="shared" si="14"/>
        <v>12761.904761904751</v>
      </c>
      <c r="I77" s="3">
        <f t="shared" si="15"/>
        <v>5104.761904761901</v>
      </c>
      <c r="J77" s="3">
        <f t="shared" si="16"/>
        <v>2552.3809523809505</v>
      </c>
      <c r="K77" s="3">
        <f t="shared" si="17"/>
        <v>208.33333333333334</v>
      </c>
      <c r="L77" s="4">
        <f t="shared" si="18"/>
        <v>43390.476190476154</v>
      </c>
      <c r="M77" s="3">
        <f t="shared" si="19"/>
        <v>2760.714285714284</v>
      </c>
      <c r="N77" s="4">
        <f t="shared" si="20"/>
        <v>40629.761904761872</v>
      </c>
    </row>
    <row r="78" spans="1:14" x14ac:dyDescent="0.3">
      <c r="A78" s="3">
        <v>177</v>
      </c>
      <c r="B78" s="5" t="s">
        <v>95</v>
      </c>
      <c r="C78" s="3" t="str">
        <f t="shared" si="11"/>
        <v>Hari Gopal</v>
      </c>
      <c r="D78" s="3" t="str">
        <f t="shared" si="12"/>
        <v>Hari Gopal</v>
      </c>
      <c r="E78" s="3" t="str">
        <f t="shared" si="13"/>
        <v>Hari Gopal</v>
      </c>
      <c r="F78" s="3" t="s">
        <v>14</v>
      </c>
      <c r="G78" s="4">
        <v>25645.238095238099</v>
      </c>
      <c r="H78" s="3">
        <f t="shared" si="14"/>
        <v>12822.61904761905</v>
      </c>
      <c r="I78" s="3">
        <f t="shared" si="15"/>
        <v>5129.0476190476202</v>
      </c>
      <c r="J78" s="3">
        <f t="shared" si="16"/>
        <v>2564.5238095238101</v>
      </c>
      <c r="K78" s="3">
        <f t="shared" si="17"/>
        <v>208.33333333333334</v>
      </c>
      <c r="L78" s="4">
        <f t="shared" si="18"/>
        <v>43596.904761904763</v>
      </c>
      <c r="M78" s="3">
        <f t="shared" si="19"/>
        <v>2772.8571428571436</v>
      </c>
      <c r="N78" s="4">
        <f t="shared" si="20"/>
        <v>40824.047619047618</v>
      </c>
    </row>
    <row r="79" spans="1:14" x14ac:dyDescent="0.3">
      <c r="A79" s="3">
        <v>178</v>
      </c>
      <c r="B79" s="5" t="s">
        <v>96</v>
      </c>
      <c r="C79" s="3" t="str">
        <f t="shared" si="11"/>
        <v>Vidhi Sawant</v>
      </c>
      <c r="D79" s="3" t="str">
        <f t="shared" si="12"/>
        <v>Vidhi Sawant</v>
      </c>
      <c r="E79" s="3" t="str">
        <f t="shared" si="13"/>
        <v>Vidhi Sawant</v>
      </c>
      <c r="F79" s="3" t="s">
        <v>16</v>
      </c>
      <c r="G79" s="4">
        <v>25766.666666666701</v>
      </c>
      <c r="H79" s="3">
        <f t="shared" si="14"/>
        <v>12883.33333333335</v>
      </c>
      <c r="I79" s="3">
        <f t="shared" si="15"/>
        <v>5153.3333333333403</v>
      </c>
      <c r="J79" s="3">
        <f t="shared" si="16"/>
        <v>2576.6666666666702</v>
      </c>
      <c r="K79" s="3">
        <f t="shared" si="17"/>
        <v>208.33333333333334</v>
      </c>
      <c r="L79" s="4">
        <f t="shared" si="18"/>
        <v>43803.333333333394</v>
      </c>
      <c r="M79" s="3">
        <f t="shared" si="19"/>
        <v>2785.0000000000036</v>
      </c>
      <c r="N79" s="4">
        <f t="shared" si="20"/>
        <v>41018.333333333387</v>
      </c>
    </row>
    <row r="80" spans="1:14" x14ac:dyDescent="0.3">
      <c r="A80" s="3">
        <v>179</v>
      </c>
      <c r="B80" s="5" t="s">
        <v>97</v>
      </c>
      <c r="C80" s="3" t="str">
        <f t="shared" si="11"/>
        <v>Yogesh Valanj</v>
      </c>
      <c r="D80" s="3" t="str">
        <f t="shared" si="12"/>
        <v>Yogesh Valanj</v>
      </c>
      <c r="E80" s="3" t="str">
        <f t="shared" si="13"/>
        <v>Yogesh Valanj</v>
      </c>
      <c r="F80" s="3" t="s">
        <v>18</v>
      </c>
      <c r="G80" s="4">
        <v>25888.0952380952</v>
      </c>
      <c r="H80" s="3">
        <f t="shared" si="14"/>
        <v>12944.0476190476</v>
      </c>
      <c r="I80" s="3">
        <f t="shared" si="15"/>
        <v>5177.6190476190404</v>
      </c>
      <c r="J80" s="3">
        <f t="shared" si="16"/>
        <v>2588.8095238095202</v>
      </c>
      <c r="K80" s="3">
        <f t="shared" si="17"/>
        <v>208.33333333333334</v>
      </c>
      <c r="L80" s="4">
        <f t="shared" si="18"/>
        <v>44009.761904761835</v>
      </c>
      <c r="M80" s="3">
        <f t="shared" si="19"/>
        <v>2797.1428571428537</v>
      </c>
      <c r="N80" s="4">
        <f t="shared" si="20"/>
        <v>41212.61904761898</v>
      </c>
    </row>
    <row r="81" spans="1:14" x14ac:dyDescent="0.3">
      <c r="A81" s="3">
        <v>180</v>
      </c>
      <c r="B81" s="5" t="s">
        <v>98</v>
      </c>
      <c r="C81" s="3" t="str">
        <f t="shared" si="11"/>
        <v>Rohini Dhawale</v>
      </c>
      <c r="D81" s="3" t="str">
        <f t="shared" si="12"/>
        <v>Rohini Dhawale</v>
      </c>
      <c r="E81" s="3" t="str">
        <f t="shared" si="13"/>
        <v>Rohini Dhawale</v>
      </c>
      <c r="F81" s="3" t="s">
        <v>20</v>
      </c>
      <c r="G81" s="4">
        <v>26009.523809523798</v>
      </c>
      <c r="H81" s="3">
        <f t="shared" si="14"/>
        <v>13004.761904761899</v>
      </c>
      <c r="I81" s="3">
        <f t="shared" si="15"/>
        <v>5201.9047619047597</v>
      </c>
      <c r="J81" s="3">
        <f t="shared" si="16"/>
        <v>2600.9523809523798</v>
      </c>
      <c r="K81" s="3">
        <f t="shared" si="17"/>
        <v>208.33333333333334</v>
      </c>
      <c r="L81" s="4">
        <f t="shared" si="18"/>
        <v>44216.190476190459</v>
      </c>
      <c r="M81" s="3">
        <f t="shared" si="19"/>
        <v>2809.2857142857133</v>
      </c>
      <c r="N81" s="4">
        <f t="shared" si="20"/>
        <v>41406.904761904749</v>
      </c>
    </row>
    <row r="82" spans="1:14" x14ac:dyDescent="0.3">
      <c r="A82" s="3">
        <v>181</v>
      </c>
      <c r="B82" s="5" t="s">
        <v>99</v>
      </c>
      <c r="C82" s="3" t="str">
        <f t="shared" si="11"/>
        <v>Satish Dhanwate</v>
      </c>
      <c r="D82" s="3" t="str">
        <f t="shared" si="12"/>
        <v>Satish Dhanwate</v>
      </c>
      <c r="E82" s="3" t="str">
        <f t="shared" si="13"/>
        <v>Satish Dhanwate</v>
      </c>
      <c r="F82" s="3" t="s">
        <v>20</v>
      </c>
      <c r="G82" s="4">
        <v>26130.9523809524</v>
      </c>
      <c r="H82" s="3">
        <f t="shared" si="14"/>
        <v>13065.4761904762</v>
      </c>
      <c r="I82" s="3">
        <f t="shared" si="15"/>
        <v>5226.1904761904807</v>
      </c>
      <c r="J82" s="3">
        <f t="shared" si="16"/>
        <v>2613.0952380952403</v>
      </c>
      <c r="K82" s="3">
        <f t="shared" si="17"/>
        <v>208.33333333333334</v>
      </c>
      <c r="L82" s="4">
        <f t="shared" si="18"/>
        <v>44422.619047619082</v>
      </c>
      <c r="M82" s="3">
        <f t="shared" si="19"/>
        <v>2821.4285714285738</v>
      </c>
      <c r="N82" s="4">
        <f t="shared" si="20"/>
        <v>41601.19047619051</v>
      </c>
    </row>
    <row r="83" spans="1:14" x14ac:dyDescent="0.3">
      <c r="A83" s="3">
        <v>182</v>
      </c>
      <c r="B83" s="5" t="s">
        <v>100</v>
      </c>
      <c r="C83" s="3" t="str">
        <f t="shared" si="11"/>
        <v>Babita iyar</v>
      </c>
      <c r="D83" s="3" t="str">
        <f t="shared" si="12"/>
        <v>Babita Iyar</v>
      </c>
      <c r="E83" s="3" t="str">
        <f t="shared" si="13"/>
        <v>Babita Iyar</v>
      </c>
      <c r="F83" s="3" t="s">
        <v>14</v>
      </c>
      <c r="G83" s="4">
        <v>26252.3809523809</v>
      </c>
      <c r="H83" s="3">
        <f t="shared" si="14"/>
        <v>13126.19047619045</v>
      </c>
      <c r="I83" s="3">
        <f t="shared" si="15"/>
        <v>5250.4761904761799</v>
      </c>
      <c r="J83" s="3">
        <f t="shared" si="16"/>
        <v>2625.23809523809</v>
      </c>
      <c r="K83" s="3">
        <f t="shared" si="17"/>
        <v>208.33333333333334</v>
      </c>
      <c r="L83" s="4">
        <f t="shared" si="18"/>
        <v>44629.047619047531</v>
      </c>
      <c r="M83" s="3">
        <f t="shared" si="19"/>
        <v>2833.5714285714234</v>
      </c>
      <c r="N83" s="4">
        <f t="shared" si="20"/>
        <v>41795.476190476111</v>
      </c>
    </row>
    <row r="84" spans="1:14" x14ac:dyDescent="0.3">
      <c r="A84" s="3">
        <v>183</v>
      </c>
      <c r="B84" s="5" t="s">
        <v>101</v>
      </c>
      <c r="C84" s="3" t="str">
        <f t="shared" si="11"/>
        <v>Jethalal Gada</v>
      </c>
      <c r="D84" s="3" t="str">
        <f t="shared" si="12"/>
        <v>Jethalal Gada</v>
      </c>
      <c r="E84" s="3" t="str">
        <f t="shared" si="13"/>
        <v>Jethalal Gada</v>
      </c>
      <c r="F84" s="3" t="s">
        <v>12</v>
      </c>
      <c r="G84" s="4">
        <v>26373.809523809501</v>
      </c>
      <c r="H84" s="3">
        <f t="shared" si="14"/>
        <v>13186.904761904751</v>
      </c>
      <c r="I84" s="3">
        <f t="shared" si="15"/>
        <v>5274.761904761901</v>
      </c>
      <c r="J84" s="3">
        <f t="shared" si="16"/>
        <v>2637.3809523809505</v>
      </c>
      <c r="K84" s="3">
        <f t="shared" si="17"/>
        <v>208.33333333333334</v>
      </c>
      <c r="L84" s="4">
        <f t="shared" si="18"/>
        <v>44835.476190476154</v>
      </c>
      <c r="M84" s="3">
        <f t="shared" si="19"/>
        <v>2845.714285714284</v>
      </c>
      <c r="N84" s="4">
        <f t="shared" si="20"/>
        <v>41989.761904761872</v>
      </c>
    </row>
    <row r="85" spans="1:14" x14ac:dyDescent="0.3">
      <c r="A85" s="3">
        <v>184</v>
      </c>
      <c r="B85" s="5" t="s">
        <v>102</v>
      </c>
      <c r="C85" s="3" t="str">
        <f t="shared" si="11"/>
        <v>Sidhant Sawale</v>
      </c>
      <c r="D85" s="3" t="str">
        <f t="shared" si="12"/>
        <v>Sidhant Sawale</v>
      </c>
      <c r="E85" s="3" t="str">
        <f t="shared" si="13"/>
        <v>Sidhant Sawale</v>
      </c>
      <c r="F85" s="3" t="s">
        <v>18</v>
      </c>
      <c r="G85" s="4">
        <v>26495.238095238099</v>
      </c>
      <c r="H85" s="3">
        <f t="shared" si="14"/>
        <v>13247.61904761905</v>
      </c>
      <c r="I85" s="3">
        <f t="shared" si="15"/>
        <v>5299.0476190476202</v>
      </c>
      <c r="J85" s="3">
        <f t="shared" si="16"/>
        <v>2649.5238095238101</v>
      </c>
      <c r="K85" s="3">
        <f t="shared" si="17"/>
        <v>208.33333333333334</v>
      </c>
      <c r="L85" s="4">
        <f t="shared" si="18"/>
        <v>45041.904761904763</v>
      </c>
      <c r="M85" s="3">
        <f t="shared" si="19"/>
        <v>2857.8571428571436</v>
      </c>
      <c r="N85" s="4">
        <f t="shared" si="20"/>
        <v>42184.047619047618</v>
      </c>
    </row>
    <row r="86" spans="1:14" x14ac:dyDescent="0.3">
      <c r="A86" s="3">
        <v>185</v>
      </c>
      <c r="B86" s="5" t="s">
        <v>103</v>
      </c>
      <c r="C86" s="3" t="str">
        <f t="shared" si="11"/>
        <v>Nandini More</v>
      </c>
      <c r="D86" s="3" t="str">
        <f t="shared" si="12"/>
        <v>Nandini More</v>
      </c>
      <c r="E86" s="3" t="str">
        <f t="shared" si="13"/>
        <v>Nandini More</v>
      </c>
      <c r="F86" s="3" t="s">
        <v>16</v>
      </c>
      <c r="G86" s="4">
        <v>26616.666666666701</v>
      </c>
      <c r="H86" s="3">
        <f t="shared" si="14"/>
        <v>13308.33333333335</v>
      </c>
      <c r="I86" s="3">
        <f t="shared" si="15"/>
        <v>5323.3333333333403</v>
      </c>
      <c r="J86" s="3">
        <f t="shared" si="16"/>
        <v>2661.6666666666702</v>
      </c>
      <c r="K86" s="3">
        <f t="shared" si="17"/>
        <v>208.33333333333334</v>
      </c>
      <c r="L86" s="4">
        <f t="shared" si="18"/>
        <v>45248.333333333394</v>
      </c>
      <c r="M86" s="3">
        <f t="shared" si="19"/>
        <v>2870.0000000000036</v>
      </c>
      <c r="N86" s="4">
        <f t="shared" si="20"/>
        <v>42378.333333333387</v>
      </c>
    </row>
    <row r="87" spans="1:14" x14ac:dyDescent="0.3">
      <c r="A87" s="3">
        <v>186</v>
      </c>
      <c r="B87" s="5" t="s">
        <v>104</v>
      </c>
      <c r="C87" s="3" t="str">
        <f t="shared" si="11"/>
        <v>Ankur Warikko</v>
      </c>
      <c r="D87" s="3" t="str">
        <f t="shared" si="12"/>
        <v>Ankur Warikko</v>
      </c>
      <c r="E87" s="3" t="str">
        <f t="shared" si="13"/>
        <v>Ankur Warikko</v>
      </c>
      <c r="F87" s="3" t="s">
        <v>12</v>
      </c>
      <c r="G87" s="4">
        <v>26738.095238095299</v>
      </c>
      <c r="H87" s="3">
        <f t="shared" si="14"/>
        <v>13369.047619047649</v>
      </c>
      <c r="I87" s="3">
        <f t="shared" si="15"/>
        <v>5347.6190476190604</v>
      </c>
      <c r="J87" s="3">
        <f t="shared" si="16"/>
        <v>2673.8095238095302</v>
      </c>
      <c r="K87" s="3">
        <f t="shared" si="17"/>
        <v>208.33333333333334</v>
      </c>
      <c r="L87" s="4">
        <f t="shared" si="18"/>
        <v>45454.76190476201</v>
      </c>
      <c r="M87" s="3">
        <f t="shared" si="19"/>
        <v>2882.1428571428637</v>
      </c>
      <c r="N87" s="4">
        <f t="shared" si="20"/>
        <v>42572.619047619148</v>
      </c>
    </row>
    <row r="88" spans="1:14" x14ac:dyDescent="0.3">
      <c r="A88" s="3">
        <v>187</v>
      </c>
      <c r="B88" s="5" t="s">
        <v>105</v>
      </c>
      <c r="C88" s="3" t="str">
        <f t="shared" si="11"/>
        <v>Popatlal Bhopal</v>
      </c>
      <c r="D88" s="3" t="str">
        <f t="shared" si="12"/>
        <v>Popatlal Bhopal</v>
      </c>
      <c r="E88" s="3" t="str">
        <f t="shared" si="13"/>
        <v>Popatlal Bhopal</v>
      </c>
      <c r="F88" s="3" t="s">
        <v>14</v>
      </c>
      <c r="G88" s="4">
        <v>26859.523809523798</v>
      </c>
      <c r="H88" s="3">
        <f t="shared" si="14"/>
        <v>13429.761904761899</v>
      </c>
      <c r="I88" s="3">
        <f t="shared" si="15"/>
        <v>5371.9047619047597</v>
      </c>
      <c r="J88" s="3">
        <f t="shared" si="16"/>
        <v>2685.9523809523798</v>
      </c>
      <c r="K88" s="3">
        <f t="shared" si="17"/>
        <v>208.33333333333334</v>
      </c>
      <c r="L88" s="4">
        <f t="shared" si="18"/>
        <v>45661.190476190459</v>
      </c>
      <c r="M88" s="3">
        <f t="shared" si="19"/>
        <v>2894.2857142857133</v>
      </c>
      <c r="N88" s="4">
        <f t="shared" si="20"/>
        <v>42766.904761904749</v>
      </c>
    </row>
    <row r="89" spans="1:14" x14ac:dyDescent="0.3">
      <c r="A89" s="3">
        <v>188</v>
      </c>
      <c r="B89" s="5" t="s">
        <v>106</v>
      </c>
      <c r="C89" s="3" t="str">
        <f t="shared" si="11"/>
        <v>Luna Mehata</v>
      </c>
      <c r="D89" s="3" t="str">
        <f t="shared" si="12"/>
        <v>Luna Mehata</v>
      </c>
      <c r="E89" s="3" t="str">
        <f t="shared" si="13"/>
        <v>Luna Mehata</v>
      </c>
      <c r="F89" s="3" t="s">
        <v>20</v>
      </c>
      <c r="G89" s="4">
        <v>26980.9523809524</v>
      </c>
      <c r="H89" s="3">
        <f t="shared" si="14"/>
        <v>13490.4761904762</v>
      </c>
      <c r="I89" s="3">
        <f t="shared" si="15"/>
        <v>5396.1904761904807</v>
      </c>
      <c r="J89" s="3">
        <f t="shared" si="16"/>
        <v>2698.0952380952403</v>
      </c>
      <c r="K89" s="3">
        <f t="shared" si="17"/>
        <v>208.33333333333334</v>
      </c>
      <c r="L89" s="4">
        <f t="shared" si="18"/>
        <v>45867.619047619082</v>
      </c>
      <c r="M89" s="3">
        <f t="shared" si="19"/>
        <v>2906.4285714285738</v>
      </c>
      <c r="N89" s="4">
        <f t="shared" si="20"/>
        <v>42961.19047619051</v>
      </c>
    </row>
    <row r="90" spans="1:14" x14ac:dyDescent="0.3">
      <c r="A90" s="3">
        <v>189</v>
      </c>
      <c r="B90" t="s">
        <v>81</v>
      </c>
      <c r="C90" s="3" t="str">
        <f t="shared" si="11"/>
        <v>jakhir Ali</v>
      </c>
      <c r="D90" s="3" t="str">
        <f t="shared" si="12"/>
        <v>Jakhir Ali</v>
      </c>
      <c r="E90" s="3" t="str">
        <f t="shared" si="13"/>
        <v>Jakhir Ali</v>
      </c>
      <c r="F90" s="3" t="s">
        <v>18</v>
      </c>
      <c r="G90" s="4">
        <v>27102.380952381001</v>
      </c>
      <c r="H90" s="3">
        <f t="shared" si="14"/>
        <v>13551.190476190501</v>
      </c>
      <c r="I90" s="3">
        <f t="shared" si="15"/>
        <v>5420.4761904762008</v>
      </c>
      <c r="J90" s="3">
        <f t="shared" si="16"/>
        <v>2710.2380952381004</v>
      </c>
      <c r="K90" s="3">
        <f t="shared" si="17"/>
        <v>208.33333333333334</v>
      </c>
      <c r="L90" s="4">
        <f t="shared" si="18"/>
        <v>46074.047619047698</v>
      </c>
      <c r="M90" s="3">
        <f t="shared" si="19"/>
        <v>2918.5714285714339</v>
      </c>
      <c r="N90" s="4">
        <f t="shared" si="20"/>
        <v>43155.476190476264</v>
      </c>
    </row>
    <row r="91" spans="1:14" x14ac:dyDescent="0.3">
      <c r="A91" s="3">
        <v>190</v>
      </c>
      <c r="B91" t="s">
        <v>80</v>
      </c>
      <c r="C91" s="3" t="str">
        <f t="shared" si="11"/>
        <v>tina</v>
      </c>
      <c r="D91" s="3" t="str">
        <f t="shared" si="12"/>
        <v>Tina</v>
      </c>
      <c r="E91" s="3" t="str">
        <f t="shared" si="13"/>
        <v>Tina</v>
      </c>
      <c r="F91" s="3" t="s">
        <v>16</v>
      </c>
      <c r="G91" s="4">
        <v>27223.809523809599</v>
      </c>
      <c r="H91" s="3">
        <f t="shared" si="14"/>
        <v>13611.9047619048</v>
      </c>
      <c r="I91" s="3">
        <f t="shared" si="15"/>
        <v>5444.7619047619201</v>
      </c>
      <c r="J91" s="3">
        <f t="shared" si="16"/>
        <v>2722.38095238096</v>
      </c>
      <c r="K91" s="3">
        <f t="shared" si="17"/>
        <v>208.33333333333334</v>
      </c>
      <c r="L91" s="4">
        <f t="shared" si="18"/>
        <v>46280.476190476322</v>
      </c>
      <c r="M91" s="3">
        <f t="shared" si="19"/>
        <v>2930.7142857142935</v>
      </c>
      <c r="N91" s="4">
        <f t="shared" si="20"/>
        <v>43349.761904762025</v>
      </c>
    </row>
    <row r="92" spans="1:14" x14ac:dyDescent="0.3">
      <c r="A92" s="3">
        <v>191</v>
      </c>
      <c r="B92" t="s">
        <v>79</v>
      </c>
      <c r="C92" s="3" t="str">
        <f t="shared" si="11"/>
        <v>Aarti Nawale</v>
      </c>
      <c r="D92" s="3" t="str">
        <f t="shared" si="12"/>
        <v>Aarti Nawale</v>
      </c>
      <c r="E92" s="3" t="str">
        <f t="shared" si="13"/>
        <v>Aarti Nawale</v>
      </c>
      <c r="F92" s="3" t="s">
        <v>12</v>
      </c>
      <c r="G92" s="4">
        <v>27345.238095238099</v>
      </c>
      <c r="H92" s="3">
        <f t="shared" si="14"/>
        <v>13672.61904761905</v>
      </c>
      <c r="I92" s="3">
        <f t="shared" si="15"/>
        <v>5469.0476190476202</v>
      </c>
      <c r="J92" s="3">
        <f t="shared" si="16"/>
        <v>2734.5238095238101</v>
      </c>
      <c r="K92" s="3">
        <f t="shared" si="17"/>
        <v>208.33333333333334</v>
      </c>
      <c r="L92" s="4">
        <f t="shared" si="18"/>
        <v>46486.904761904763</v>
      </c>
      <c r="M92" s="3">
        <f t="shared" si="19"/>
        <v>2942.8571428571436</v>
      </c>
      <c r="N92" s="4">
        <f t="shared" si="20"/>
        <v>43544.047619047618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7F4F-F6EB-444A-842D-06D50FE2D368}">
  <dimension ref="A1:K93"/>
  <sheetViews>
    <sheetView workbookViewId="0">
      <selection activeCell="C10" sqref="C10"/>
    </sheetView>
  </sheetViews>
  <sheetFormatPr defaultRowHeight="14.4" x14ac:dyDescent="0.3"/>
  <cols>
    <col min="2" max="2" width="16.77734375" customWidth="1"/>
    <col min="3" max="3" width="13" bestFit="1" customWidth="1"/>
  </cols>
  <sheetData>
    <row r="1" spans="1:11" ht="19.8" x14ac:dyDescent="0.4">
      <c r="C1" s="9" t="s">
        <v>125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s="3">
        <v>101</v>
      </c>
      <c r="B3" s="3" t="s">
        <v>11</v>
      </c>
      <c r="C3" s="3" t="s">
        <v>12</v>
      </c>
      <c r="D3" s="4">
        <v>15000</v>
      </c>
      <c r="E3" s="3">
        <f>D3*50%</f>
        <v>7500</v>
      </c>
      <c r="F3" s="3">
        <f>D3*20%</f>
        <v>3000</v>
      </c>
      <c r="G3" s="3">
        <f>D3*10%</f>
        <v>1500</v>
      </c>
      <c r="H3" s="3">
        <f>2500/12</f>
        <v>208.33333333333334</v>
      </c>
      <c r="I3" s="4">
        <f>SUM(D3:F3)</f>
        <v>25500</v>
      </c>
      <c r="J3" s="3">
        <f>SUM(G3:H3)</f>
        <v>1708.3333333333333</v>
      </c>
      <c r="K3" s="4">
        <f>I3-J3</f>
        <v>23791.666666666668</v>
      </c>
    </row>
    <row r="4" spans="1:11" x14ac:dyDescent="0.3">
      <c r="A4" s="3">
        <v>102</v>
      </c>
      <c r="B4" s="3" t="s">
        <v>13</v>
      </c>
      <c r="C4" s="3" t="s">
        <v>14</v>
      </c>
      <c r="D4" s="4">
        <v>18000</v>
      </c>
      <c r="E4" s="3">
        <f t="shared" ref="E4:E17" si="0">D4*50%</f>
        <v>9000</v>
      </c>
      <c r="F4" s="3">
        <f t="shared" ref="F4:F17" si="1">D4*20%</f>
        <v>3600</v>
      </c>
      <c r="G4" s="3">
        <f t="shared" ref="G4:G17" si="2">D4*10%</f>
        <v>1800</v>
      </c>
      <c r="H4" s="3">
        <f t="shared" ref="H4:H17" si="3">2500/12</f>
        <v>208.33333333333334</v>
      </c>
      <c r="I4" s="4">
        <f t="shared" ref="I4:I17" si="4">SUM(D4:F4)</f>
        <v>30600</v>
      </c>
      <c r="J4" s="3">
        <f t="shared" ref="J4:J17" si="5">SUM(G4:H4)</f>
        <v>2008.3333333333333</v>
      </c>
      <c r="K4" s="4">
        <f t="shared" ref="K4:K17" si="6">I4-J4</f>
        <v>28591.666666666668</v>
      </c>
    </row>
    <row r="5" spans="1:11" x14ac:dyDescent="0.3">
      <c r="A5" s="3">
        <v>103</v>
      </c>
      <c r="B5" s="3" t="s">
        <v>15</v>
      </c>
      <c r="C5" s="3" t="s">
        <v>16</v>
      </c>
      <c r="D5" s="4">
        <v>16000</v>
      </c>
      <c r="E5" s="3">
        <f t="shared" si="0"/>
        <v>8000</v>
      </c>
      <c r="F5" s="3">
        <f t="shared" si="1"/>
        <v>3200</v>
      </c>
      <c r="G5" s="3">
        <f t="shared" si="2"/>
        <v>1600</v>
      </c>
      <c r="H5" s="3">
        <f t="shared" si="3"/>
        <v>208.33333333333334</v>
      </c>
      <c r="I5" s="4">
        <f t="shared" si="4"/>
        <v>27200</v>
      </c>
      <c r="J5" s="3">
        <f t="shared" si="5"/>
        <v>1808.3333333333333</v>
      </c>
      <c r="K5" s="4">
        <f t="shared" si="6"/>
        <v>25391.666666666668</v>
      </c>
    </row>
    <row r="6" spans="1:11" x14ac:dyDescent="0.3">
      <c r="A6" s="3">
        <v>104</v>
      </c>
      <c r="B6" s="3" t="s">
        <v>17</v>
      </c>
      <c r="C6" s="3" t="s">
        <v>18</v>
      </c>
      <c r="D6" s="4">
        <v>17000</v>
      </c>
      <c r="E6" s="3">
        <f t="shared" si="0"/>
        <v>8500</v>
      </c>
      <c r="F6" s="3">
        <f t="shared" si="1"/>
        <v>3400</v>
      </c>
      <c r="G6" s="3">
        <f t="shared" si="2"/>
        <v>1700</v>
      </c>
      <c r="H6" s="3">
        <f t="shared" si="3"/>
        <v>208.33333333333334</v>
      </c>
      <c r="I6" s="4">
        <f t="shared" si="4"/>
        <v>28900</v>
      </c>
      <c r="J6" s="3">
        <f t="shared" si="5"/>
        <v>1908.3333333333333</v>
      </c>
      <c r="K6" s="4">
        <f t="shared" si="6"/>
        <v>26991.666666666668</v>
      </c>
    </row>
    <row r="7" spans="1:11" x14ac:dyDescent="0.3">
      <c r="A7" s="3">
        <v>105</v>
      </c>
      <c r="B7" s="3" t="s">
        <v>19</v>
      </c>
      <c r="C7" s="3" t="s">
        <v>20</v>
      </c>
      <c r="D7" s="4">
        <v>20000</v>
      </c>
      <c r="E7" s="3">
        <f t="shared" si="0"/>
        <v>10000</v>
      </c>
      <c r="F7" s="3">
        <f t="shared" si="1"/>
        <v>4000</v>
      </c>
      <c r="G7" s="3">
        <f t="shared" si="2"/>
        <v>2000</v>
      </c>
      <c r="H7" s="3">
        <f t="shared" si="3"/>
        <v>208.33333333333334</v>
      </c>
      <c r="I7" s="4">
        <f t="shared" si="4"/>
        <v>34000</v>
      </c>
      <c r="J7" s="3">
        <f t="shared" si="5"/>
        <v>2208.3333333333335</v>
      </c>
      <c r="K7" s="4">
        <f t="shared" si="6"/>
        <v>31791.666666666668</v>
      </c>
    </row>
    <row r="8" spans="1:11" x14ac:dyDescent="0.3">
      <c r="A8" s="3">
        <v>106</v>
      </c>
      <c r="B8" s="3" t="s">
        <v>21</v>
      </c>
      <c r="C8" s="3" t="s">
        <v>20</v>
      </c>
      <c r="D8" s="4">
        <v>21000</v>
      </c>
      <c r="E8" s="3">
        <f t="shared" si="0"/>
        <v>10500</v>
      </c>
      <c r="F8" s="3">
        <f t="shared" si="1"/>
        <v>4200</v>
      </c>
      <c r="G8" s="3">
        <f t="shared" si="2"/>
        <v>2100</v>
      </c>
      <c r="H8" s="3">
        <f t="shared" si="3"/>
        <v>208.33333333333334</v>
      </c>
      <c r="I8" s="4">
        <f t="shared" si="4"/>
        <v>35700</v>
      </c>
      <c r="J8" s="3">
        <f t="shared" si="5"/>
        <v>2308.3333333333335</v>
      </c>
      <c r="K8" s="4">
        <f t="shared" si="6"/>
        <v>33391.666666666664</v>
      </c>
    </row>
    <row r="9" spans="1:11" x14ac:dyDescent="0.3">
      <c r="A9" s="3">
        <v>107</v>
      </c>
      <c r="B9" s="3" t="s">
        <v>22</v>
      </c>
      <c r="C9" s="3" t="s">
        <v>14</v>
      </c>
      <c r="D9" s="4">
        <v>13000</v>
      </c>
      <c r="E9" s="3">
        <f t="shared" si="0"/>
        <v>6500</v>
      </c>
      <c r="F9" s="3">
        <f t="shared" si="1"/>
        <v>2600</v>
      </c>
      <c r="G9" s="3">
        <f t="shared" si="2"/>
        <v>1300</v>
      </c>
      <c r="H9" s="3">
        <f t="shared" si="3"/>
        <v>208.33333333333334</v>
      </c>
      <c r="I9" s="4">
        <f t="shared" si="4"/>
        <v>22100</v>
      </c>
      <c r="J9" s="3">
        <f t="shared" si="5"/>
        <v>1508.3333333333333</v>
      </c>
      <c r="K9" s="4">
        <f t="shared" si="6"/>
        <v>20591.666666666668</v>
      </c>
    </row>
    <row r="10" spans="1:11" x14ac:dyDescent="0.3">
      <c r="A10" s="3">
        <v>108</v>
      </c>
      <c r="B10" s="3" t="s">
        <v>23</v>
      </c>
      <c r="C10" s="3">
        <f ca="1">IFERROR(VLOOKUP(A10,$A$3:$K$17,3,0),"Data Not Found")</f>
        <v>0</v>
      </c>
      <c r="D10" s="4">
        <v>14000</v>
      </c>
      <c r="E10" s="3">
        <f t="shared" si="0"/>
        <v>7000</v>
      </c>
      <c r="F10" s="3">
        <f t="shared" si="1"/>
        <v>2800</v>
      </c>
      <c r="G10" s="3">
        <f t="shared" si="2"/>
        <v>1400</v>
      </c>
      <c r="H10" s="3">
        <f t="shared" si="3"/>
        <v>208.33333333333334</v>
      </c>
      <c r="I10" s="4">
        <f t="shared" si="4"/>
        <v>23800</v>
      </c>
      <c r="J10" s="3">
        <f t="shared" si="5"/>
        <v>1608.3333333333333</v>
      </c>
      <c r="K10" s="4">
        <f t="shared" si="6"/>
        <v>22191.666666666668</v>
      </c>
    </row>
    <row r="11" spans="1:11" x14ac:dyDescent="0.3">
      <c r="A11" s="3">
        <v>109</v>
      </c>
      <c r="B11" s="3" t="s">
        <v>24</v>
      </c>
      <c r="C11" s="3" t="s">
        <v>18</v>
      </c>
      <c r="D11" s="4">
        <v>17000</v>
      </c>
      <c r="E11" s="3">
        <f t="shared" si="0"/>
        <v>8500</v>
      </c>
      <c r="F11" s="3">
        <f t="shared" si="1"/>
        <v>3400</v>
      </c>
      <c r="G11" s="3">
        <f t="shared" si="2"/>
        <v>1700</v>
      </c>
      <c r="H11" s="3">
        <f t="shared" si="3"/>
        <v>208.33333333333334</v>
      </c>
      <c r="I11" s="4">
        <f t="shared" si="4"/>
        <v>28900</v>
      </c>
      <c r="J11" s="3">
        <f t="shared" si="5"/>
        <v>1908.3333333333333</v>
      </c>
      <c r="K11" s="4">
        <f t="shared" si="6"/>
        <v>26991.666666666668</v>
      </c>
    </row>
    <row r="12" spans="1:11" x14ac:dyDescent="0.3">
      <c r="A12" s="3">
        <v>110</v>
      </c>
      <c r="B12" s="3" t="s">
        <v>25</v>
      </c>
      <c r="C12" s="3" t="s">
        <v>16</v>
      </c>
      <c r="D12" s="4">
        <v>21000</v>
      </c>
      <c r="E12" s="3">
        <f t="shared" si="0"/>
        <v>10500</v>
      </c>
      <c r="F12" s="3">
        <f t="shared" si="1"/>
        <v>4200</v>
      </c>
      <c r="G12" s="3">
        <f t="shared" si="2"/>
        <v>2100</v>
      </c>
      <c r="H12" s="3">
        <f t="shared" si="3"/>
        <v>208.33333333333334</v>
      </c>
      <c r="I12" s="4">
        <f t="shared" si="4"/>
        <v>35700</v>
      </c>
      <c r="J12" s="3">
        <f t="shared" si="5"/>
        <v>2308.3333333333335</v>
      </c>
      <c r="K12" s="4">
        <f t="shared" si="6"/>
        <v>33391.666666666664</v>
      </c>
    </row>
    <row r="13" spans="1:11" x14ac:dyDescent="0.3">
      <c r="A13" s="3">
        <v>111</v>
      </c>
      <c r="B13" s="3" t="s">
        <v>26</v>
      </c>
      <c r="C13" s="3" t="s">
        <v>12</v>
      </c>
      <c r="D13" s="4">
        <v>19000</v>
      </c>
      <c r="E13" s="3">
        <f t="shared" si="0"/>
        <v>9500</v>
      </c>
      <c r="F13" s="3">
        <f t="shared" si="1"/>
        <v>3800</v>
      </c>
      <c r="G13" s="3">
        <f t="shared" si="2"/>
        <v>1900</v>
      </c>
      <c r="H13" s="3">
        <f t="shared" si="3"/>
        <v>208.33333333333334</v>
      </c>
      <c r="I13" s="4">
        <f t="shared" si="4"/>
        <v>32300</v>
      </c>
      <c r="J13" s="3">
        <f t="shared" si="5"/>
        <v>2108.3333333333335</v>
      </c>
      <c r="K13" s="4">
        <f t="shared" si="6"/>
        <v>30191.666666666668</v>
      </c>
    </row>
    <row r="14" spans="1:11" x14ac:dyDescent="0.3">
      <c r="A14" s="3">
        <v>112</v>
      </c>
      <c r="B14" s="3" t="s">
        <v>27</v>
      </c>
      <c r="C14" s="3" t="s">
        <v>14</v>
      </c>
      <c r="D14" s="4">
        <v>12000</v>
      </c>
      <c r="E14" s="3">
        <f t="shared" si="0"/>
        <v>6000</v>
      </c>
      <c r="F14" s="3">
        <f t="shared" si="1"/>
        <v>2400</v>
      </c>
      <c r="G14" s="3">
        <f t="shared" si="2"/>
        <v>1200</v>
      </c>
      <c r="H14" s="3">
        <f t="shared" si="3"/>
        <v>208.33333333333334</v>
      </c>
      <c r="I14" s="4">
        <f t="shared" si="4"/>
        <v>20400</v>
      </c>
      <c r="J14" s="3">
        <f t="shared" si="5"/>
        <v>1408.3333333333333</v>
      </c>
      <c r="K14" s="4">
        <f t="shared" si="6"/>
        <v>18991.666666666668</v>
      </c>
    </row>
    <row r="15" spans="1:11" x14ac:dyDescent="0.3">
      <c r="A15" s="3">
        <v>113</v>
      </c>
      <c r="B15" s="3" t="s">
        <v>28</v>
      </c>
      <c r="C15" s="3" t="s">
        <v>20</v>
      </c>
      <c r="D15" s="4">
        <v>13000</v>
      </c>
      <c r="E15" s="3">
        <f t="shared" si="0"/>
        <v>6500</v>
      </c>
      <c r="F15" s="3">
        <f t="shared" si="1"/>
        <v>2600</v>
      </c>
      <c r="G15" s="3">
        <f t="shared" si="2"/>
        <v>1300</v>
      </c>
      <c r="H15" s="3">
        <f t="shared" si="3"/>
        <v>208.33333333333334</v>
      </c>
      <c r="I15" s="4">
        <f t="shared" si="4"/>
        <v>22100</v>
      </c>
      <c r="J15" s="3">
        <f t="shared" si="5"/>
        <v>1508.3333333333333</v>
      </c>
      <c r="K15" s="4">
        <f t="shared" si="6"/>
        <v>20591.666666666668</v>
      </c>
    </row>
    <row r="16" spans="1:11" x14ac:dyDescent="0.3">
      <c r="A16" s="3">
        <v>114</v>
      </c>
      <c r="B16" s="3" t="s">
        <v>29</v>
      </c>
      <c r="C16" s="3" t="s">
        <v>18</v>
      </c>
      <c r="D16" s="4">
        <v>20000</v>
      </c>
      <c r="E16" s="3">
        <f t="shared" si="0"/>
        <v>10000</v>
      </c>
      <c r="F16" s="3">
        <f t="shared" si="1"/>
        <v>4000</v>
      </c>
      <c r="G16" s="3">
        <f t="shared" si="2"/>
        <v>2000</v>
      </c>
      <c r="H16" s="3">
        <f t="shared" si="3"/>
        <v>208.33333333333334</v>
      </c>
      <c r="I16" s="4">
        <f t="shared" si="4"/>
        <v>34000</v>
      </c>
      <c r="J16" s="3">
        <f t="shared" si="5"/>
        <v>2208.3333333333335</v>
      </c>
      <c r="K16" s="4">
        <f t="shared" si="6"/>
        <v>31791.666666666668</v>
      </c>
    </row>
    <row r="17" spans="1:11" x14ac:dyDescent="0.3">
      <c r="A17" s="3">
        <v>115</v>
      </c>
      <c r="B17" s="3" t="s">
        <v>30</v>
      </c>
      <c r="C17" s="3" t="s">
        <v>16</v>
      </c>
      <c r="D17" s="4">
        <v>23000</v>
      </c>
      <c r="E17" s="3">
        <f t="shared" si="0"/>
        <v>11500</v>
      </c>
      <c r="F17" s="3">
        <f t="shared" si="1"/>
        <v>4600</v>
      </c>
      <c r="G17" s="3">
        <f t="shared" si="2"/>
        <v>2300</v>
      </c>
      <c r="H17" s="3">
        <f t="shared" si="3"/>
        <v>208.33333333333334</v>
      </c>
      <c r="I17" s="4">
        <f t="shared" si="4"/>
        <v>39100</v>
      </c>
      <c r="J17" s="3">
        <f t="shared" si="5"/>
        <v>2508.3333333333335</v>
      </c>
      <c r="K17" s="4">
        <f t="shared" si="6"/>
        <v>36591.666666666664</v>
      </c>
    </row>
    <row r="18" spans="1:11" x14ac:dyDescent="0.3">
      <c r="A18">
        <f>VLOOKUP('Clean Data'!A17,'Clean Data'!A2:K92,1,0)</f>
        <v>116</v>
      </c>
      <c r="B18" t="str">
        <f>VLOOKUP('Clean Data'!A17,'Clean Data'!$A$2:$K$92,2,0)</f>
        <v>Aman</v>
      </c>
    </row>
    <row r="19" spans="1:11" x14ac:dyDescent="0.3">
      <c r="A19">
        <f>VLOOKUP('Clean Data'!A18,'Clean Data'!A3:K93,1,0)</f>
        <v>117</v>
      </c>
      <c r="B19" t="str">
        <f>VLOOKUP('Clean Data'!A18,'Clean Data'!A3:K93,2,0)</f>
        <v>Raju Edhe</v>
      </c>
    </row>
    <row r="20" spans="1:11" x14ac:dyDescent="0.3">
      <c r="A20">
        <f>VLOOKUP('Clean Data'!A19,'Clean Data'!A4:K94,1,0)</f>
        <v>118</v>
      </c>
      <c r="B20" t="str">
        <f>VLOOKUP('Clean Data'!A19,'Clean Data'!A4:K94,2,0)</f>
        <v>manurama</v>
      </c>
    </row>
    <row r="21" spans="1:11" x14ac:dyDescent="0.3">
      <c r="A21">
        <f>VLOOKUP('Clean Data'!A20,'Clean Data'!A5:K95,1,0)</f>
        <v>119</v>
      </c>
      <c r="B21" t="str">
        <f>VLOOKUP('Clean Data'!A20,'Clean Data'!A5:K95,2,0)</f>
        <v>Akshay</v>
      </c>
    </row>
    <row r="22" spans="1:11" x14ac:dyDescent="0.3">
      <c r="A22">
        <f>VLOOKUP('Clean Data'!A21,'Clean Data'!A6:K96,1,0)</f>
        <v>120</v>
      </c>
      <c r="B22" t="str">
        <f>VLOOKUP('Clean Data'!A21,'Clean Data'!A6:K96,2,0)</f>
        <v>Mina Kumari</v>
      </c>
    </row>
    <row r="23" spans="1:11" x14ac:dyDescent="0.3">
      <c r="A23">
        <f>VLOOKUP('Clean Data'!A22,'Clean Data'!A7:K97,1,0)</f>
        <v>121</v>
      </c>
      <c r="B23" t="str">
        <f>VLOOKUP('Clean Data'!A22,'Clean Data'!A7:K97,2,0)</f>
        <v>Sagar Kusalkar</v>
      </c>
    </row>
    <row r="24" spans="1:11" x14ac:dyDescent="0.3">
      <c r="A24">
        <f>VLOOKUP('Clean Data'!A23,'Clean Data'!A8:K98,1,0)</f>
        <v>122</v>
      </c>
      <c r="B24" t="str">
        <f>VLOOKUP('Clean Data'!A23,'Clean Data'!A8:K98,2,0)</f>
        <v>Santosh Kusalkar</v>
      </c>
    </row>
    <row r="25" spans="1:11" x14ac:dyDescent="0.3">
      <c r="A25">
        <f>VLOOKUP('Clean Data'!A24,'Clean Data'!A9:K99,1,0)</f>
        <v>123</v>
      </c>
      <c r="B25" t="str">
        <f>VLOOKUP('Clean Data'!A24,'Clean Data'!A9:K99,2,0)</f>
        <v>Aditya Bhode</v>
      </c>
    </row>
    <row r="26" spans="1:11" x14ac:dyDescent="0.3">
      <c r="A26">
        <f>VLOOKUP('Clean Data'!A25,'Clean Data'!A10:K100,1,0)</f>
        <v>124</v>
      </c>
      <c r="B26" t="str">
        <f>VLOOKUP('Clean Data'!A25,'Clean Data'!A10:K100,2,0)</f>
        <v>Sahil Doundkar</v>
      </c>
    </row>
    <row r="27" spans="1:11" x14ac:dyDescent="0.3">
      <c r="A27">
        <f>VLOOKUP('Clean Data'!A26,'Clean Data'!A11:K101,1,0)</f>
        <v>125</v>
      </c>
      <c r="B27" t="str">
        <f>VLOOKUP('Clean Data'!A26,'Clean Data'!A11:K101,2,0)</f>
        <v>Ajay Rathod</v>
      </c>
    </row>
    <row r="28" spans="1:11" x14ac:dyDescent="0.3">
      <c r="A28">
        <f>VLOOKUP('Clean Data'!A27,'Clean Data'!A12:K102,1,0)</f>
        <v>126</v>
      </c>
      <c r="B28" t="str">
        <f>VLOOKUP('Clean Data'!A27,'Clean Data'!A12:K102,2,0)</f>
        <v>Vaishnavi Alandkar</v>
      </c>
    </row>
    <row r="29" spans="1:11" x14ac:dyDescent="0.3">
      <c r="A29">
        <f>VLOOKUP('Clean Data'!A28,'Clean Data'!A13:K103,1,0)</f>
        <v>127</v>
      </c>
      <c r="B29" t="str">
        <f>VLOOKUP('Clean Data'!A28,'Clean Data'!A13:K103,2,0)</f>
        <v>Manish Verma</v>
      </c>
    </row>
    <row r="30" spans="1:11" x14ac:dyDescent="0.3">
      <c r="A30">
        <f>VLOOKUP('Clean Data'!A29,'Clean Data'!A14:K104,1,0)</f>
        <v>128</v>
      </c>
      <c r="B30" t="str">
        <f>VLOOKUP('Clean Data'!A29,'Clean Data'!A14:K104,2,0)</f>
        <v xml:space="preserve">Jyoti Verma  </v>
      </c>
    </row>
    <row r="31" spans="1:11" x14ac:dyDescent="0.3">
      <c r="A31">
        <f>VLOOKUP('Clean Data'!A30,'Clean Data'!A15:K105,1,0)</f>
        <v>129</v>
      </c>
      <c r="B31" t="str">
        <f>VLOOKUP('Clean Data'!A30,'Clean Data'!A15:K105,2,0)</f>
        <v>Dimpal kapadya</v>
      </c>
    </row>
    <row r="32" spans="1:11" x14ac:dyDescent="0.3">
      <c r="A32">
        <f>VLOOKUP('Clean Data'!A31,'Clean Data'!A16:K106,1,0)</f>
        <v>130</v>
      </c>
      <c r="B32" t="str">
        <f>VLOOKUP('Clean Data'!A31,'Clean Data'!A16:K106,2,0)</f>
        <v>Shorya Pingle</v>
      </c>
    </row>
    <row r="33" spans="1:2" x14ac:dyDescent="0.3">
      <c r="A33">
        <f>VLOOKUP('Clean Data'!A32,'Clean Data'!A17:K107,1,0)</f>
        <v>131</v>
      </c>
      <c r="B33" t="str">
        <f>VLOOKUP('Clean Data'!A32,'Clean Data'!A17:K107,2,0)</f>
        <v>Vanita Dhole</v>
      </c>
    </row>
    <row r="34" spans="1:2" x14ac:dyDescent="0.3">
      <c r="A34">
        <f>VLOOKUP('Clean Data'!A33,'Clean Data'!A18:K108,1,0)</f>
        <v>132</v>
      </c>
      <c r="B34" t="str">
        <f>VLOOKUP('Clean Data'!A33,'Clean Data'!A18:K108,2,0)</f>
        <v xml:space="preserve">Aradhya ghode </v>
      </c>
    </row>
    <row r="35" spans="1:2" x14ac:dyDescent="0.3">
      <c r="A35">
        <f>VLOOKUP('Clean Data'!A34,'Clean Data'!A19:K109,1,0)</f>
        <v>133</v>
      </c>
      <c r="B35" t="str">
        <f>VLOOKUP('Clean Data'!A34,'Clean Data'!A19:K109,2,0)</f>
        <v>maneesh Navle</v>
      </c>
    </row>
    <row r="36" spans="1:2" x14ac:dyDescent="0.3">
      <c r="A36">
        <f>VLOOKUP('Clean Data'!A35,'Clean Data'!A20:K110,1,0)</f>
        <v>134</v>
      </c>
      <c r="B36" t="str">
        <f>VLOOKUP('Clean Data'!A35,'Clean Data'!A20:K110,2,0)</f>
        <v>Vina Kusum</v>
      </c>
    </row>
    <row r="37" spans="1:2" x14ac:dyDescent="0.3">
      <c r="A37">
        <f>VLOOKUP('Clean Data'!A36,'Clean Data'!A21:K111,1,0)</f>
        <v>135</v>
      </c>
      <c r="B37" t="str">
        <f>VLOOKUP('Clean Data'!A36,'Clean Data'!A21:K111,2,0)</f>
        <v>Raghini Patil</v>
      </c>
    </row>
    <row r="38" spans="1:2" x14ac:dyDescent="0.3">
      <c r="A38">
        <f>VLOOKUP('Clean Data'!A37,'Clean Data'!A22:K112,1,0)</f>
        <v>136</v>
      </c>
      <c r="B38" t="str">
        <f>VLOOKUP('Clean Data'!A37,'Clean Data'!A22:K112,2,0)</f>
        <v>aishwarya Pagare</v>
      </c>
    </row>
    <row r="39" spans="1:2" x14ac:dyDescent="0.3">
      <c r="A39">
        <f>VLOOKUP('Clean Data'!A38,'Clean Data'!A23:K113,1,0)</f>
        <v>137</v>
      </c>
      <c r="B39" t="str">
        <f>VLOOKUP('Clean Data'!A38,'Clean Data'!A23:K113,2,0)</f>
        <v>Mohan Kusmude</v>
      </c>
    </row>
    <row r="40" spans="1:2" x14ac:dyDescent="0.3">
      <c r="A40">
        <f>VLOOKUP('Clean Data'!A39,'Clean Data'!A24:K114,1,0)</f>
        <v>138</v>
      </c>
      <c r="B40" t="str">
        <f>VLOOKUP('Clean Data'!A39,'Clean Data'!A24:K114,2,0)</f>
        <v>Ram Amale</v>
      </c>
    </row>
    <row r="41" spans="1:2" x14ac:dyDescent="0.3">
      <c r="A41">
        <f>VLOOKUP('Clean Data'!A40,'Clean Data'!A25:K115,1,0)</f>
        <v>139</v>
      </c>
      <c r="B41" t="str">
        <f>VLOOKUP('Clean Data'!A40,'Clean Data'!A25:K115,2,0)</f>
        <v>Kumar Sanu</v>
      </c>
    </row>
    <row r="42" spans="1:2" x14ac:dyDescent="0.3">
      <c r="A42">
        <f>VLOOKUP('Clean Data'!A41,'Clean Data'!A26:K116,1,0)</f>
        <v>140</v>
      </c>
      <c r="B42" t="str">
        <f>VLOOKUP('Clean Data'!A41,'Clean Data'!A26:K116,2,0)</f>
        <v>Gita Banpatte</v>
      </c>
    </row>
    <row r="43" spans="1:2" x14ac:dyDescent="0.3">
      <c r="A43">
        <f>VLOOKUP('Clean Data'!A42,'Clean Data'!A27:K117,1,0)</f>
        <v>141</v>
      </c>
      <c r="B43" t="str">
        <f>VLOOKUP('Clean Data'!A42,'Clean Data'!A27:K117,2,0)</f>
        <v xml:space="preserve">sunita Pawar </v>
      </c>
    </row>
    <row r="44" spans="1:2" x14ac:dyDescent="0.3">
      <c r="A44">
        <f>VLOOKUP('Clean Data'!A43,'Clean Data'!A28:K118,1,0)</f>
        <v>142</v>
      </c>
      <c r="B44" t="str">
        <f>VLOOKUP('Clean Data'!A43,'Clean Data'!A28:K118,2,0)</f>
        <v>Dipali Potdar</v>
      </c>
    </row>
    <row r="45" spans="1:2" x14ac:dyDescent="0.3">
      <c r="A45">
        <f>VLOOKUP('Clean Data'!A44,'Clean Data'!A29:K119,1,0)</f>
        <v>143</v>
      </c>
      <c r="B45" t="str">
        <f>VLOOKUP('Clean Data'!A44,'Clean Data'!A29:K119,2,0)</f>
        <v xml:space="preserve">Niraja </v>
      </c>
    </row>
    <row r="46" spans="1:2" x14ac:dyDescent="0.3">
      <c r="A46">
        <f>VLOOKUP('Clean Data'!A45,'Clean Data'!A30:K120,1,0)</f>
        <v>144</v>
      </c>
      <c r="B46" t="str">
        <f>VLOOKUP('Clean Data'!A45,'Clean Data'!A30:K120,2,0)</f>
        <v>Dimppy</v>
      </c>
    </row>
    <row r="47" spans="1:2" x14ac:dyDescent="0.3">
      <c r="A47">
        <f>VLOOKUP('Clean Data'!A46,'Clean Data'!A31:K121,1,0)</f>
        <v>145</v>
      </c>
      <c r="B47" t="str">
        <f>VLOOKUP('Clean Data'!A46,'Clean Data'!A31:K121,2,0)</f>
        <v>Rajendra Prasad</v>
      </c>
    </row>
    <row r="48" spans="1:2" x14ac:dyDescent="0.3">
      <c r="A48">
        <f>VLOOKUP('Clean Data'!A47,'Clean Data'!A32:K122,1,0)</f>
        <v>146</v>
      </c>
      <c r="B48" t="str">
        <f>VLOOKUP('Clean Data'!A47,'Clean Data'!A32:K122,2,0)</f>
        <v>Narendra Modi</v>
      </c>
    </row>
    <row r="49" spans="1:2" x14ac:dyDescent="0.3">
      <c r="A49">
        <f>VLOOKUP('Clean Data'!A48,'Clean Data'!A33:K123,1,0)</f>
        <v>147</v>
      </c>
      <c r="B49" t="str">
        <f>VLOOKUP('Clean Data'!A48,'Clean Data'!A33:K123,2,0)</f>
        <v xml:space="preserve">gitanjali pagare </v>
      </c>
    </row>
    <row r="50" spans="1:2" x14ac:dyDescent="0.3">
      <c r="A50">
        <f>VLOOKUP('Clean Data'!A49,'Clean Data'!A34:K124,1,0)</f>
        <v>148</v>
      </c>
      <c r="B50" t="str">
        <f>VLOOKUP('Clean Data'!A49,'Clean Data'!A34:K124,2,0)</f>
        <v>Swapnil Vagh</v>
      </c>
    </row>
    <row r="51" spans="1:2" x14ac:dyDescent="0.3">
      <c r="A51">
        <f>VLOOKUP('Clean Data'!A50,'Clean Data'!A35:K125,1,0)</f>
        <v>149</v>
      </c>
      <c r="B51" t="str">
        <f>VLOOKUP('Clean Data'!A50,'Clean Data'!A35:K125,2,0)</f>
        <v>Suraj Poikrav</v>
      </c>
    </row>
    <row r="52" spans="1:2" x14ac:dyDescent="0.3">
      <c r="A52">
        <f>VLOOKUP('Clean Data'!A51,'Clean Data'!A36:K126,1,0)</f>
        <v>150</v>
      </c>
      <c r="B52" t="str">
        <f>VLOOKUP('Clean Data'!A51,'Clean Data'!A36:K126,2,0)</f>
        <v>Ranjana Mali</v>
      </c>
    </row>
    <row r="53" spans="1:2" x14ac:dyDescent="0.3">
      <c r="A53">
        <f>VLOOKUP('Clean Data'!A52,'Clean Data'!A37:K127,1,0)</f>
        <v>151</v>
      </c>
      <c r="B53" t="str">
        <f>VLOOKUP('Clean Data'!A52,'Clean Data'!A37:K127,2,0)</f>
        <v>Ashok Kumude</v>
      </c>
    </row>
    <row r="54" spans="1:2" x14ac:dyDescent="0.3">
      <c r="A54">
        <f>VLOOKUP('Clean Data'!A53,'Clean Data'!A38:K128,1,0)</f>
        <v>152</v>
      </c>
      <c r="B54" t="str">
        <f>VLOOKUP('Clean Data'!A53,'Clean Data'!A38:K128,2,0)</f>
        <v>Radha Devkar</v>
      </c>
    </row>
    <row r="55" spans="1:2" x14ac:dyDescent="0.3">
      <c r="A55">
        <f>VLOOKUP('Clean Data'!A54,'Clean Data'!A39:K129,1,0)</f>
        <v>153</v>
      </c>
      <c r="B55" t="str">
        <f>VLOOKUP('Clean Data'!A54,'Clean Data'!A39:K129,2,0)</f>
        <v>Rakhi Sawant</v>
      </c>
    </row>
    <row r="56" spans="1:2" x14ac:dyDescent="0.3">
      <c r="A56">
        <f>VLOOKUP('Clean Data'!A55,'Clean Data'!A40:K130,1,0)</f>
        <v>154</v>
      </c>
      <c r="B56" t="str">
        <f>VLOOKUP('Clean Data'!A55,'Clean Data'!A40:K130,2,0)</f>
        <v>Zara Khan</v>
      </c>
    </row>
    <row r="57" spans="1:2" x14ac:dyDescent="0.3">
      <c r="A57">
        <f>VLOOKUP('Clean Data'!A56,'Clean Data'!A41:K131,1,0)</f>
        <v>155</v>
      </c>
      <c r="B57" t="str">
        <f>VLOOKUP('Clean Data'!A56,'Clean Data'!A41:K131,2,0)</f>
        <v>Joya Shaikh</v>
      </c>
    </row>
    <row r="58" spans="1:2" x14ac:dyDescent="0.3">
      <c r="A58">
        <f>VLOOKUP('Clean Data'!A57,'Clean Data'!A42:K132,1,0)</f>
        <v>156</v>
      </c>
      <c r="B58" t="str">
        <f>VLOOKUP('Clean Data'!A57,'Clean Data'!A42:K132,2,0)</f>
        <v>Tahura Shaikh</v>
      </c>
    </row>
    <row r="59" spans="1:2" x14ac:dyDescent="0.3">
      <c r="A59">
        <f>VLOOKUP('Clean Data'!A58,'Clean Data'!A43:K133,1,0)</f>
        <v>157</v>
      </c>
      <c r="B59" t="str">
        <f>VLOOKUP('Clean Data'!A58,'Clean Data'!A43:K133,2,0)</f>
        <v xml:space="preserve">Fiza Surve </v>
      </c>
    </row>
    <row r="60" spans="1:2" x14ac:dyDescent="0.3">
      <c r="A60">
        <f>VLOOKUP('Clean Data'!A59,'Clean Data'!A44:K134,1,0)</f>
        <v>158</v>
      </c>
      <c r="B60" t="str">
        <f>VLOOKUP('Clean Data'!A59,'Clean Data'!A44:K134,2,0)</f>
        <v>Yamini Gulab</v>
      </c>
    </row>
    <row r="61" spans="1:2" x14ac:dyDescent="0.3">
      <c r="A61">
        <f>VLOOKUP('Clean Data'!A60,'Clean Data'!A45:K135,1,0)</f>
        <v>159</v>
      </c>
      <c r="B61" t="str">
        <f>VLOOKUP('Clean Data'!A60,'Clean Data'!A45:K135,2,0)</f>
        <v>Twinkal Khana</v>
      </c>
    </row>
    <row r="62" spans="1:2" x14ac:dyDescent="0.3">
      <c r="A62">
        <f>VLOOKUP('Clean Data'!A61,'Clean Data'!A46:K136,1,0)</f>
        <v>160</v>
      </c>
      <c r="B62" t="str">
        <f>VLOOKUP('Clean Data'!A61,'Clean Data'!A46:K136,2,0)</f>
        <v xml:space="preserve">Yashraj Gupta </v>
      </c>
    </row>
    <row r="63" spans="1:2" x14ac:dyDescent="0.3">
      <c r="A63">
        <f>VLOOKUP('Clean Data'!A62,'Clean Data'!A47:K137,1,0)</f>
        <v>161</v>
      </c>
      <c r="B63" t="str">
        <f>VLOOKUP('Clean Data'!A62,'Clean Data'!A47:K137,2,0)</f>
        <v>Rahi Dighe</v>
      </c>
    </row>
    <row r="64" spans="1:2" x14ac:dyDescent="0.3">
      <c r="A64">
        <f>VLOOKUP('Clean Data'!A63,'Clean Data'!A48:K138,1,0)</f>
        <v>162</v>
      </c>
      <c r="B64" t="str">
        <f>VLOOKUP('Clean Data'!A63,'Clean Data'!A48:K138,2,0)</f>
        <v>Neha Sharma</v>
      </c>
    </row>
    <row r="65" spans="1:2" x14ac:dyDescent="0.3">
      <c r="A65">
        <f>VLOOKUP('Clean Data'!A64,'Clean Data'!A49:K139,1,0)</f>
        <v>163</v>
      </c>
      <c r="B65" t="str">
        <f>VLOOKUP('Clean Data'!A64,'Clean Data'!A49:K139,2,0)</f>
        <v>Payal Gosavi</v>
      </c>
    </row>
    <row r="66" spans="1:2" x14ac:dyDescent="0.3">
      <c r="A66">
        <f>VLOOKUP('Clean Data'!A65,'Clean Data'!A50:K140,1,0)</f>
        <v>164</v>
      </c>
      <c r="B66" t="str">
        <f>VLOOKUP('Clean Data'!A65,'Clean Data'!A50:K140,2,0)</f>
        <v>Megha Yatri</v>
      </c>
    </row>
    <row r="67" spans="1:2" x14ac:dyDescent="0.3">
      <c r="A67">
        <f>VLOOKUP('Clean Data'!A66,'Clean Data'!A51:K141,1,0)</f>
        <v>165</v>
      </c>
      <c r="B67" t="str">
        <f>VLOOKUP('Clean Data'!A66,'Clean Data'!A51:K141,2,0)</f>
        <v>Suhani Jaiswal</v>
      </c>
    </row>
    <row r="68" spans="1:2" x14ac:dyDescent="0.3">
      <c r="A68">
        <f>VLOOKUP('Clean Data'!A67,'Clean Data'!A52:K142,1,0)</f>
        <v>166</v>
      </c>
      <c r="B68" t="str">
        <f>VLOOKUP('Clean Data'!A67,'Clean Data'!A52:K142,2,0)</f>
        <v>Poonam Devkar</v>
      </c>
    </row>
    <row r="69" spans="1:2" x14ac:dyDescent="0.3">
      <c r="A69">
        <f>VLOOKUP('Clean Data'!A68,'Clean Data'!A53:K143,1,0)</f>
        <v>167</v>
      </c>
      <c r="B69" t="str">
        <f>VLOOKUP('Clean Data'!A68,'Clean Data'!A53:K143,2,0)</f>
        <v xml:space="preserve">Priya Devkar </v>
      </c>
    </row>
    <row r="70" spans="1:2" x14ac:dyDescent="0.3">
      <c r="A70">
        <f>VLOOKUP('Clean Data'!A69,'Clean Data'!A54:K144,1,0)</f>
        <v>168</v>
      </c>
      <c r="B70" t="str">
        <f>VLOOKUP('Clean Data'!A69,'Clean Data'!A54:K144,2,0)</f>
        <v>Neha Pawar</v>
      </c>
    </row>
    <row r="71" spans="1:2" x14ac:dyDescent="0.3">
      <c r="A71">
        <f>VLOOKUP('Clean Data'!A70,'Clean Data'!A55:K145,1,0)</f>
        <v>169</v>
      </c>
      <c r="B71" t="str">
        <f>VLOOKUP('Clean Data'!A70,'Clean Data'!A55:K145,2,0)</f>
        <v>Sadhana Yevale</v>
      </c>
    </row>
    <row r="72" spans="1:2" x14ac:dyDescent="0.3">
      <c r="A72">
        <f>VLOOKUP('Clean Data'!A71,'Clean Data'!A56:K146,1,0)</f>
        <v>170</v>
      </c>
      <c r="B72" t="str">
        <f>VLOOKUP('Clean Data'!A71,'Clean Data'!A56:K146,2,0)</f>
        <v>kishori Aagarwal</v>
      </c>
    </row>
    <row r="73" spans="1:2" x14ac:dyDescent="0.3">
      <c r="A73">
        <f>VLOOKUP('Clean Data'!A72,'Clean Data'!A57:K147,1,0)</f>
        <v>171</v>
      </c>
      <c r="B73" t="str">
        <f>VLOOKUP('Clean Data'!A72,'Clean Data'!A57:K147,2,0)</f>
        <v>Akshay kumar</v>
      </c>
    </row>
    <row r="74" spans="1:2" x14ac:dyDescent="0.3">
      <c r="A74">
        <f>VLOOKUP('Clean Data'!A73,'Clean Data'!A58:K148,1,0)</f>
        <v>172</v>
      </c>
      <c r="B74" t="str">
        <f>VLOOKUP('Clean Data'!A73,'Clean Data'!A58:K148,2,0)</f>
        <v>Gauri Raut</v>
      </c>
    </row>
    <row r="75" spans="1:2" x14ac:dyDescent="0.3">
      <c r="A75">
        <f>VLOOKUP('Clean Data'!A74,'Clean Data'!A59:K149,1,0)</f>
        <v>173</v>
      </c>
      <c r="B75" t="str">
        <f>VLOOKUP('Clean Data'!A74,'Clean Data'!A59:K149,2,0)</f>
        <v>Alisha Ghadge</v>
      </c>
    </row>
    <row r="76" spans="1:2" x14ac:dyDescent="0.3">
      <c r="A76">
        <f>VLOOKUP('Clean Data'!A75,'Clean Data'!A60:K150,1,0)</f>
        <v>174</v>
      </c>
      <c r="B76" t="str">
        <f>VLOOKUP('Clean Data'!A75,'Clean Data'!A60:K150,2,0)</f>
        <v>kishori Aagarwal</v>
      </c>
    </row>
    <row r="77" spans="1:2" x14ac:dyDescent="0.3">
      <c r="A77">
        <f>VLOOKUP('Clean Data'!A76,'Clean Data'!A61:K151,1,0)</f>
        <v>175</v>
      </c>
      <c r="B77" t="str">
        <f>VLOOKUP('Clean Data'!A76,'Clean Data'!A61:K151,2,0)</f>
        <v>pooja Devkar</v>
      </c>
    </row>
    <row r="78" spans="1:2" x14ac:dyDescent="0.3">
      <c r="A78">
        <f>VLOOKUP('Clean Data'!A77,'Clean Data'!A62:K152,1,0)</f>
        <v>176</v>
      </c>
      <c r="B78" t="str">
        <f>VLOOKUP('Clean Data'!A77,'Clean Data'!A62:K152,2,0)</f>
        <v>Champa Chameli</v>
      </c>
    </row>
    <row r="79" spans="1:2" x14ac:dyDescent="0.3">
      <c r="A79">
        <f>VLOOKUP('Clean Data'!A78,'Clean Data'!A63:K153,1,0)</f>
        <v>177</v>
      </c>
      <c r="B79" t="str">
        <f>VLOOKUP('Clean Data'!A78,'Clean Data'!A63:K153,2,0)</f>
        <v>Hari Gopal</v>
      </c>
    </row>
    <row r="80" spans="1:2" x14ac:dyDescent="0.3">
      <c r="A80">
        <f>VLOOKUP('Clean Data'!A79,'Clean Data'!A64:K154,1,0)</f>
        <v>178</v>
      </c>
      <c r="B80" t="str">
        <f>VLOOKUP('Clean Data'!A79,'Clean Data'!A64:K154,2,0)</f>
        <v>Vidhi Sawant</v>
      </c>
    </row>
    <row r="81" spans="1:2" x14ac:dyDescent="0.3">
      <c r="A81">
        <f>VLOOKUP('Clean Data'!A80,'Clean Data'!A65:K155,1,0)</f>
        <v>179</v>
      </c>
      <c r="B81" t="str">
        <f>VLOOKUP('Clean Data'!A80,'Clean Data'!A65:K155,2,0)</f>
        <v>Yogesh Valanj</v>
      </c>
    </row>
    <row r="82" spans="1:2" x14ac:dyDescent="0.3">
      <c r="A82">
        <f>VLOOKUP('Clean Data'!A81,'Clean Data'!A66:K156,1,0)</f>
        <v>180</v>
      </c>
      <c r="B82" t="str">
        <f>VLOOKUP('Clean Data'!A81,'Clean Data'!A66:K156,2,0)</f>
        <v>Rohini Dhawale</v>
      </c>
    </row>
    <row r="83" spans="1:2" x14ac:dyDescent="0.3">
      <c r="A83">
        <f>VLOOKUP('Clean Data'!A82,'Clean Data'!A67:K157,1,0)</f>
        <v>181</v>
      </c>
      <c r="B83" t="str">
        <f>VLOOKUP('Clean Data'!A82,'Clean Data'!A67:K157,2,0)</f>
        <v>Satish Dhanwate</v>
      </c>
    </row>
    <row r="84" spans="1:2" x14ac:dyDescent="0.3">
      <c r="A84">
        <f>VLOOKUP('Clean Data'!A83,'Clean Data'!A68:K158,1,0)</f>
        <v>182</v>
      </c>
      <c r="B84" t="str">
        <f>VLOOKUP('Clean Data'!A83,'Clean Data'!A68:K158,2,0)</f>
        <v>Ankur Warikko</v>
      </c>
    </row>
    <row r="85" spans="1:2" x14ac:dyDescent="0.3">
      <c r="A85">
        <f>VLOOKUP('Clean Data'!A84,'Clean Data'!A69:K159,1,0)</f>
        <v>183</v>
      </c>
      <c r="B85" t="str">
        <f>VLOOKUP('Clean Data'!A84,'Clean Data'!A69:K159,2,0)</f>
        <v>Jethalal Gada</v>
      </c>
    </row>
    <row r="86" spans="1:2" x14ac:dyDescent="0.3">
      <c r="A86">
        <f>VLOOKUP('Clean Data'!A85,'Clean Data'!A70:K160,1,0)</f>
        <v>184</v>
      </c>
      <c r="B86" t="str">
        <f>VLOOKUP('Clean Data'!A85,'Clean Data'!A70:K160,2,0)</f>
        <v xml:space="preserve">Sidhant Sawale </v>
      </c>
    </row>
    <row r="87" spans="1:2" x14ac:dyDescent="0.3">
      <c r="A87">
        <f>VLOOKUP('Clean Data'!A86,'Clean Data'!A71:K161,1,0)</f>
        <v>185</v>
      </c>
      <c r="B87" t="str">
        <f>VLOOKUP('Clean Data'!A86,'Clean Data'!A71:K161,2,0)</f>
        <v>Nandini More</v>
      </c>
    </row>
    <row r="88" spans="1:2" x14ac:dyDescent="0.3">
      <c r="A88">
        <f>VLOOKUP('Clean Data'!A87,'Clean Data'!A72:K162,1,0)</f>
        <v>186</v>
      </c>
      <c r="B88" t="str">
        <f>VLOOKUP('Clean Data'!A87,'Clean Data'!A72:K162,2,0)</f>
        <v>Ankur Warikko</v>
      </c>
    </row>
    <row r="89" spans="1:2" x14ac:dyDescent="0.3">
      <c r="A89">
        <f>VLOOKUP('Clean Data'!A88,'Clean Data'!A73:K163,1,0)</f>
        <v>187</v>
      </c>
      <c r="B89" t="str">
        <f>VLOOKUP('Clean Data'!A88,'Clean Data'!A73:K163,2,0)</f>
        <v>Popatlal Bhopal</v>
      </c>
    </row>
    <row r="90" spans="1:2" x14ac:dyDescent="0.3">
      <c r="A90">
        <f>VLOOKUP('Clean Data'!A89,'Clean Data'!A74:K164,1,0)</f>
        <v>188</v>
      </c>
      <c r="B90" t="str">
        <f>VLOOKUP('Clean Data'!A89,'Clean Data'!A74:K164,2,0)</f>
        <v>Luna Mehata</v>
      </c>
    </row>
    <row r="91" spans="1:2" x14ac:dyDescent="0.3">
      <c r="A91">
        <f>VLOOKUP('Clean Data'!A90,'Clean Data'!A75:K165,1,0)</f>
        <v>189</v>
      </c>
      <c r="B91" t="str">
        <f>VLOOKUP('Clean Data'!A90,'Clean Data'!A75:K165,2,0)</f>
        <v>Jakhir Ali</v>
      </c>
    </row>
    <row r="92" spans="1:2" x14ac:dyDescent="0.3">
      <c r="A92">
        <f>VLOOKUP('Clean Data'!A91,'Clean Data'!A76:K166,1,0)</f>
        <v>190</v>
      </c>
      <c r="B92" t="str">
        <f>VLOOKUP('Clean Data'!A91,'Clean Data'!A76:K166,2,0)</f>
        <v xml:space="preserve">Tina </v>
      </c>
    </row>
    <row r="93" spans="1:2" x14ac:dyDescent="0.3">
      <c r="A93">
        <f>VLOOKUP('Clean Data'!A92,'Clean Data'!A77:K167,1,0)</f>
        <v>191</v>
      </c>
      <c r="B93" t="str">
        <f>VLOOKUP('Clean Data'!A92,'Clean Data'!A77:K167,2,0)</f>
        <v>Aarti Nawale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760D-B2D8-4DBB-A58D-BD54CAC18970}">
  <dimension ref="A1:T95"/>
  <sheetViews>
    <sheetView topLeftCell="H1" workbookViewId="0">
      <selection activeCell="T19" sqref="T19"/>
    </sheetView>
  </sheetViews>
  <sheetFormatPr defaultRowHeight="14.4" x14ac:dyDescent="0.3"/>
  <cols>
    <col min="2" max="2" width="18.6640625" customWidth="1"/>
    <col min="15" max="15" width="16.33203125" bestFit="1" customWidth="1"/>
    <col min="16" max="16" width="13.5546875" bestFit="1" customWidth="1"/>
    <col min="17" max="17" width="15.21875" bestFit="1" customWidth="1"/>
    <col min="18" max="18" width="12" bestFit="1" customWidth="1"/>
    <col min="19" max="19" width="14" bestFit="1" customWidth="1"/>
    <col min="20" max="20" width="16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0" x14ac:dyDescent="0.3">
      <c r="A2" s="3">
        <v>101</v>
      </c>
      <c r="B2" s="3" t="s">
        <v>11</v>
      </c>
      <c r="C2" s="3" t="s">
        <v>12</v>
      </c>
      <c r="D2" s="4">
        <v>15000</v>
      </c>
      <c r="E2" s="3">
        <f>D2*50%</f>
        <v>7500</v>
      </c>
      <c r="F2" s="3">
        <f>D2*20%</f>
        <v>3000</v>
      </c>
      <c r="G2" s="3">
        <f>D2*10%</f>
        <v>1500</v>
      </c>
      <c r="H2" s="3">
        <f>2500/12</f>
        <v>208.33333333333334</v>
      </c>
      <c r="I2" s="4">
        <f>SUM(D2:F2)</f>
        <v>25500</v>
      </c>
      <c r="J2" s="3">
        <f>SUM(G2:H2)</f>
        <v>1708.3333333333333</v>
      </c>
      <c r="K2" s="4">
        <f>I2-J2</f>
        <v>23791.666666666668</v>
      </c>
    </row>
    <row r="3" spans="1:20" x14ac:dyDescent="0.3">
      <c r="A3" s="3">
        <v>102</v>
      </c>
      <c r="B3" s="3" t="s">
        <v>13</v>
      </c>
      <c r="C3" s="3" t="s">
        <v>14</v>
      </c>
      <c r="D3" s="4">
        <v>18000</v>
      </c>
      <c r="E3" s="3">
        <f t="shared" ref="E3:E66" si="0">D3*50%</f>
        <v>9000</v>
      </c>
      <c r="F3" s="3">
        <f t="shared" ref="F3:F66" si="1">D3*20%</f>
        <v>3600</v>
      </c>
      <c r="G3" s="3">
        <f t="shared" ref="G3:G66" si="2">D3*10%</f>
        <v>1800</v>
      </c>
      <c r="H3" s="3">
        <f t="shared" ref="H3:H66" si="3">2500/12</f>
        <v>208.33333333333334</v>
      </c>
      <c r="I3" s="4">
        <f t="shared" ref="I3:I66" si="4">SUM(D3:F3)</f>
        <v>30600</v>
      </c>
      <c r="J3" s="3">
        <f t="shared" ref="J3:J66" si="5">SUM(G3:H3)</f>
        <v>2008.3333333333333</v>
      </c>
      <c r="K3" s="4">
        <f t="shared" ref="K3:K66" si="6">I3-J3</f>
        <v>28591.666666666668</v>
      </c>
      <c r="O3" s="7" t="s">
        <v>112</v>
      </c>
      <c r="P3" t="s">
        <v>111</v>
      </c>
      <c r="Q3" t="s">
        <v>110</v>
      </c>
      <c r="R3" t="s">
        <v>116</v>
      </c>
      <c r="S3" t="s">
        <v>114</v>
      </c>
      <c r="T3" t="s">
        <v>115</v>
      </c>
    </row>
    <row r="4" spans="1:20" x14ac:dyDescent="0.3">
      <c r="A4" s="3">
        <v>103</v>
      </c>
      <c r="B4" s="3" t="s">
        <v>109</v>
      </c>
      <c r="C4" s="3" t="s">
        <v>16</v>
      </c>
      <c r="D4" s="4">
        <v>16000</v>
      </c>
      <c r="E4" s="3">
        <f t="shared" si="0"/>
        <v>8000</v>
      </c>
      <c r="F4" s="3">
        <f t="shared" si="1"/>
        <v>3200</v>
      </c>
      <c r="G4" s="3">
        <f t="shared" si="2"/>
        <v>1600</v>
      </c>
      <c r="H4" s="3">
        <f t="shared" si="3"/>
        <v>208.33333333333334</v>
      </c>
      <c r="I4" s="4">
        <f t="shared" si="4"/>
        <v>27200</v>
      </c>
      <c r="J4" s="3">
        <f t="shared" si="5"/>
        <v>1808.3333333333333</v>
      </c>
      <c r="K4" s="4">
        <f t="shared" si="6"/>
        <v>25391.666666666668</v>
      </c>
      <c r="O4" s="8" t="s">
        <v>25</v>
      </c>
      <c r="P4">
        <v>110</v>
      </c>
      <c r="Q4" s="6">
        <v>21000</v>
      </c>
      <c r="R4" s="6">
        <v>35700</v>
      </c>
      <c r="S4" s="6">
        <v>33391.666666666664</v>
      </c>
      <c r="T4" s="6">
        <v>2308.3333333333358</v>
      </c>
    </row>
    <row r="5" spans="1:20" x14ac:dyDescent="0.3">
      <c r="A5" s="3">
        <v>104</v>
      </c>
      <c r="B5" s="3" t="s">
        <v>107</v>
      </c>
      <c r="C5" s="3" t="s">
        <v>18</v>
      </c>
      <c r="D5" s="4">
        <v>17000</v>
      </c>
      <c r="E5" s="3">
        <f t="shared" si="0"/>
        <v>8500</v>
      </c>
      <c r="F5" s="3">
        <f t="shared" si="1"/>
        <v>3400</v>
      </c>
      <c r="G5" s="3">
        <f t="shared" si="2"/>
        <v>1700</v>
      </c>
      <c r="H5" s="3">
        <f t="shared" si="3"/>
        <v>208.33333333333334</v>
      </c>
      <c r="I5" s="4">
        <f t="shared" si="4"/>
        <v>28900</v>
      </c>
      <c r="J5" s="3">
        <f t="shared" si="5"/>
        <v>1908.3333333333333</v>
      </c>
      <c r="K5" s="4">
        <f t="shared" si="6"/>
        <v>26991.666666666668</v>
      </c>
      <c r="O5" s="8" t="s">
        <v>79</v>
      </c>
      <c r="P5">
        <v>191</v>
      </c>
      <c r="Q5" s="6">
        <v>27345.238095238099</v>
      </c>
      <c r="R5" s="6">
        <v>46486.904761904763</v>
      </c>
      <c r="S5" s="6">
        <v>43544.047619047618</v>
      </c>
      <c r="T5" s="6">
        <v>2942.8571428571449</v>
      </c>
    </row>
    <row r="6" spans="1:20" x14ac:dyDescent="0.3">
      <c r="A6" s="3">
        <v>105</v>
      </c>
      <c r="B6" s="3" t="s">
        <v>19</v>
      </c>
      <c r="C6" s="3" t="s">
        <v>20</v>
      </c>
      <c r="D6" s="4">
        <v>20000</v>
      </c>
      <c r="E6" s="3">
        <f t="shared" si="0"/>
        <v>10000</v>
      </c>
      <c r="F6" s="3">
        <f t="shared" si="1"/>
        <v>4000</v>
      </c>
      <c r="G6" s="3">
        <f t="shared" si="2"/>
        <v>2000</v>
      </c>
      <c r="H6" s="3">
        <f t="shared" si="3"/>
        <v>208.33333333333334</v>
      </c>
      <c r="I6" s="4">
        <f t="shared" si="4"/>
        <v>34000</v>
      </c>
      <c r="J6" s="3">
        <f t="shared" si="5"/>
        <v>2208.3333333333335</v>
      </c>
      <c r="K6" s="4">
        <f t="shared" si="6"/>
        <v>31791.666666666668</v>
      </c>
      <c r="O6" s="8" t="s">
        <v>38</v>
      </c>
      <c r="P6">
        <v>123</v>
      </c>
      <c r="Q6" s="6">
        <v>19088.0952380952</v>
      </c>
      <c r="R6" s="6">
        <v>32449.761904761843</v>
      </c>
      <c r="S6" s="6">
        <v>30332.619047618988</v>
      </c>
      <c r="T6" s="6">
        <v>2117.1428571428551</v>
      </c>
    </row>
    <row r="7" spans="1:20" x14ac:dyDescent="0.3">
      <c r="A7" s="3">
        <v>106</v>
      </c>
      <c r="B7" s="3" t="s">
        <v>108</v>
      </c>
      <c r="C7" s="3" t="s">
        <v>20</v>
      </c>
      <c r="D7" s="4">
        <v>21000</v>
      </c>
      <c r="E7" s="3">
        <f t="shared" si="0"/>
        <v>10500</v>
      </c>
      <c r="F7" s="3">
        <f t="shared" si="1"/>
        <v>4200</v>
      </c>
      <c r="G7" s="3">
        <f t="shared" si="2"/>
        <v>2100</v>
      </c>
      <c r="H7" s="3">
        <f t="shared" si="3"/>
        <v>208.33333333333334</v>
      </c>
      <c r="I7" s="4">
        <f t="shared" si="4"/>
        <v>35700</v>
      </c>
      <c r="J7" s="3">
        <f t="shared" si="5"/>
        <v>2308.3333333333335</v>
      </c>
      <c r="K7" s="4">
        <f t="shared" si="6"/>
        <v>33391.666666666664</v>
      </c>
      <c r="O7" s="8" t="s">
        <v>22</v>
      </c>
      <c r="P7">
        <v>107</v>
      </c>
      <c r="Q7" s="6">
        <v>13000</v>
      </c>
      <c r="R7" s="6">
        <v>22100</v>
      </c>
      <c r="S7" s="6">
        <v>20591.666666666668</v>
      </c>
      <c r="T7" s="6">
        <v>1508.3333333333321</v>
      </c>
    </row>
    <row r="8" spans="1:20" x14ac:dyDescent="0.3">
      <c r="A8" s="3">
        <v>107</v>
      </c>
      <c r="B8" s="3" t="s">
        <v>22</v>
      </c>
      <c r="C8" s="3" t="s">
        <v>14</v>
      </c>
      <c r="D8" s="4">
        <v>13000</v>
      </c>
      <c r="E8" s="3">
        <f t="shared" si="0"/>
        <v>6500</v>
      </c>
      <c r="F8" s="3">
        <f t="shared" si="1"/>
        <v>2600</v>
      </c>
      <c r="G8" s="3">
        <f t="shared" si="2"/>
        <v>1300</v>
      </c>
      <c r="H8" s="3">
        <f t="shared" si="3"/>
        <v>208.33333333333334</v>
      </c>
      <c r="I8" s="4">
        <f t="shared" si="4"/>
        <v>22100</v>
      </c>
      <c r="J8" s="3">
        <f t="shared" si="5"/>
        <v>1508.3333333333333</v>
      </c>
      <c r="K8" s="4">
        <f t="shared" si="6"/>
        <v>20591.666666666668</v>
      </c>
      <c r="O8" s="8" t="s">
        <v>51</v>
      </c>
      <c r="P8">
        <v>136</v>
      </c>
      <c r="Q8" s="6">
        <v>20666.666666666701</v>
      </c>
      <c r="R8" s="6">
        <v>35133.333333333394</v>
      </c>
      <c r="S8" s="6">
        <v>32858.333333333387</v>
      </c>
      <c r="T8" s="6">
        <v>2275.0000000000073</v>
      </c>
    </row>
    <row r="9" spans="1:20" x14ac:dyDescent="0.3">
      <c r="A9" s="3">
        <v>108</v>
      </c>
      <c r="B9" s="3" t="s">
        <v>23</v>
      </c>
      <c r="C9" s="3" t="s">
        <v>12</v>
      </c>
      <c r="D9" s="4">
        <v>14000</v>
      </c>
      <c r="E9" s="3">
        <f t="shared" si="0"/>
        <v>7000</v>
      </c>
      <c r="F9" s="3">
        <f t="shared" si="1"/>
        <v>2800</v>
      </c>
      <c r="G9" s="3">
        <f t="shared" si="2"/>
        <v>1400</v>
      </c>
      <c r="H9" s="3">
        <f t="shared" si="3"/>
        <v>208.33333333333334</v>
      </c>
      <c r="I9" s="4">
        <f t="shared" si="4"/>
        <v>23800</v>
      </c>
      <c r="J9" s="3">
        <f t="shared" si="5"/>
        <v>1608.3333333333333</v>
      </c>
      <c r="K9" s="4">
        <f t="shared" si="6"/>
        <v>22191.666666666668</v>
      </c>
      <c r="O9" s="8" t="s">
        <v>40</v>
      </c>
      <c r="P9">
        <v>125</v>
      </c>
      <c r="Q9" s="6">
        <v>19330.9523809524</v>
      </c>
      <c r="R9" s="6">
        <v>32862.619047619082</v>
      </c>
      <c r="S9" s="6">
        <v>30721.19047619051</v>
      </c>
      <c r="T9" s="6">
        <v>2141.4285714285725</v>
      </c>
    </row>
    <row r="10" spans="1:20" x14ac:dyDescent="0.3">
      <c r="A10" s="3">
        <v>109</v>
      </c>
      <c r="B10" s="3" t="s">
        <v>24</v>
      </c>
      <c r="C10" s="3" t="s">
        <v>18</v>
      </c>
      <c r="D10" s="4">
        <v>17000</v>
      </c>
      <c r="E10" s="3">
        <f t="shared" si="0"/>
        <v>8500</v>
      </c>
      <c r="F10" s="3">
        <f t="shared" si="1"/>
        <v>3400</v>
      </c>
      <c r="G10" s="3">
        <f t="shared" si="2"/>
        <v>1700</v>
      </c>
      <c r="H10" s="3">
        <f t="shared" si="3"/>
        <v>208.33333333333334</v>
      </c>
      <c r="I10" s="4">
        <f t="shared" si="4"/>
        <v>28900</v>
      </c>
      <c r="J10" s="3">
        <f t="shared" si="5"/>
        <v>1908.3333333333333</v>
      </c>
      <c r="K10" s="4">
        <f t="shared" si="6"/>
        <v>26991.666666666668</v>
      </c>
      <c r="O10" s="8" t="s">
        <v>34</v>
      </c>
      <c r="P10">
        <v>119</v>
      </c>
      <c r="Q10" s="6">
        <v>18602.3809523809</v>
      </c>
      <c r="R10" s="6">
        <v>31624.047619047527</v>
      </c>
      <c r="S10" s="6">
        <v>29555.476190476104</v>
      </c>
      <c r="T10" s="6">
        <v>2068.5714285714239</v>
      </c>
    </row>
    <row r="11" spans="1:20" x14ac:dyDescent="0.3">
      <c r="A11" s="3">
        <v>110</v>
      </c>
      <c r="B11" s="3" t="s">
        <v>25</v>
      </c>
      <c r="C11" s="3" t="s">
        <v>16</v>
      </c>
      <c r="D11" s="4">
        <v>21000</v>
      </c>
      <c r="E11" s="3">
        <f t="shared" si="0"/>
        <v>10500</v>
      </c>
      <c r="F11" s="3">
        <f t="shared" si="1"/>
        <v>4200</v>
      </c>
      <c r="G11" s="3">
        <f t="shared" si="2"/>
        <v>2100</v>
      </c>
      <c r="H11" s="3">
        <f t="shared" si="3"/>
        <v>208.33333333333334</v>
      </c>
      <c r="I11" s="4">
        <f t="shared" si="4"/>
        <v>35700</v>
      </c>
      <c r="J11" s="3">
        <f t="shared" si="5"/>
        <v>2308.3333333333335</v>
      </c>
      <c r="K11" s="4">
        <f t="shared" si="6"/>
        <v>33391.666666666664</v>
      </c>
      <c r="O11" s="8" t="s">
        <v>89</v>
      </c>
      <c r="P11">
        <v>171</v>
      </c>
      <c r="Q11" s="6">
        <v>24916.666666666701</v>
      </c>
      <c r="R11" s="6">
        <v>42358.333333333394</v>
      </c>
      <c r="S11" s="6">
        <v>39658.333333333387</v>
      </c>
      <c r="T11" s="6">
        <v>2700.0000000000073</v>
      </c>
    </row>
    <row r="12" spans="1:20" x14ac:dyDescent="0.3">
      <c r="A12" s="3">
        <v>111</v>
      </c>
      <c r="B12" s="3" t="s">
        <v>26</v>
      </c>
      <c r="C12" s="3" t="s">
        <v>12</v>
      </c>
      <c r="D12" s="4">
        <v>19000</v>
      </c>
      <c r="E12" s="3">
        <f t="shared" si="0"/>
        <v>9500</v>
      </c>
      <c r="F12" s="3">
        <f t="shared" si="1"/>
        <v>3800</v>
      </c>
      <c r="G12" s="3">
        <f t="shared" si="2"/>
        <v>1900</v>
      </c>
      <c r="H12" s="3">
        <f t="shared" si="3"/>
        <v>208.33333333333334</v>
      </c>
      <c r="I12" s="4">
        <f t="shared" si="4"/>
        <v>32300</v>
      </c>
      <c r="J12" s="3">
        <f t="shared" si="5"/>
        <v>2108.3333333333335</v>
      </c>
      <c r="K12" s="4">
        <f t="shared" si="6"/>
        <v>30191.666666666668</v>
      </c>
      <c r="O12" s="8" t="s">
        <v>91</v>
      </c>
      <c r="P12">
        <v>173</v>
      </c>
      <c r="Q12" s="6">
        <v>25159.523809523798</v>
      </c>
      <c r="R12" s="6">
        <v>42771.190476190459</v>
      </c>
      <c r="S12" s="6">
        <v>40046.904761904749</v>
      </c>
      <c r="T12" s="6">
        <v>2724.2857142857101</v>
      </c>
    </row>
    <row r="13" spans="1:20" x14ac:dyDescent="0.3">
      <c r="A13" s="3">
        <v>112</v>
      </c>
      <c r="B13" s="3" t="s">
        <v>27</v>
      </c>
      <c r="C13" s="3" t="s">
        <v>14</v>
      </c>
      <c r="D13" s="4">
        <v>12000</v>
      </c>
      <c r="E13" s="3">
        <f t="shared" si="0"/>
        <v>6000</v>
      </c>
      <c r="F13" s="3">
        <f t="shared" si="1"/>
        <v>2400</v>
      </c>
      <c r="G13" s="3">
        <f t="shared" si="2"/>
        <v>1200</v>
      </c>
      <c r="H13" s="3">
        <f t="shared" si="3"/>
        <v>208.33333333333334</v>
      </c>
      <c r="I13" s="4">
        <f t="shared" si="4"/>
        <v>20400</v>
      </c>
      <c r="J13" s="3">
        <f t="shared" si="5"/>
        <v>1408.3333333333333</v>
      </c>
      <c r="K13" s="4">
        <f t="shared" si="6"/>
        <v>18991.666666666668</v>
      </c>
      <c r="O13" s="8" t="s">
        <v>31</v>
      </c>
      <c r="P13">
        <v>116</v>
      </c>
      <c r="Q13" s="6">
        <v>18238.0952380952</v>
      </c>
      <c r="R13" s="6">
        <v>31004.761904761843</v>
      </c>
      <c r="S13" s="6">
        <v>28972.619047618988</v>
      </c>
      <c r="T13" s="6">
        <v>2032.1428571428551</v>
      </c>
    </row>
    <row r="14" spans="1:20" x14ac:dyDescent="0.3">
      <c r="A14" s="3">
        <v>113</v>
      </c>
      <c r="B14" s="3" t="s">
        <v>28</v>
      </c>
      <c r="C14" s="3" t="s">
        <v>20</v>
      </c>
      <c r="D14" s="4">
        <v>13000</v>
      </c>
      <c r="E14" s="3">
        <f t="shared" si="0"/>
        <v>6500</v>
      </c>
      <c r="F14" s="3">
        <f t="shared" si="1"/>
        <v>2600</v>
      </c>
      <c r="G14" s="3">
        <f t="shared" si="2"/>
        <v>1300</v>
      </c>
      <c r="H14" s="3">
        <f t="shared" si="3"/>
        <v>208.33333333333334</v>
      </c>
      <c r="I14" s="4">
        <f t="shared" si="4"/>
        <v>22100</v>
      </c>
      <c r="J14" s="3">
        <f t="shared" si="5"/>
        <v>1508.3333333333333</v>
      </c>
      <c r="K14" s="4">
        <f t="shared" si="6"/>
        <v>20591.666666666668</v>
      </c>
      <c r="O14" s="8" t="s">
        <v>104</v>
      </c>
      <c r="P14">
        <v>186</v>
      </c>
      <c r="Q14" s="6">
        <v>26738.095238095299</v>
      </c>
      <c r="R14" s="6">
        <v>45454.76190476201</v>
      </c>
      <c r="S14" s="6">
        <v>42572.619047619148</v>
      </c>
      <c r="T14" s="6">
        <v>2882.1428571428623</v>
      </c>
    </row>
    <row r="15" spans="1:20" x14ac:dyDescent="0.3">
      <c r="A15" s="3">
        <v>114</v>
      </c>
      <c r="B15" s="3" t="s">
        <v>29</v>
      </c>
      <c r="C15" s="3" t="s">
        <v>18</v>
      </c>
      <c r="D15" s="4">
        <v>20000</v>
      </c>
      <c r="E15" s="3">
        <f t="shared" si="0"/>
        <v>10000</v>
      </c>
      <c r="F15" s="3">
        <f t="shared" si="1"/>
        <v>4000</v>
      </c>
      <c r="G15" s="3">
        <f t="shared" si="2"/>
        <v>2000</v>
      </c>
      <c r="H15" s="3">
        <f t="shared" si="3"/>
        <v>208.33333333333334</v>
      </c>
      <c r="I15" s="4">
        <f t="shared" si="4"/>
        <v>34000</v>
      </c>
      <c r="J15" s="3">
        <f t="shared" si="5"/>
        <v>2208.3333333333335</v>
      </c>
      <c r="K15" s="4">
        <f t="shared" si="6"/>
        <v>31791.666666666668</v>
      </c>
      <c r="O15" s="8" t="s">
        <v>47</v>
      </c>
      <c r="P15">
        <v>132</v>
      </c>
      <c r="Q15" s="6">
        <v>20180.9523809524</v>
      </c>
      <c r="R15" s="6">
        <v>34307.619047619082</v>
      </c>
      <c r="S15" s="6">
        <v>32081.19047619051</v>
      </c>
      <c r="T15" s="6">
        <v>2226.4285714285725</v>
      </c>
    </row>
    <row r="16" spans="1:20" x14ac:dyDescent="0.3">
      <c r="A16" s="3">
        <v>115</v>
      </c>
      <c r="B16" s="3" t="s">
        <v>30</v>
      </c>
      <c r="C16" s="3" t="s">
        <v>16</v>
      </c>
      <c r="D16" s="4">
        <v>23000</v>
      </c>
      <c r="E16" s="3">
        <f t="shared" si="0"/>
        <v>11500</v>
      </c>
      <c r="F16" s="3">
        <f>D16*20%</f>
        <v>4600</v>
      </c>
      <c r="G16" s="3">
        <f t="shared" si="2"/>
        <v>2300</v>
      </c>
      <c r="H16" s="3">
        <f t="shared" si="3"/>
        <v>208.33333333333334</v>
      </c>
      <c r="I16" s="4">
        <f t="shared" si="4"/>
        <v>39100</v>
      </c>
      <c r="J16" s="3">
        <f t="shared" si="5"/>
        <v>2508.3333333333335</v>
      </c>
      <c r="K16" s="4">
        <f t="shared" si="6"/>
        <v>36591.666666666664</v>
      </c>
      <c r="O16" s="8" t="s">
        <v>66</v>
      </c>
      <c r="P16">
        <v>151</v>
      </c>
      <c r="Q16" s="6">
        <v>22488.0952380952</v>
      </c>
      <c r="R16" s="6">
        <v>38229.761904761835</v>
      </c>
      <c r="S16" s="6">
        <v>35772.61904761898</v>
      </c>
      <c r="T16" s="6">
        <v>2457.1428571428551</v>
      </c>
    </row>
    <row r="17" spans="1:20" x14ac:dyDescent="0.3">
      <c r="A17" s="3">
        <v>116</v>
      </c>
      <c r="B17" s="5" t="s">
        <v>31</v>
      </c>
      <c r="C17" s="3" t="s">
        <v>12</v>
      </c>
      <c r="D17" s="4">
        <v>18238.0952380952</v>
      </c>
      <c r="E17" s="3">
        <f t="shared" si="0"/>
        <v>9119.0476190476002</v>
      </c>
      <c r="F17" s="3">
        <f t="shared" ref="F17" si="7">D17*20%</f>
        <v>3647.6190476190404</v>
      </c>
      <c r="G17" s="3">
        <f>D17*10%</f>
        <v>1823.8095238095202</v>
      </c>
      <c r="H17" s="3">
        <f t="shared" si="3"/>
        <v>208.33333333333334</v>
      </c>
      <c r="I17" s="4">
        <f t="shared" si="4"/>
        <v>31004.761904761843</v>
      </c>
      <c r="J17" s="3">
        <f t="shared" si="5"/>
        <v>2032.1428571428535</v>
      </c>
      <c r="K17" s="4">
        <f t="shared" si="6"/>
        <v>28972.619047618988</v>
      </c>
      <c r="O17" s="8" t="s">
        <v>100</v>
      </c>
      <c r="P17">
        <v>182</v>
      </c>
      <c r="Q17" s="6">
        <v>26252.3809523809</v>
      </c>
      <c r="R17" s="6">
        <v>44629.047619047531</v>
      </c>
      <c r="S17" s="6">
        <v>41795.476190476111</v>
      </c>
      <c r="T17" s="6">
        <v>2833.5714285714203</v>
      </c>
    </row>
    <row r="18" spans="1:20" x14ac:dyDescent="0.3">
      <c r="A18" s="3">
        <v>117</v>
      </c>
      <c r="B18" s="5" t="s">
        <v>32</v>
      </c>
      <c r="C18" s="3" t="s">
        <v>14</v>
      </c>
      <c r="D18" s="4">
        <v>18359.523809523798</v>
      </c>
      <c r="E18" s="3">
        <f t="shared" si="0"/>
        <v>9179.7619047618991</v>
      </c>
      <c r="F18" s="3">
        <f t="shared" si="1"/>
        <v>3671.9047619047597</v>
      </c>
      <c r="G18" s="3">
        <f t="shared" si="2"/>
        <v>1835.9523809523798</v>
      </c>
      <c r="H18" s="3">
        <f t="shared" si="3"/>
        <v>208.33333333333334</v>
      </c>
      <c r="I18" s="4">
        <f t="shared" si="4"/>
        <v>31211.190476190455</v>
      </c>
      <c r="J18" s="3">
        <f t="shared" si="5"/>
        <v>2044.2857142857131</v>
      </c>
      <c r="K18" s="4">
        <f t="shared" si="6"/>
        <v>29166.904761904741</v>
      </c>
      <c r="O18" s="8" t="s">
        <v>94</v>
      </c>
      <c r="P18">
        <v>176</v>
      </c>
      <c r="Q18" s="6">
        <v>25523.809523809501</v>
      </c>
      <c r="R18" s="6">
        <v>43390.476190476154</v>
      </c>
      <c r="S18" s="6">
        <v>40629.761904761872</v>
      </c>
      <c r="T18" s="6">
        <v>2760.7142857142826</v>
      </c>
    </row>
    <row r="19" spans="1:20" x14ac:dyDescent="0.3">
      <c r="A19" s="3">
        <v>118</v>
      </c>
      <c r="B19" s="5" t="s">
        <v>33</v>
      </c>
      <c r="C19" s="3" t="s">
        <v>16</v>
      </c>
      <c r="D19" s="4">
        <v>18480.9523809524</v>
      </c>
      <c r="E19" s="3">
        <f t="shared" si="0"/>
        <v>9240.4761904761999</v>
      </c>
      <c r="F19" s="3">
        <f t="shared" si="1"/>
        <v>3696.1904761904802</v>
      </c>
      <c r="G19" s="3">
        <f t="shared" si="2"/>
        <v>1848.0952380952401</v>
      </c>
      <c r="H19" s="3">
        <f t="shared" si="3"/>
        <v>208.33333333333334</v>
      </c>
      <c r="I19" s="4">
        <f t="shared" si="4"/>
        <v>31417.619047619082</v>
      </c>
      <c r="J19" s="3">
        <f t="shared" si="5"/>
        <v>2056.4285714285734</v>
      </c>
      <c r="K19" s="4">
        <f t="shared" si="6"/>
        <v>29361.19047619051</v>
      </c>
      <c r="O19" s="8" t="s">
        <v>44</v>
      </c>
      <c r="P19">
        <v>129</v>
      </c>
      <c r="Q19" s="6">
        <v>19816.666666666701</v>
      </c>
      <c r="R19" s="6">
        <v>33688.333333333394</v>
      </c>
      <c r="S19" s="6">
        <v>31498.33333333339</v>
      </c>
      <c r="T19" s="6">
        <v>2190.0000000000036</v>
      </c>
    </row>
    <row r="20" spans="1:20" x14ac:dyDescent="0.3">
      <c r="A20" s="3">
        <v>119</v>
      </c>
      <c r="B20" s="5" t="s">
        <v>34</v>
      </c>
      <c r="C20" s="3" t="s">
        <v>18</v>
      </c>
      <c r="D20" s="4">
        <v>18602.3809523809</v>
      </c>
      <c r="E20" s="3">
        <f t="shared" si="0"/>
        <v>9301.1904761904498</v>
      </c>
      <c r="F20" s="3">
        <f t="shared" si="1"/>
        <v>3720.4761904761799</v>
      </c>
      <c r="G20" s="3">
        <f t="shared" si="2"/>
        <v>1860.23809523809</v>
      </c>
      <c r="H20" s="3">
        <f t="shared" si="3"/>
        <v>208.33333333333334</v>
      </c>
      <c r="I20" s="4">
        <f t="shared" si="4"/>
        <v>31624.047619047527</v>
      </c>
      <c r="J20" s="3">
        <f t="shared" si="5"/>
        <v>2068.5714285714234</v>
      </c>
      <c r="K20" s="4">
        <f t="shared" si="6"/>
        <v>29555.476190476104</v>
      </c>
      <c r="O20" s="8" t="s">
        <v>59</v>
      </c>
      <c r="P20">
        <v>144</v>
      </c>
      <c r="Q20" s="6">
        <v>21638.0952380952</v>
      </c>
      <c r="R20" s="6">
        <v>36784.761904761843</v>
      </c>
      <c r="S20" s="6">
        <v>34412.619047618988</v>
      </c>
      <c r="T20" s="6">
        <v>2372.1428571428551</v>
      </c>
    </row>
    <row r="21" spans="1:20" x14ac:dyDescent="0.3">
      <c r="A21" s="3">
        <v>120</v>
      </c>
      <c r="B21" s="5" t="s">
        <v>35</v>
      </c>
      <c r="C21" s="3" t="s">
        <v>20</v>
      </c>
      <c r="D21" s="4">
        <v>18723.809523809501</v>
      </c>
      <c r="E21" s="3">
        <f t="shared" si="0"/>
        <v>9361.9047619047506</v>
      </c>
      <c r="F21" s="3">
        <f t="shared" si="1"/>
        <v>3744.7619047619005</v>
      </c>
      <c r="G21" s="3">
        <f t="shared" si="2"/>
        <v>1872.3809523809502</v>
      </c>
      <c r="H21" s="3">
        <f t="shared" si="3"/>
        <v>208.33333333333334</v>
      </c>
      <c r="I21" s="4">
        <f t="shared" si="4"/>
        <v>31830.476190476154</v>
      </c>
      <c r="J21" s="3">
        <f t="shared" si="5"/>
        <v>2080.7142857142835</v>
      </c>
      <c r="K21" s="4">
        <f t="shared" si="6"/>
        <v>29749.761904761872</v>
      </c>
      <c r="O21" s="8" t="s">
        <v>57</v>
      </c>
      <c r="P21">
        <v>142</v>
      </c>
      <c r="Q21" s="6">
        <v>21395.238095238099</v>
      </c>
      <c r="R21" s="6">
        <v>36371.904761904771</v>
      </c>
      <c r="S21" s="6">
        <v>34024.047619047626</v>
      </c>
      <c r="T21" s="6">
        <v>2347.8571428571449</v>
      </c>
    </row>
    <row r="22" spans="1:20" x14ac:dyDescent="0.3">
      <c r="A22" s="3">
        <v>121</v>
      </c>
      <c r="B22" s="5" t="s">
        <v>36</v>
      </c>
      <c r="C22" s="3" t="s">
        <v>20</v>
      </c>
      <c r="D22" s="4">
        <v>18845.238095238099</v>
      </c>
      <c r="E22" s="3">
        <f t="shared" si="0"/>
        <v>9422.6190476190495</v>
      </c>
      <c r="F22" s="3">
        <f t="shared" si="1"/>
        <v>3769.0476190476202</v>
      </c>
      <c r="G22" s="3">
        <f t="shared" si="2"/>
        <v>1884.5238095238101</v>
      </c>
      <c r="H22" s="3">
        <f t="shared" si="3"/>
        <v>208.33333333333334</v>
      </c>
      <c r="I22" s="4">
        <f t="shared" si="4"/>
        <v>32036.904761904771</v>
      </c>
      <c r="J22" s="3">
        <f t="shared" si="5"/>
        <v>2092.8571428571436</v>
      </c>
      <c r="K22" s="4">
        <f t="shared" si="6"/>
        <v>29944.047619047626</v>
      </c>
      <c r="O22" s="8" t="s">
        <v>72</v>
      </c>
      <c r="P22">
        <v>157</v>
      </c>
      <c r="Q22" s="6">
        <v>23216.666666666701</v>
      </c>
      <c r="R22" s="6">
        <v>39468.333333333394</v>
      </c>
      <c r="S22" s="6">
        <v>36938.333333333387</v>
      </c>
      <c r="T22" s="6">
        <v>2530.0000000000073</v>
      </c>
    </row>
    <row r="23" spans="1:20" x14ac:dyDescent="0.3">
      <c r="A23" s="3">
        <v>122</v>
      </c>
      <c r="B23" s="5" t="s">
        <v>37</v>
      </c>
      <c r="C23" s="3" t="s">
        <v>14</v>
      </c>
      <c r="D23" s="4">
        <v>18966.666666666701</v>
      </c>
      <c r="E23" s="3">
        <f t="shared" si="0"/>
        <v>9483.3333333333503</v>
      </c>
      <c r="F23" s="3">
        <f t="shared" si="1"/>
        <v>3793.3333333333403</v>
      </c>
      <c r="G23" s="3">
        <f t="shared" si="2"/>
        <v>1896.6666666666702</v>
      </c>
      <c r="H23" s="3">
        <f t="shared" si="3"/>
        <v>208.33333333333334</v>
      </c>
      <c r="I23" s="4">
        <f t="shared" si="4"/>
        <v>32243.33333333339</v>
      </c>
      <c r="J23" s="3">
        <f t="shared" si="5"/>
        <v>2105.0000000000036</v>
      </c>
      <c r="K23" s="4">
        <f t="shared" si="6"/>
        <v>30138.333333333387</v>
      </c>
      <c r="O23" s="8" t="s">
        <v>90</v>
      </c>
      <c r="P23">
        <v>172</v>
      </c>
      <c r="Q23" s="6">
        <v>25038.0952380952</v>
      </c>
      <c r="R23" s="6">
        <v>42564.761904761835</v>
      </c>
      <c r="S23" s="6">
        <v>39852.61904761898</v>
      </c>
      <c r="T23" s="6">
        <v>2712.1428571428551</v>
      </c>
    </row>
    <row r="24" spans="1:20" x14ac:dyDescent="0.3">
      <c r="A24" s="3">
        <v>123</v>
      </c>
      <c r="B24" s="5" t="s">
        <v>38</v>
      </c>
      <c r="C24" s="3" t="s">
        <v>12</v>
      </c>
      <c r="D24" s="4">
        <v>19088.0952380952</v>
      </c>
      <c r="E24" s="3">
        <f t="shared" si="0"/>
        <v>9544.0476190476002</v>
      </c>
      <c r="F24" s="3">
        <f t="shared" si="1"/>
        <v>3817.6190476190404</v>
      </c>
      <c r="G24" s="3">
        <f t="shared" si="2"/>
        <v>1908.8095238095202</v>
      </c>
      <c r="H24" s="3">
        <f t="shared" si="3"/>
        <v>208.33333333333334</v>
      </c>
      <c r="I24" s="4">
        <f t="shared" si="4"/>
        <v>32449.761904761843</v>
      </c>
      <c r="J24" s="3">
        <f t="shared" si="5"/>
        <v>2117.1428571428537</v>
      </c>
      <c r="K24" s="4">
        <f t="shared" si="6"/>
        <v>30332.619047618988</v>
      </c>
      <c r="O24" s="8" t="s">
        <v>55</v>
      </c>
      <c r="P24">
        <v>140</v>
      </c>
      <c r="Q24" s="6">
        <v>21152.3809523809</v>
      </c>
      <c r="R24" s="6">
        <v>35959.047619047531</v>
      </c>
      <c r="S24" s="6">
        <v>33635.476190476111</v>
      </c>
      <c r="T24" s="6">
        <v>2323.5714285714203</v>
      </c>
    </row>
    <row r="25" spans="1:20" x14ac:dyDescent="0.3">
      <c r="A25" s="3">
        <v>124</v>
      </c>
      <c r="B25" s="5" t="s">
        <v>39</v>
      </c>
      <c r="C25" s="3" t="s">
        <v>18</v>
      </c>
      <c r="D25" s="4">
        <v>19209.523809523798</v>
      </c>
      <c r="E25" s="3">
        <f t="shared" si="0"/>
        <v>9604.7619047618991</v>
      </c>
      <c r="F25" s="3">
        <f t="shared" si="1"/>
        <v>3841.9047619047597</v>
      </c>
      <c r="G25" s="3">
        <f t="shared" si="2"/>
        <v>1920.9523809523798</v>
      </c>
      <c r="H25" s="3">
        <f t="shared" si="3"/>
        <v>208.33333333333334</v>
      </c>
      <c r="I25" s="4">
        <f t="shared" si="4"/>
        <v>32656.190476190455</v>
      </c>
      <c r="J25" s="3">
        <f t="shared" si="5"/>
        <v>2129.2857142857133</v>
      </c>
      <c r="K25" s="4">
        <f t="shared" si="6"/>
        <v>30526.904761904741</v>
      </c>
      <c r="O25" s="8" t="s">
        <v>62</v>
      </c>
      <c r="P25">
        <v>147</v>
      </c>
      <c r="Q25" s="6">
        <v>22002.3809523809</v>
      </c>
      <c r="R25" s="6">
        <v>37404.047619047531</v>
      </c>
      <c r="S25" s="6">
        <v>34995.476190476111</v>
      </c>
      <c r="T25" s="6">
        <v>2408.5714285714203</v>
      </c>
    </row>
    <row r="26" spans="1:20" x14ac:dyDescent="0.3">
      <c r="A26" s="3">
        <v>125</v>
      </c>
      <c r="B26" s="5" t="s">
        <v>40</v>
      </c>
      <c r="C26" s="3" t="s">
        <v>16</v>
      </c>
      <c r="D26" s="4">
        <v>19330.9523809524</v>
      </c>
      <c r="E26" s="3">
        <f t="shared" si="0"/>
        <v>9665.4761904761999</v>
      </c>
      <c r="F26" s="3">
        <f t="shared" si="1"/>
        <v>3866.1904761904802</v>
      </c>
      <c r="G26" s="3">
        <f t="shared" si="2"/>
        <v>1933.0952380952401</v>
      </c>
      <c r="H26" s="3">
        <f t="shared" si="3"/>
        <v>208.33333333333334</v>
      </c>
      <c r="I26" s="4">
        <f t="shared" si="4"/>
        <v>32862.619047619082</v>
      </c>
      <c r="J26" s="3">
        <f t="shared" si="5"/>
        <v>2141.4285714285734</v>
      </c>
      <c r="K26" s="4">
        <f t="shared" si="6"/>
        <v>30721.19047619051</v>
      </c>
      <c r="O26" s="8" t="s">
        <v>95</v>
      </c>
      <c r="P26">
        <v>177</v>
      </c>
      <c r="Q26" s="6">
        <v>25645.238095238099</v>
      </c>
      <c r="R26" s="6">
        <v>43596.904761904763</v>
      </c>
      <c r="S26" s="6">
        <v>40824.047619047618</v>
      </c>
      <c r="T26" s="6">
        <v>2772.8571428571449</v>
      </c>
    </row>
    <row r="27" spans="1:20" x14ac:dyDescent="0.3">
      <c r="A27" s="3">
        <v>126</v>
      </c>
      <c r="B27" s="5" t="s">
        <v>41</v>
      </c>
      <c r="C27" s="3" t="s">
        <v>12</v>
      </c>
      <c r="D27" s="4">
        <v>19452.3809523809</v>
      </c>
      <c r="E27" s="3">
        <f t="shared" si="0"/>
        <v>9726.1904761904498</v>
      </c>
      <c r="F27" s="3">
        <f t="shared" si="1"/>
        <v>3890.4761904761799</v>
      </c>
      <c r="G27" s="3">
        <f t="shared" si="2"/>
        <v>1945.23809523809</v>
      </c>
      <c r="H27" s="3">
        <f t="shared" si="3"/>
        <v>208.33333333333334</v>
      </c>
      <c r="I27" s="4">
        <f t="shared" si="4"/>
        <v>33069.047619047531</v>
      </c>
      <c r="J27" s="3">
        <f t="shared" si="5"/>
        <v>2153.5714285714234</v>
      </c>
      <c r="K27" s="4">
        <f t="shared" si="6"/>
        <v>30915.476190476107</v>
      </c>
      <c r="O27" s="8" t="s">
        <v>23</v>
      </c>
      <c r="P27">
        <v>108</v>
      </c>
      <c r="Q27" s="6">
        <v>14000</v>
      </c>
      <c r="R27" s="6">
        <v>23800</v>
      </c>
      <c r="S27" s="6">
        <v>22191.666666666668</v>
      </c>
      <c r="T27" s="6">
        <v>1608.3333333333321</v>
      </c>
    </row>
    <row r="28" spans="1:20" x14ac:dyDescent="0.3">
      <c r="A28" s="3">
        <v>127</v>
      </c>
      <c r="B28" s="5" t="s">
        <v>42</v>
      </c>
      <c r="C28" s="3" t="s">
        <v>14</v>
      </c>
      <c r="D28" s="4">
        <v>19573.809523809501</v>
      </c>
      <c r="E28" s="3">
        <f t="shared" si="0"/>
        <v>9786.9047619047506</v>
      </c>
      <c r="F28" s="3">
        <f t="shared" si="1"/>
        <v>3914.7619047619005</v>
      </c>
      <c r="G28" s="3">
        <f t="shared" si="2"/>
        <v>1957.3809523809502</v>
      </c>
      <c r="H28" s="3">
        <f t="shared" si="3"/>
        <v>208.33333333333334</v>
      </c>
      <c r="I28" s="4">
        <f t="shared" si="4"/>
        <v>33275.476190476154</v>
      </c>
      <c r="J28" s="3">
        <f t="shared" si="5"/>
        <v>2165.7142857142835</v>
      </c>
      <c r="K28" s="4">
        <f t="shared" si="6"/>
        <v>31109.761904761872</v>
      </c>
      <c r="O28" s="8" t="s">
        <v>108</v>
      </c>
      <c r="P28">
        <v>106</v>
      </c>
      <c r="Q28" s="6">
        <v>21000</v>
      </c>
      <c r="R28" s="6">
        <v>35700</v>
      </c>
      <c r="S28" s="6">
        <v>33391.666666666664</v>
      </c>
      <c r="T28" s="6">
        <v>2308.3333333333358</v>
      </c>
    </row>
    <row r="29" spans="1:20" x14ac:dyDescent="0.3">
      <c r="A29" s="3">
        <v>128</v>
      </c>
      <c r="B29" s="5" t="s">
        <v>43</v>
      </c>
      <c r="C29" s="3" t="s">
        <v>20</v>
      </c>
      <c r="D29" s="4">
        <v>19695.238095238099</v>
      </c>
      <c r="E29" s="3">
        <f t="shared" si="0"/>
        <v>9847.6190476190495</v>
      </c>
      <c r="F29" s="3">
        <f t="shared" si="1"/>
        <v>3939.0476190476202</v>
      </c>
      <c r="G29" s="3">
        <f t="shared" si="2"/>
        <v>1969.5238095238101</v>
      </c>
      <c r="H29" s="3">
        <f t="shared" si="3"/>
        <v>208.33333333333334</v>
      </c>
      <c r="I29" s="4">
        <f t="shared" si="4"/>
        <v>33481.904761904771</v>
      </c>
      <c r="J29" s="3">
        <f t="shared" si="5"/>
        <v>2177.8571428571436</v>
      </c>
      <c r="K29" s="4">
        <f t="shared" si="6"/>
        <v>31304.047619047626</v>
      </c>
      <c r="O29" s="8" t="s">
        <v>81</v>
      </c>
      <c r="P29">
        <v>189</v>
      </c>
      <c r="Q29" s="6">
        <v>27102.380952381001</v>
      </c>
      <c r="R29" s="6">
        <v>46074.047619047698</v>
      </c>
      <c r="S29" s="6">
        <v>43155.476190476264</v>
      </c>
      <c r="T29" s="6">
        <v>2918.5714285714348</v>
      </c>
    </row>
    <row r="30" spans="1:20" x14ac:dyDescent="0.3">
      <c r="A30" s="3">
        <v>129</v>
      </c>
      <c r="B30" s="5" t="s">
        <v>44</v>
      </c>
      <c r="C30" s="3" t="s">
        <v>18</v>
      </c>
      <c r="D30" s="4">
        <v>19816.666666666701</v>
      </c>
      <c r="E30" s="3">
        <f t="shared" si="0"/>
        <v>9908.3333333333503</v>
      </c>
      <c r="F30" s="3">
        <f t="shared" si="1"/>
        <v>3963.3333333333403</v>
      </c>
      <c r="G30" s="3">
        <f t="shared" si="2"/>
        <v>1981.6666666666702</v>
      </c>
      <c r="H30" s="3">
        <f t="shared" si="3"/>
        <v>208.33333333333334</v>
      </c>
      <c r="I30" s="4">
        <f t="shared" si="4"/>
        <v>33688.333333333394</v>
      </c>
      <c r="J30" s="3">
        <f t="shared" si="5"/>
        <v>2190.0000000000036</v>
      </c>
      <c r="K30" s="4">
        <f t="shared" si="6"/>
        <v>31498.33333333339</v>
      </c>
      <c r="O30" s="8" t="s">
        <v>101</v>
      </c>
      <c r="P30">
        <v>183</v>
      </c>
      <c r="Q30" s="6">
        <v>26373.809523809501</v>
      </c>
      <c r="R30" s="6">
        <v>44835.476190476154</v>
      </c>
      <c r="S30" s="6">
        <v>41989.761904761872</v>
      </c>
      <c r="T30" s="6">
        <v>2845.7142857142826</v>
      </c>
    </row>
    <row r="31" spans="1:20" x14ac:dyDescent="0.3">
      <c r="A31" s="3">
        <v>130</v>
      </c>
      <c r="B31" s="5" t="s">
        <v>45</v>
      </c>
      <c r="C31" s="3" t="s">
        <v>16</v>
      </c>
      <c r="D31" s="4">
        <v>19938.0952380952</v>
      </c>
      <c r="E31" s="3">
        <f t="shared" si="0"/>
        <v>9969.0476190476002</v>
      </c>
      <c r="F31" s="3">
        <f t="shared" si="1"/>
        <v>3987.6190476190404</v>
      </c>
      <c r="G31" s="3">
        <f t="shared" si="2"/>
        <v>1993.8095238095202</v>
      </c>
      <c r="H31" s="3">
        <f t="shared" si="3"/>
        <v>208.33333333333334</v>
      </c>
      <c r="I31" s="4">
        <f t="shared" si="4"/>
        <v>33894.761904761843</v>
      </c>
      <c r="J31" s="3">
        <f t="shared" si="5"/>
        <v>2202.1428571428537</v>
      </c>
      <c r="K31" s="4">
        <f t="shared" si="6"/>
        <v>31692.619047618988</v>
      </c>
      <c r="O31" s="8" t="s">
        <v>70</v>
      </c>
      <c r="P31">
        <v>155</v>
      </c>
      <c r="Q31" s="6">
        <v>22973.809523809501</v>
      </c>
      <c r="R31" s="6">
        <v>39055.476190476154</v>
      </c>
      <c r="S31" s="6">
        <v>36549.761904761872</v>
      </c>
      <c r="T31" s="6">
        <v>2505.7142857142826</v>
      </c>
    </row>
    <row r="32" spans="1:20" x14ac:dyDescent="0.3">
      <c r="A32" s="3">
        <v>131</v>
      </c>
      <c r="B32" s="5" t="s">
        <v>46</v>
      </c>
      <c r="C32" s="3" t="s">
        <v>12</v>
      </c>
      <c r="D32" s="4">
        <v>20059.523809523798</v>
      </c>
      <c r="E32" s="3">
        <f t="shared" si="0"/>
        <v>10029.761904761899</v>
      </c>
      <c r="F32" s="3">
        <f t="shared" si="1"/>
        <v>4011.9047619047597</v>
      </c>
      <c r="G32" s="3">
        <f t="shared" si="2"/>
        <v>2005.9523809523798</v>
      </c>
      <c r="H32" s="3">
        <f t="shared" si="3"/>
        <v>208.33333333333334</v>
      </c>
      <c r="I32" s="4">
        <f t="shared" si="4"/>
        <v>34101.190476190459</v>
      </c>
      <c r="J32" s="3">
        <f t="shared" si="5"/>
        <v>2214.2857142857133</v>
      </c>
      <c r="K32" s="4">
        <f t="shared" si="6"/>
        <v>31886.904761904745</v>
      </c>
      <c r="O32" s="8" t="s">
        <v>43</v>
      </c>
      <c r="P32">
        <v>128</v>
      </c>
      <c r="Q32" s="6">
        <v>19695.238095238099</v>
      </c>
      <c r="R32" s="6">
        <v>33481.904761904771</v>
      </c>
      <c r="S32" s="6">
        <v>31304.047619047626</v>
      </c>
      <c r="T32" s="6">
        <v>2177.8571428571449</v>
      </c>
    </row>
    <row r="33" spans="1:20" x14ac:dyDescent="0.3">
      <c r="A33" s="3">
        <v>132</v>
      </c>
      <c r="B33" s="5" t="s">
        <v>47</v>
      </c>
      <c r="C33" s="3" t="s">
        <v>14</v>
      </c>
      <c r="D33" s="4">
        <v>20180.9523809524</v>
      </c>
      <c r="E33" s="3">
        <f t="shared" si="0"/>
        <v>10090.4761904762</v>
      </c>
      <c r="F33" s="3">
        <f t="shared" si="1"/>
        <v>4036.1904761904802</v>
      </c>
      <c r="G33" s="3">
        <f t="shared" si="2"/>
        <v>2018.0952380952401</v>
      </c>
      <c r="H33" s="3">
        <f t="shared" si="3"/>
        <v>208.33333333333334</v>
      </c>
      <c r="I33" s="4">
        <f t="shared" si="4"/>
        <v>34307.619047619082</v>
      </c>
      <c r="J33" s="3">
        <f t="shared" si="5"/>
        <v>2226.4285714285734</v>
      </c>
      <c r="K33" s="4">
        <f t="shared" si="6"/>
        <v>32081.19047619051</v>
      </c>
      <c r="O33" s="8" t="s">
        <v>24</v>
      </c>
      <c r="P33">
        <v>109</v>
      </c>
      <c r="Q33" s="6">
        <v>17000</v>
      </c>
      <c r="R33" s="6">
        <v>28900</v>
      </c>
      <c r="S33" s="6">
        <v>26991.666666666668</v>
      </c>
      <c r="T33" s="6">
        <v>1908.3333333333321</v>
      </c>
    </row>
    <row r="34" spans="1:20" x14ac:dyDescent="0.3">
      <c r="A34" s="3">
        <v>133</v>
      </c>
      <c r="B34" s="5" t="s">
        <v>48</v>
      </c>
      <c r="C34" s="3" t="s">
        <v>16</v>
      </c>
      <c r="D34" s="4">
        <v>20302.3809523809</v>
      </c>
      <c r="E34" s="3">
        <f t="shared" si="0"/>
        <v>10151.19047619045</v>
      </c>
      <c r="F34" s="3">
        <f t="shared" si="1"/>
        <v>4060.4761904761799</v>
      </c>
      <c r="G34" s="3">
        <f t="shared" si="2"/>
        <v>2030.23809523809</v>
      </c>
      <c r="H34" s="3">
        <f t="shared" si="3"/>
        <v>208.33333333333334</v>
      </c>
      <c r="I34" s="4">
        <f t="shared" si="4"/>
        <v>34514.047619047531</v>
      </c>
      <c r="J34" s="3">
        <f t="shared" si="5"/>
        <v>2238.5714285714234</v>
      </c>
      <c r="K34" s="4">
        <f t="shared" si="6"/>
        <v>32275.476190476107</v>
      </c>
      <c r="O34" s="8" t="s">
        <v>88</v>
      </c>
      <c r="P34">
        <v>170</v>
      </c>
      <c r="Q34" s="6">
        <v>24795.238095238099</v>
      </c>
      <c r="R34" s="6">
        <v>42151.904761904763</v>
      </c>
      <c r="S34" s="6">
        <v>39464.047619047618</v>
      </c>
      <c r="T34" s="6">
        <v>2687.8571428571449</v>
      </c>
    </row>
    <row r="35" spans="1:20" x14ac:dyDescent="0.3">
      <c r="A35" s="3">
        <v>134</v>
      </c>
      <c r="B35" s="5" t="s">
        <v>49</v>
      </c>
      <c r="C35" s="3" t="s">
        <v>18</v>
      </c>
      <c r="D35" s="4">
        <v>20423.809523809501</v>
      </c>
      <c r="E35" s="3">
        <f t="shared" si="0"/>
        <v>10211.904761904751</v>
      </c>
      <c r="F35" s="3">
        <f t="shared" si="1"/>
        <v>4084.7619047619005</v>
      </c>
      <c r="G35" s="3">
        <f t="shared" si="2"/>
        <v>2042.3809523809502</v>
      </c>
      <c r="H35" s="3">
        <f t="shared" si="3"/>
        <v>208.33333333333334</v>
      </c>
      <c r="I35" s="4">
        <f t="shared" si="4"/>
        <v>34720.476190476154</v>
      </c>
      <c r="J35" s="3">
        <f t="shared" si="5"/>
        <v>2250.7142857142835</v>
      </c>
      <c r="K35" s="4">
        <f t="shared" si="6"/>
        <v>32469.761904761872</v>
      </c>
      <c r="O35" s="8" t="s">
        <v>26</v>
      </c>
      <c r="P35">
        <v>111</v>
      </c>
      <c r="Q35" s="6">
        <v>19000</v>
      </c>
      <c r="R35" s="6">
        <v>32300</v>
      </c>
      <c r="S35" s="6">
        <v>30191.666666666668</v>
      </c>
      <c r="T35" s="6">
        <v>2108.3333333333321</v>
      </c>
    </row>
    <row r="36" spans="1:20" x14ac:dyDescent="0.3">
      <c r="A36" s="3">
        <v>135</v>
      </c>
      <c r="B36" s="5" t="s">
        <v>50</v>
      </c>
      <c r="C36" s="3" t="s">
        <v>20</v>
      </c>
      <c r="D36" s="4">
        <v>20545.238095238099</v>
      </c>
      <c r="E36" s="3">
        <f t="shared" si="0"/>
        <v>10272.61904761905</v>
      </c>
      <c r="F36" s="3">
        <f t="shared" si="1"/>
        <v>4109.0476190476202</v>
      </c>
      <c r="G36" s="3">
        <f t="shared" si="2"/>
        <v>2054.5238095238101</v>
      </c>
      <c r="H36" s="3">
        <f t="shared" si="3"/>
        <v>208.33333333333334</v>
      </c>
      <c r="I36" s="4">
        <f t="shared" si="4"/>
        <v>34926.904761904771</v>
      </c>
      <c r="J36" s="3">
        <f t="shared" si="5"/>
        <v>2262.8571428571436</v>
      </c>
      <c r="K36" s="4">
        <f t="shared" si="6"/>
        <v>32664.047619047626</v>
      </c>
      <c r="O36" s="8" t="s">
        <v>54</v>
      </c>
      <c r="P36">
        <v>139</v>
      </c>
      <c r="Q36" s="6">
        <v>21030.9523809524</v>
      </c>
      <c r="R36" s="6">
        <v>35752.619047619082</v>
      </c>
      <c r="S36" s="6">
        <v>33441.19047619051</v>
      </c>
      <c r="T36" s="6">
        <v>2311.4285714285725</v>
      </c>
    </row>
    <row r="37" spans="1:20" x14ac:dyDescent="0.3">
      <c r="A37" s="3">
        <v>136</v>
      </c>
      <c r="B37" s="5" t="s">
        <v>51</v>
      </c>
      <c r="C37" s="3" t="s">
        <v>20</v>
      </c>
      <c r="D37" s="4">
        <v>20666.666666666701</v>
      </c>
      <c r="E37" s="3">
        <f t="shared" si="0"/>
        <v>10333.33333333335</v>
      </c>
      <c r="F37" s="3">
        <f t="shared" si="1"/>
        <v>4133.3333333333403</v>
      </c>
      <c r="G37" s="3">
        <f t="shared" si="2"/>
        <v>2066.6666666666702</v>
      </c>
      <c r="H37" s="3">
        <f t="shared" si="3"/>
        <v>208.33333333333334</v>
      </c>
      <c r="I37" s="4">
        <f t="shared" si="4"/>
        <v>35133.333333333394</v>
      </c>
      <c r="J37" s="3">
        <f t="shared" si="5"/>
        <v>2275.0000000000036</v>
      </c>
      <c r="K37" s="4">
        <f t="shared" si="6"/>
        <v>32858.333333333387</v>
      </c>
      <c r="O37" s="8" t="s">
        <v>106</v>
      </c>
      <c r="P37">
        <v>188</v>
      </c>
      <c r="Q37" s="6">
        <v>26980.9523809524</v>
      </c>
      <c r="R37" s="6">
        <v>45867.619047619082</v>
      </c>
      <c r="S37" s="6">
        <v>42961.19047619051</v>
      </c>
      <c r="T37" s="6">
        <v>2906.4285714285725</v>
      </c>
    </row>
    <row r="38" spans="1:20" x14ac:dyDescent="0.3">
      <c r="A38" s="3">
        <v>137</v>
      </c>
      <c r="B38" s="5" t="s">
        <v>52</v>
      </c>
      <c r="C38" s="3" t="s">
        <v>14</v>
      </c>
      <c r="D38" s="4">
        <v>20788.0952380952</v>
      </c>
      <c r="E38" s="3">
        <f t="shared" si="0"/>
        <v>10394.0476190476</v>
      </c>
      <c r="F38" s="3">
        <f t="shared" si="1"/>
        <v>4157.6190476190404</v>
      </c>
      <c r="G38" s="3">
        <f t="shared" si="2"/>
        <v>2078.8095238095202</v>
      </c>
      <c r="H38" s="3">
        <f t="shared" si="3"/>
        <v>208.33333333333334</v>
      </c>
      <c r="I38" s="4">
        <f t="shared" si="4"/>
        <v>35339.761904761843</v>
      </c>
      <c r="J38" s="3">
        <f t="shared" si="5"/>
        <v>2287.1428571428537</v>
      </c>
      <c r="K38" s="4">
        <f t="shared" si="6"/>
        <v>33052.619047618988</v>
      </c>
      <c r="O38" s="8" t="s">
        <v>48</v>
      </c>
      <c r="P38">
        <v>133</v>
      </c>
      <c r="Q38" s="6">
        <v>20302.3809523809</v>
      </c>
      <c r="R38" s="6">
        <v>34514.047619047531</v>
      </c>
      <c r="S38" s="6">
        <v>32275.476190476107</v>
      </c>
      <c r="T38" s="6">
        <v>2238.5714285714239</v>
      </c>
    </row>
    <row r="39" spans="1:20" x14ac:dyDescent="0.3">
      <c r="A39" s="3">
        <v>138</v>
      </c>
      <c r="B39" s="5" t="s">
        <v>53</v>
      </c>
      <c r="C39" s="3" t="s">
        <v>12</v>
      </c>
      <c r="D39" s="4">
        <v>20909.523809523798</v>
      </c>
      <c r="E39" s="3">
        <f t="shared" si="0"/>
        <v>10454.761904761899</v>
      </c>
      <c r="F39" s="3">
        <f t="shared" si="1"/>
        <v>4181.9047619047597</v>
      </c>
      <c r="G39" s="3">
        <f t="shared" si="2"/>
        <v>2090.9523809523798</v>
      </c>
      <c r="H39" s="3">
        <f t="shared" si="3"/>
        <v>208.33333333333334</v>
      </c>
      <c r="I39" s="4">
        <f t="shared" si="4"/>
        <v>35546.190476190459</v>
      </c>
      <c r="J39" s="3">
        <f t="shared" si="5"/>
        <v>2299.2857142857133</v>
      </c>
      <c r="K39" s="4">
        <f t="shared" si="6"/>
        <v>33246.904761904749</v>
      </c>
      <c r="O39" s="8" t="s">
        <v>42</v>
      </c>
      <c r="P39">
        <v>127</v>
      </c>
      <c r="Q39" s="6">
        <v>19573.809523809501</v>
      </c>
      <c r="R39" s="6">
        <v>33275.476190476154</v>
      </c>
      <c r="S39" s="6">
        <v>31109.761904761872</v>
      </c>
      <c r="T39" s="6">
        <v>2165.7142857142826</v>
      </c>
    </row>
    <row r="40" spans="1:20" x14ac:dyDescent="0.3">
      <c r="A40" s="3">
        <v>139</v>
      </c>
      <c r="B40" s="5" t="s">
        <v>54</v>
      </c>
      <c r="C40" s="3" t="s">
        <v>18</v>
      </c>
      <c r="D40" s="4">
        <v>21030.9523809524</v>
      </c>
      <c r="E40" s="3">
        <f t="shared" si="0"/>
        <v>10515.4761904762</v>
      </c>
      <c r="F40" s="3">
        <f t="shared" si="1"/>
        <v>4206.1904761904798</v>
      </c>
      <c r="G40" s="3">
        <f t="shared" si="2"/>
        <v>2103.0952380952399</v>
      </c>
      <c r="H40" s="3">
        <f t="shared" si="3"/>
        <v>208.33333333333334</v>
      </c>
      <c r="I40" s="4">
        <f t="shared" si="4"/>
        <v>35752.619047619082</v>
      </c>
      <c r="J40" s="3">
        <f t="shared" si="5"/>
        <v>2311.4285714285734</v>
      </c>
      <c r="K40" s="4">
        <f t="shared" si="6"/>
        <v>33441.19047619051</v>
      </c>
      <c r="O40" s="8" t="s">
        <v>33</v>
      </c>
      <c r="P40">
        <v>118</v>
      </c>
      <c r="Q40" s="6">
        <v>18480.9523809524</v>
      </c>
      <c r="R40" s="6">
        <v>31417.619047619082</v>
      </c>
      <c r="S40" s="6">
        <v>29361.19047619051</v>
      </c>
      <c r="T40" s="6">
        <v>2056.4285714285725</v>
      </c>
    </row>
    <row r="41" spans="1:20" x14ac:dyDescent="0.3">
      <c r="A41" s="3">
        <v>140</v>
      </c>
      <c r="B41" s="5" t="s">
        <v>55</v>
      </c>
      <c r="C41" s="3" t="s">
        <v>16</v>
      </c>
      <c r="D41" s="4">
        <v>21152.3809523809</v>
      </c>
      <c r="E41" s="3">
        <f t="shared" si="0"/>
        <v>10576.19047619045</v>
      </c>
      <c r="F41" s="3">
        <f t="shared" si="1"/>
        <v>4230.4761904761799</v>
      </c>
      <c r="G41" s="3">
        <f t="shared" si="2"/>
        <v>2115.23809523809</v>
      </c>
      <c r="H41" s="3">
        <f t="shared" si="3"/>
        <v>208.33333333333334</v>
      </c>
      <c r="I41" s="4">
        <f t="shared" si="4"/>
        <v>35959.047619047531</v>
      </c>
      <c r="J41" s="3">
        <f t="shared" si="5"/>
        <v>2323.5714285714234</v>
      </c>
      <c r="K41" s="4">
        <f t="shared" si="6"/>
        <v>33635.476190476111</v>
      </c>
      <c r="O41" s="8" t="s">
        <v>19</v>
      </c>
      <c r="P41">
        <v>105</v>
      </c>
      <c r="Q41" s="6">
        <v>20000</v>
      </c>
      <c r="R41" s="6">
        <v>34000</v>
      </c>
      <c r="S41" s="6">
        <v>31791.666666666668</v>
      </c>
      <c r="T41" s="6">
        <v>2208.3333333333321</v>
      </c>
    </row>
    <row r="42" spans="1:20" x14ac:dyDescent="0.3">
      <c r="A42" s="3">
        <v>141</v>
      </c>
      <c r="B42" s="5" t="s">
        <v>56</v>
      </c>
      <c r="C42" s="3" t="s">
        <v>12</v>
      </c>
      <c r="D42" s="4">
        <v>21273.809523809501</v>
      </c>
      <c r="E42" s="3">
        <f t="shared" si="0"/>
        <v>10636.904761904751</v>
      </c>
      <c r="F42" s="3">
        <f t="shared" si="1"/>
        <v>4254.7619047619</v>
      </c>
      <c r="G42" s="3">
        <f t="shared" si="2"/>
        <v>2127.38095238095</v>
      </c>
      <c r="H42" s="3">
        <f t="shared" si="3"/>
        <v>208.33333333333334</v>
      </c>
      <c r="I42" s="4">
        <f t="shared" si="4"/>
        <v>36165.476190476154</v>
      </c>
      <c r="J42" s="3">
        <f t="shared" si="5"/>
        <v>2335.7142857142835</v>
      </c>
      <c r="K42" s="4">
        <f t="shared" si="6"/>
        <v>33829.761904761872</v>
      </c>
      <c r="O42" s="8" t="s">
        <v>82</v>
      </c>
      <c r="P42">
        <v>164</v>
      </c>
      <c r="Q42" s="6">
        <v>24066.666666666701</v>
      </c>
      <c r="R42" s="6">
        <v>40913.333333333394</v>
      </c>
      <c r="S42" s="6">
        <v>38298.333333333387</v>
      </c>
      <c r="T42" s="6">
        <v>2615.0000000000073</v>
      </c>
    </row>
    <row r="43" spans="1:20" x14ac:dyDescent="0.3">
      <c r="A43" s="3">
        <v>142</v>
      </c>
      <c r="B43" s="5" t="s">
        <v>57</v>
      </c>
      <c r="C43" s="3" t="s">
        <v>14</v>
      </c>
      <c r="D43" s="4">
        <v>21395.238095238099</v>
      </c>
      <c r="E43" s="3">
        <f t="shared" si="0"/>
        <v>10697.61904761905</v>
      </c>
      <c r="F43" s="3">
        <f t="shared" si="1"/>
        <v>4279.0476190476202</v>
      </c>
      <c r="G43" s="3">
        <f t="shared" si="2"/>
        <v>2139.5238095238101</v>
      </c>
      <c r="H43" s="3">
        <f t="shared" si="3"/>
        <v>208.33333333333334</v>
      </c>
      <c r="I43" s="4">
        <f t="shared" si="4"/>
        <v>36371.904761904771</v>
      </c>
      <c r="J43" s="3">
        <f t="shared" si="5"/>
        <v>2347.8571428571436</v>
      </c>
      <c r="K43" s="4">
        <f t="shared" si="6"/>
        <v>34024.047619047626</v>
      </c>
      <c r="O43" s="8" t="s">
        <v>35</v>
      </c>
      <c r="P43">
        <v>120</v>
      </c>
      <c r="Q43" s="6">
        <v>18723.809523809501</v>
      </c>
      <c r="R43" s="6">
        <v>31830.476190476154</v>
      </c>
      <c r="S43" s="6">
        <v>29749.761904761872</v>
      </c>
      <c r="T43" s="6">
        <v>2080.7142857142826</v>
      </c>
    </row>
    <row r="44" spans="1:20" x14ac:dyDescent="0.3">
      <c r="A44" s="3">
        <v>143</v>
      </c>
      <c r="B44" s="5" t="s">
        <v>58</v>
      </c>
      <c r="C44" s="3" t="s">
        <v>20</v>
      </c>
      <c r="D44" s="4">
        <v>21516.666666666701</v>
      </c>
      <c r="E44" s="3">
        <f t="shared" si="0"/>
        <v>10758.33333333335</v>
      </c>
      <c r="F44" s="3">
        <f t="shared" si="1"/>
        <v>4303.3333333333403</v>
      </c>
      <c r="G44" s="3">
        <f t="shared" si="2"/>
        <v>2151.6666666666702</v>
      </c>
      <c r="H44" s="3">
        <f t="shared" si="3"/>
        <v>208.33333333333334</v>
      </c>
      <c r="I44" s="4">
        <f t="shared" si="4"/>
        <v>36578.333333333394</v>
      </c>
      <c r="J44" s="3">
        <f t="shared" si="5"/>
        <v>2360.0000000000036</v>
      </c>
      <c r="K44" s="4">
        <f t="shared" si="6"/>
        <v>34218.333333333387</v>
      </c>
      <c r="O44" s="8" t="s">
        <v>13</v>
      </c>
      <c r="P44">
        <v>102</v>
      </c>
      <c r="Q44" s="6">
        <v>18000</v>
      </c>
      <c r="R44" s="6">
        <v>30600</v>
      </c>
      <c r="S44" s="6">
        <v>28591.666666666668</v>
      </c>
      <c r="T44" s="6">
        <v>2008.3333333333321</v>
      </c>
    </row>
    <row r="45" spans="1:20" x14ac:dyDescent="0.3">
      <c r="A45" s="3">
        <v>144</v>
      </c>
      <c r="B45" s="5" t="s">
        <v>59</v>
      </c>
      <c r="C45" s="3" t="s">
        <v>18</v>
      </c>
      <c r="D45" s="4">
        <v>21638.0952380952</v>
      </c>
      <c r="E45" s="3">
        <f t="shared" si="0"/>
        <v>10819.0476190476</v>
      </c>
      <c r="F45" s="3">
        <f t="shared" si="1"/>
        <v>4327.6190476190404</v>
      </c>
      <c r="G45" s="3">
        <f t="shared" si="2"/>
        <v>2163.8095238095202</v>
      </c>
      <c r="H45" s="3">
        <f t="shared" si="3"/>
        <v>208.33333333333334</v>
      </c>
      <c r="I45" s="4">
        <f t="shared" si="4"/>
        <v>36784.761904761843</v>
      </c>
      <c r="J45" s="3">
        <f t="shared" si="5"/>
        <v>2372.1428571428537</v>
      </c>
      <c r="K45" s="4">
        <f t="shared" si="6"/>
        <v>34412.619047618988</v>
      </c>
      <c r="O45" s="8" t="s">
        <v>52</v>
      </c>
      <c r="P45">
        <v>137</v>
      </c>
      <c r="Q45" s="6">
        <v>20788.0952380952</v>
      </c>
      <c r="R45" s="6">
        <v>35339.761904761843</v>
      </c>
      <c r="S45" s="6">
        <v>33052.619047618988</v>
      </c>
      <c r="T45" s="6">
        <v>2287.1428571428551</v>
      </c>
    </row>
    <row r="46" spans="1:20" x14ac:dyDescent="0.3">
      <c r="A46" s="3">
        <v>145</v>
      </c>
      <c r="B46" s="5" t="s">
        <v>60</v>
      </c>
      <c r="C46" s="3" t="s">
        <v>16</v>
      </c>
      <c r="D46" s="4">
        <v>21759.523809523798</v>
      </c>
      <c r="E46" s="3">
        <f t="shared" si="0"/>
        <v>10879.761904761899</v>
      </c>
      <c r="F46" s="3">
        <f t="shared" si="1"/>
        <v>4351.9047619047597</v>
      </c>
      <c r="G46" s="3">
        <f t="shared" si="2"/>
        <v>2175.9523809523798</v>
      </c>
      <c r="H46" s="3">
        <f t="shared" si="3"/>
        <v>208.33333333333334</v>
      </c>
      <c r="I46" s="4">
        <f t="shared" si="4"/>
        <v>36991.190476190459</v>
      </c>
      <c r="J46" s="3">
        <f t="shared" si="5"/>
        <v>2384.2857142857133</v>
      </c>
      <c r="K46" s="4">
        <f t="shared" si="6"/>
        <v>34606.904761904749</v>
      </c>
      <c r="O46" s="8" t="s">
        <v>77</v>
      </c>
      <c r="P46">
        <v>162</v>
      </c>
      <c r="Q46" s="6">
        <v>23823.809523809501</v>
      </c>
      <c r="R46" s="6">
        <v>40500.476190476154</v>
      </c>
      <c r="S46" s="6">
        <v>37909.761904761872</v>
      </c>
      <c r="T46" s="6">
        <v>2590.7142857142826</v>
      </c>
    </row>
    <row r="47" spans="1:20" x14ac:dyDescent="0.3">
      <c r="A47" s="3">
        <v>146</v>
      </c>
      <c r="B47" s="5" t="s">
        <v>61</v>
      </c>
      <c r="C47" s="3" t="s">
        <v>12</v>
      </c>
      <c r="D47" s="4">
        <v>21880.9523809524</v>
      </c>
      <c r="E47" s="3">
        <f t="shared" si="0"/>
        <v>10940.4761904762</v>
      </c>
      <c r="F47" s="3">
        <f t="shared" si="1"/>
        <v>4376.1904761904798</v>
      </c>
      <c r="G47" s="3">
        <f t="shared" si="2"/>
        <v>2188.0952380952399</v>
      </c>
      <c r="H47" s="3">
        <f t="shared" si="3"/>
        <v>208.33333333333334</v>
      </c>
      <c r="I47" s="4">
        <f t="shared" si="4"/>
        <v>37197.619047619082</v>
      </c>
      <c r="J47" s="3">
        <f t="shared" si="5"/>
        <v>2396.4285714285734</v>
      </c>
      <c r="K47" s="4">
        <f t="shared" si="6"/>
        <v>34801.19047619051</v>
      </c>
      <c r="O47" s="8" t="s">
        <v>103</v>
      </c>
      <c r="P47">
        <v>185</v>
      </c>
      <c r="Q47" s="6">
        <v>26616.666666666701</v>
      </c>
      <c r="R47" s="6">
        <v>45248.333333333394</v>
      </c>
      <c r="S47" s="6">
        <v>42378.333333333387</v>
      </c>
      <c r="T47" s="6">
        <v>2870.0000000000073</v>
      </c>
    </row>
    <row r="48" spans="1:20" x14ac:dyDescent="0.3">
      <c r="A48" s="3">
        <v>147</v>
      </c>
      <c r="B48" s="5" t="s">
        <v>62</v>
      </c>
      <c r="C48" s="3" t="s">
        <v>14</v>
      </c>
      <c r="D48" s="4">
        <v>22002.3809523809</v>
      </c>
      <c r="E48" s="3">
        <f t="shared" si="0"/>
        <v>11001.19047619045</v>
      </c>
      <c r="F48" s="3">
        <f t="shared" si="1"/>
        <v>4400.4761904761799</v>
      </c>
      <c r="G48" s="3">
        <f t="shared" si="2"/>
        <v>2200.23809523809</v>
      </c>
      <c r="H48" s="3">
        <f t="shared" si="3"/>
        <v>208.33333333333334</v>
      </c>
      <c r="I48" s="4">
        <f t="shared" si="4"/>
        <v>37404.047619047531</v>
      </c>
      <c r="J48" s="3">
        <f t="shared" si="5"/>
        <v>2408.5714285714234</v>
      </c>
      <c r="K48" s="4">
        <f t="shared" si="6"/>
        <v>34995.476190476111</v>
      </c>
      <c r="O48" s="8" t="s">
        <v>61</v>
      </c>
      <c r="P48">
        <v>146</v>
      </c>
      <c r="Q48" s="6">
        <v>21880.9523809524</v>
      </c>
      <c r="R48" s="6">
        <v>37197.619047619082</v>
      </c>
      <c r="S48" s="6">
        <v>34801.19047619051</v>
      </c>
      <c r="T48" s="6">
        <v>2396.4285714285725</v>
      </c>
    </row>
    <row r="49" spans="1:20" x14ac:dyDescent="0.3">
      <c r="A49" s="3">
        <v>148</v>
      </c>
      <c r="B49" s="5" t="s">
        <v>63</v>
      </c>
      <c r="C49" s="3" t="s">
        <v>16</v>
      </c>
      <c r="D49" s="4">
        <v>22123.809523809501</v>
      </c>
      <c r="E49" s="3">
        <f t="shared" si="0"/>
        <v>11061.904761904751</v>
      </c>
      <c r="F49" s="3">
        <f t="shared" si="1"/>
        <v>4424.7619047619</v>
      </c>
      <c r="G49" s="3">
        <f t="shared" si="2"/>
        <v>2212.38095238095</v>
      </c>
      <c r="H49" s="3">
        <f t="shared" si="3"/>
        <v>208.33333333333334</v>
      </c>
      <c r="I49" s="4">
        <f t="shared" si="4"/>
        <v>37610.476190476154</v>
      </c>
      <c r="J49" s="3">
        <f t="shared" si="5"/>
        <v>2420.7142857142835</v>
      </c>
      <c r="K49" s="4">
        <f t="shared" si="6"/>
        <v>35189.761904761872</v>
      </c>
      <c r="O49" s="8" t="s">
        <v>86</v>
      </c>
      <c r="P49">
        <v>168</v>
      </c>
      <c r="Q49" s="6">
        <v>24552.3809523809</v>
      </c>
      <c r="R49" s="6">
        <v>41739.047619047531</v>
      </c>
      <c r="S49" s="6">
        <v>39075.476190476111</v>
      </c>
      <c r="T49" s="6">
        <v>2663.5714285714203</v>
      </c>
    </row>
    <row r="50" spans="1:20" x14ac:dyDescent="0.3">
      <c r="A50" s="3">
        <v>149</v>
      </c>
      <c r="B50" s="5" t="s">
        <v>64</v>
      </c>
      <c r="C50" s="3" t="s">
        <v>18</v>
      </c>
      <c r="D50" s="4">
        <v>22245.238095238099</v>
      </c>
      <c r="E50" s="3">
        <f t="shared" si="0"/>
        <v>11122.61904761905</v>
      </c>
      <c r="F50" s="3">
        <f t="shared" si="1"/>
        <v>4449.0476190476202</v>
      </c>
      <c r="G50" s="3">
        <f t="shared" si="2"/>
        <v>2224.5238095238101</v>
      </c>
      <c r="H50" s="3">
        <f t="shared" si="3"/>
        <v>208.33333333333334</v>
      </c>
      <c r="I50" s="4">
        <f t="shared" si="4"/>
        <v>37816.904761904763</v>
      </c>
      <c r="J50" s="3">
        <f t="shared" si="5"/>
        <v>2432.8571428571436</v>
      </c>
      <c r="K50" s="4">
        <f t="shared" si="6"/>
        <v>35384.047619047618</v>
      </c>
      <c r="O50" s="8" t="s">
        <v>58</v>
      </c>
      <c r="P50">
        <v>143</v>
      </c>
      <c r="Q50" s="6">
        <v>21516.666666666701</v>
      </c>
      <c r="R50" s="6">
        <v>36578.333333333394</v>
      </c>
      <c r="S50" s="6">
        <v>34218.333333333387</v>
      </c>
      <c r="T50" s="6">
        <v>2360.0000000000073</v>
      </c>
    </row>
    <row r="51" spans="1:20" x14ac:dyDescent="0.3">
      <c r="A51" s="3">
        <v>150</v>
      </c>
      <c r="B51" s="5" t="s">
        <v>65</v>
      </c>
      <c r="C51" s="3" t="s">
        <v>20</v>
      </c>
      <c r="D51" s="4">
        <v>22366.666666666701</v>
      </c>
      <c r="E51" s="3">
        <f t="shared" si="0"/>
        <v>11183.33333333335</v>
      </c>
      <c r="F51" s="3">
        <f t="shared" si="1"/>
        <v>4473.3333333333403</v>
      </c>
      <c r="G51" s="3">
        <f t="shared" si="2"/>
        <v>2236.6666666666702</v>
      </c>
      <c r="H51" s="3">
        <f t="shared" si="3"/>
        <v>208.33333333333334</v>
      </c>
      <c r="I51" s="4">
        <f t="shared" si="4"/>
        <v>38023.333333333394</v>
      </c>
      <c r="J51" s="3">
        <f t="shared" si="5"/>
        <v>2445.0000000000036</v>
      </c>
      <c r="K51" s="4">
        <f t="shared" si="6"/>
        <v>35578.333333333387</v>
      </c>
      <c r="O51" s="8" t="s">
        <v>78</v>
      </c>
      <c r="P51">
        <v>163</v>
      </c>
      <c r="Q51" s="6">
        <v>23945.238095238099</v>
      </c>
      <c r="R51" s="6">
        <v>40706.904761904763</v>
      </c>
      <c r="S51" s="6">
        <v>38104.047619047618</v>
      </c>
      <c r="T51" s="6">
        <v>2602.8571428571449</v>
      </c>
    </row>
    <row r="52" spans="1:20" x14ac:dyDescent="0.3">
      <c r="A52" s="3">
        <v>151</v>
      </c>
      <c r="B52" s="5" t="s">
        <v>66</v>
      </c>
      <c r="C52" s="3" t="s">
        <v>20</v>
      </c>
      <c r="D52" s="4">
        <v>22488.0952380952</v>
      </c>
      <c r="E52" s="3">
        <f t="shared" si="0"/>
        <v>11244.0476190476</v>
      </c>
      <c r="F52" s="3">
        <f t="shared" si="1"/>
        <v>4497.6190476190404</v>
      </c>
      <c r="G52" s="3">
        <f t="shared" si="2"/>
        <v>2248.8095238095202</v>
      </c>
      <c r="H52" s="3">
        <f t="shared" si="3"/>
        <v>208.33333333333334</v>
      </c>
      <c r="I52" s="4">
        <f t="shared" si="4"/>
        <v>38229.761904761835</v>
      </c>
      <c r="J52" s="3">
        <f t="shared" si="5"/>
        <v>2457.1428571428537</v>
      </c>
      <c r="K52" s="4">
        <f t="shared" si="6"/>
        <v>35772.61904761898</v>
      </c>
      <c r="O52" s="8" t="s">
        <v>93</v>
      </c>
      <c r="P52">
        <v>175</v>
      </c>
      <c r="Q52" s="6">
        <v>25402.3809523809</v>
      </c>
      <c r="R52" s="6">
        <v>43184.047619047531</v>
      </c>
      <c r="S52" s="6">
        <v>40435.476190476111</v>
      </c>
      <c r="T52" s="6">
        <v>2748.5714285714203</v>
      </c>
    </row>
    <row r="53" spans="1:20" x14ac:dyDescent="0.3">
      <c r="A53" s="3">
        <v>152</v>
      </c>
      <c r="B53" s="5" t="s">
        <v>67</v>
      </c>
      <c r="C53" s="3" t="s">
        <v>14</v>
      </c>
      <c r="D53" s="4">
        <v>22609.523809523798</v>
      </c>
      <c r="E53" s="3">
        <f t="shared" si="0"/>
        <v>11304.761904761899</v>
      </c>
      <c r="F53" s="3">
        <f t="shared" si="1"/>
        <v>4521.9047619047597</v>
      </c>
      <c r="G53" s="3">
        <f t="shared" si="2"/>
        <v>2260.9523809523798</v>
      </c>
      <c r="H53" s="3">
        <f t="shared" si="3"/>
        <v>208.33333333333334</v>
      </c>
      <c r="I53" s="4">
        <f t="shared" si="4"/>
        <v>38436.190476190459</v>
      </c>
      <c r="J53" s="3">
        <f t="shared" si="5"/>
        <v>2469.2857142857133</v>
      </c>
      <c r="K53" s="4">
        <f t="shared" si="6"/>
        <v>35966.904761904749</v>
      </c>
      <c r="O53" s="8" t="s">
        <v>84</v>
      </c>
      <c r="P53">
        <v>166</v>
      </c>
      <c r="Q53" s="6">
        <v>24309.523809523798</v>
      </c>
      <c r="R53" s="6">
        <v>41326.190476190459</v>
      </c>
      <c r="S53" s="6">
        <v>38686.904761904749</v>
      </c>
      <c r="T53" s="6">
        <v>2639.2857142857101</v>
      </c>
    </row>
    <row r="54" spans="1:20" x14ac:dyDescent="0.3">
      <c r="A54" s="3">
        <v>153</v>
      </c>
      <c r="B54" s="5" t="s">
        <v>68</v>
      </c>
      <c r="C54" s="3" t="s">
        <v>12</v>
      </c>
      <c r="D54" s="4">
        <v>22730.9523809524</v>
      </c>
      <c r="E54" s="3">
        <f t="shared" si="0"/>
        <v>11365.4761904762</v>
      </c>
      <c r="F54" s="3">
        <f t="shared" si="1"/>
        <v>4546.1904761904798</v>
      </c>
      <c r="G54" s="3">
        <f t="shared" si="2"/>
        <v>2273.0952380952399</v>
      </c>
      <c r="H54" s="3">
        <f t="shared" si="3"/>
        <v>208.33333333333334</v>
      </c>
      <c r="I54" s="4">
        <f t="shared" si="4"/>
        <v>38642.619047619082</v>
      </c>
      <c r="J54" s="3">
        <f t="shared" si="5"/>
        <v>2481.4285714285734</v>
      </c>
      <c r="K54" s="4">
        <f t="shared" si="6"/>
        <v>36161.19047619051</v>
      </c>
      <c r="O54" s="8" t="s">
        <v>105</v>
      </c>
      <c r="P54">
        <v>187</v>
      </c>
      <c r="Q54" s="6">
        <v>26859.523809523798</v>
      </c>
      <c r="R54" s="6">
        <v>45661.190476190459</v>
      </c>
      <c r="S54" s="6">
        <v>42766.904761904749</v>
      </c>
      <c r="T54" s="6">
        <v>2894.2857142857101</v>
      </c>
    </row>
    <row r="55" spans="1:20" x14ac:dyDescent="0.3">
      <c r="A55" s="3">
        <v>154</v>
      </c>
      <c r="B55" s="5" t="s">
        <v>69</v>
      </c>
      <c r="C55" s="3" t="s">
        <v>18</v>
      </c>
      <c r="D55" s="4">
        <v>22852.3809523809</v>
      </c>
      <c r="E55" s="3">
        <f t="shared" si="0"/>
        <v>11426.19047619045</v>
      </c>
      <c r="F55" s="3">
        <f t="shared" si="1"/>
        <v>4570.4761904761799</v>
      </c>
      <c r="G55" s="3">
        <f t="shared" si="2"/>
        <v>2285.23809523809</v>
      </c>
      <c r="H55" s="3">
        <f t="shared" si="3"/>
        <v>208.33333333333334</v>
      </c>
      <c r="I55" s="4">
        <f t="shared" si="4"/>
        <v>38849.047619047531</v>
      </c>
      <c r="J55" s="3">
        <f t="shared" si="5"/>
        <v>2493.5714285714234</v>
      </c>
      <c r="K55" s="4">
        <f t="shared" si="6"/>
        <v>36355.476190476111</v>
      </c>
      <c r="O55" s="8" t="s">
        <v>85</v>
      </c>
      <c r="P55">
        <v>167</v>
      </c>
      <c r="Q55" s="6">
        <v>24430.9523809524</v>
      </c>
      <c r="R55" s="6">
        <v>41532.619047619082</v>
      </c>
      <c r="S55" s="6">
        <v>38881.19047619051</v>
      </c>
      <c r="T55" s="6">
        <v>2651.4285714285725</v>
      </c>
    </row>
    <row r="56" spans="1:20" x14ac:dyDescent="0.3">
      <c r="A56" s="3">
        <v>155</v>
      </c>
      <c r="B56" s="5" t="s">
        <v>70</v>
      </c>
      <c r="C56" s="3" t="s">
        <v>16</v>
      </c>
      <c r="D56" s="4">
        <v>22973.809523809501</v>
      </c>
      <c r="E56" s="3">
        <f t="shared" si="0"/>
        <v>11486.904761904751</v>
      </c>
      <c r="F56" s="3">
        <f t="shared" si="1"/>
        <v>4594.7619047619</v>
      </c>
      <c r="G56" s="3">
        <f t="shared" si="2"/>
        <v>2297.38095238095</v>
      </c>
      <c r="H56" s="3">
        <f t="shared" si="3"/>
        <v>208.33333333333334</v>
      </c>
      <c r="I56" s="4">
        <f t="shared" si="4"/>
        <v>39055.476190476154</v>
      </c>
      <c r="J56" s="3">
        <f t="shared" si="5"/>
        <v>2505.7142857142835</v>
      </c>
      <c r="K56" s="4">
        <f t="shared" si="6"/>
        <v>36549.761904761872</v>
      </c>
      <c r="O56" s="8" t="s">
        <v>67</v>
      </c>
      <c r="P56">
        <v>152</v>
      </c>
      <c r="Q56" s="6">
        <v>22609.523809523798</v>
      </c>
      <c r="R56" s="6">
        <v>38436.190476190459</v>
      </c>
      <c r="S56" s="6">
        <v>35966.904761904749</v>
      </c>
      <c r="T56" s="6">
        <v>2469.2857142857101</v>
      </c>
    </row>
    <row r="57" spans="1:20" x14ac:dyDescent="0.3">
      <c r="A57" s="3">
        <v>156</v>
      </c>
      <c r="B57" s="5" t="s">
        <v>71</v>
      </c>
      <c r="C57" s="3" t="s">
        <v>12</v>
      </c>
      <c r="D57" s="4">
        <v>23095.238095238099</v>
      </c>
      <c r="E57" s="3">
        <f t="shared" si="0"/>
        <v>11547.61904761905</v>
      </c>
      <c r="F57" s="3">
        <f t="shared" si="1"/>
        <v>4619.0476190476202</v>
      </c>
      <c r="G57" s="3">
        <f t="shared" si="2"/>
        <v>2309.5238095238101</v>
      </c>
      <c r="H57" s="3">
        <f t="shared" si="3"/>
        <v>208.33333333333334</v>
      </c>
      <c r="I57" s="4">
        <f t="shared" si="4"/>
        <v>39261.904761904763</v>
      </c>
      <c r="J57" s="3">
        <f t="shared" si="5"/>
        <v>2517.8571428571436</v>
      </c>
      <c r="K57" s="4">
        <f t="shared" si="6"/>
        <v>36744.047619047618</v>
      </c>
      <c r="O57" s="8" t="s">
        <v>50</v>
      </c>
      <c r="P57">
        <v>135</v>
      </c>
      <c r="Q57" s="6">
        <v>20545.238095238099</v>
      </c>
      <c r="R57" s="6">
        <v>34926.904761904771</v>
      </c>
      <c r="S57" s="6">
        <v>32664.047619047626</v>
      </c>
      <c r="T57" s="6">
        <v>2262.8571428571449</v>
      </c>
    </row>
    <row r="58" spans="1:20" x14ac:dyDescent="0.3">
      <c r="A58" s="3">
        <v>157</v>
      </c>
      <c r="B58" s="5" t="s">
        <v>72</v>
      </c>
      <c r="C58" s="3" t="s">
        <v>14</v>
      </c>
      <c r="D58" s="4">
        <v>23216.666666666701</v>
      </c>
      <c r="E58" s="3">
        <f t="shared" si="0"/>
        <v>11608.33333333335</v>
      </c>
      <c r="F58" s="3">
        <f t="shared" si="1"/>
        <v>4643.3333333333403</v>
      </c>
      <c r="G58" s="3">
        <f t="shared" si="2"/>
        <v>2321.6666666666702</v>
      </c>
      <c r="H58" s="3">
        <f t="shared" si="3"/>
        <v>208.33333333333334</v>
      </c>
      <c r="I58" s="4">
        <f t="shared" si="4"/>
        <v>39468.333333333394</v>
      </c>
      <c r="J58" s="3">
        <f t="shared" si="5"/>
        <v>2530.0000000000036</v>
      </c>
      <c r="K58" s="4">
        <f t="shared" si="6"/>
        <v>36938.333333333387</v>
      </c>
      <c r="O58" s="8" t="s">
        <v>76</v>
      </c>
      <c r="P58">
        <v>161</v>
      </c>
      <c r="Q58" s="6">
        <v>23702.3809523809</v>
      </c>
      <c r="R58" s="6">
        <v>40294.047619047531</v>
      </c>
      <c r="S58" s="6">
        <v>37715.476190476111</v>
      </c>
      <c r="T58" s="6">
        <v>2578.5714285714203</v>
      </c>
    </row>
    <row r="59" spans="1:20" x14ac:dyDescent="0.3">
      <c r="A59" s="3">
        <v>158</v>
      </c>
      <c r="B59" s="5" t="s">
        <v>73</v>
      </c>
      <c r="C59" s="3" t="s">
        <v>20</v>
      </c>
      <c r="D59" s="4">
        <v>23338.0952380952</v>
      </c>
      <c r="E59" s="3">
        <f t="shared" si="0"/>
        <v>11669.0476190476</v>
      </c>
      <c r="F59" s="3">
        <f t="shared" si="1"/>
        <v>4667.6190476190404</v>
      </c>
      <c r="G59" s="3">
        <f t="shared" si="2"/>
        <v>2333.8095238095202</v>
      </c>
      <c r="H59" s="3">
        <f t="shared" si="3"/>
        <v>208.33333333333334</v>
      </c>
      <c r="I59" s="4">
        <f t="shared" si="4"/>
        <v>39674.761904761835</v>
      </c>
      <c r="J59" s="3">
        <f t="shared" si="5"/>
        <v>2542.1428571428537</v>
      </c>
      <c r="K59" s="4">
        <f t="shared" si="6"/>
        <v>37132.61904761898</v>
      </c>
      <c r="O59" s="8" t="s">
        <v>30</v>
      </c>
      <c r="P59">
        <v>115</v>
      </c>
      <c r="Q59" s="6">
        <v>23000</v>
      </c>
      <c r="R59" s="6">
        <v>39100</v>
      </c>
      <c r="S59" s="6">
        <v>36591.666666666664</v>
      </c>
      <c r="T59" s="6">
        <v>2508.3333333333358</v>
      </c>
    </row>
    <row r="60" spans="1:20" x14ac:dyDescent="0.3">
      <c r="A60" s="3">
        <v>159</v>
      </c>
      <c r="B60" s="5" t="s">
        <v>74</v>
      </c>
      <c r="C60" s="3" t="s">
        <v>18</v>
      </c>
      <c r="D60" s="4">
        <v>23459.523809523798</v>
      </c>
      <c r="E60" s="3">
        <f t="shared" si="0"/>
        <v>11729.761904761899</v>
      </c>
      <c r="F60" s="3">
        <f t="shared" si="1"/>
        <v>4691.9047619047597</v>
      </c>
      <c r="G60" s="3">
        <f t="shared" si="2"/>
        <v>2345.9523809523798</v>
      </c>
      <c r="H60" s="3">
        <f t="shared" si="3"/>
        <v>208.33333333333334</v>
      </c>
      <c r="I60" s="4">
        <f t="shared" si="4"/>
        <v>39881.190476190459</v>
      </c>
      <c r="J60" s="3">
        <f t="shared" si="5"/>
        <v>2554.2857142857133</v>
      </c>
      <c r="K60" s="4">
        <f t="shared" si="6"/>
        <v>37326.904761904749</v>
      </c>
      <c r="O60" s="8" t="s">
        <v>60</v>
      </c>
      <c r="P60">
        <v>145</v>
      </c>
      <c r="Q60" s="6">
        <v>21759.523809523798</v>
      </c>
      <c r="R60" s="6">
        <v>36991.190476190459</v>
      </c>
      <c r="S60" s="6">
        <v>34606.904761904749</v>
      </c>
      <c r="T60" s="6">
        <v>2384.2857142857101</v>
      </c>
    </row>
    <row r="61" spans="1:20" x14ac:dyDescent="0.3">
      <c r="A61" s="3">
        <v>160</v>
      </c>
      <c r="B61" s="5" t="s">
        <v>75</v>
      </c>
      <c r="C61" s="3" t="s">
        <v>16</v>
      </c>
      <c r="D61" s="4">
        <v>23580.9523809524</v>
      </c>
      <c r="E61" s="3">
        <f t="shared" si="0"/>
        <v>11790.4761904762</v>
      </c>
      <c r="F61" s="3">
        <f t="shared" si="1"/>
        <v>4716.1904761904798</v>
      </c>
      <c r="G61" s="3">
        <f t="shared" si="2"/>
        <v>2358.0952380952399</v>
      </c>
      <c r="H61" s="3">
        <f t="shared" si="3"/>
        <v>208.33333333333334</v>
      </c>
      <c r="I61" s="4">
        <f t="shared" si="4"/>
        <v>40087.619047619082</v>
      </c>
      <c r="J61" s="3">
        <f t="shared" si="5"/>
        <v>2566.4285714285734</v>
      </c>
      <c r="K61" s="4">
        <f t="shared" si="6"/>
        <v>37521.19047619051</v>
      </c>
      <c r="O61" s="8" t="s">
        <v>32</v>
      </c>
      <c r="P61">
        <v>117</v>
      </c>
      <c r="Q61" s="6">
        <v>18359.523809523798</v>
      </c>
      <c r="R61" s="6">
        <v>31211.190476190455</v>
      </c>
      <c r="S61" s="6">
        <v>29166.904761904741</v>
      </c>
      <c r="T61" s="6">
        <v>2044.2857142857138</v>
      </c>
    </row>
    <row r="62" spans="1:20" x14ac:dyDescent="0.3">
      <c r="A62" s="3">
        <v>161</v>
      </c>
      <c r="B62" s="5" t="s">
        <v>76</v>
      </c>
      <c r="C62" s="3" t="s">
        <v>12</v>
      </c>
      <c r="D62" s="4">
        <v>23702.3809523809</v>
      </c>
      <c r="E62" s="3">
        <f t="shared" si="0"/>
        <v>11851.19047619045</v>
      </c>
      <c r="F62" s="3">
        <f t="shared" si="1"/>
        <v>4740.4761904761799</v>
      </c>
      <c r="G62" s="3">
        <f t="shared" si="2"/>
        <v>2370.23809523809</v>
      </c>
      <c r="H62" s="3">
        <f t="shared" si="3"/>
        <v>208.33333333333334</v>
      </c>
      <c r="I62" s="4">
        <f t="shared" si="4"/>
        <v>40294.047619047531</v>
      </c>
      <c r="J62" s="3">
        <f t="shared" si="5"/>
        <v>2578.5714285714234</v>
      </c>
      <c r="K62" s="4">
        <f t="shared" si="6"/>
        <v>37715.476190476111</v>
      </c>
      <c r="O62" s="8" t="s">
        <v>68</v>
      </c>
      <c r="P62">
        <v>153</v>
      </c>
      <c r="Q62" s="6">
        <v>22730.9523809524</v>
      </c>
      <c r="R62" s="6">
        <v>38642.619047619082</v>
      </c>
      <c r="S62" s="6">
        <v>36161.19047619051</v>
      </c>
      <c r="T62" s="6">
        <v>2481.4285714285725</v>
      </c>
    </row>
    <row r="63" spans="1:20" x14ac:dyDescent="0.3">
      <c r="A63" s="3">
        <v>162</v>
      </c>
      <c r="B63" s="5" t="s">
        <v>77</v>
      </c>
      <c r="C63" s="3" t="s">
        <v>14</v>
      </c>
      <c r="D63" s="4">
        <v>23823.809523809501</v>
      </c>
      <c r="E63" s="3">
        <f t="shared" si="0"/>
        <v>11911.904761904751</v>
      </c>
      <c r="F63" s="3">
        <f t="shared" si="1"/>
        <v>4764.7619047619</v>
      </c>
      <c r="G63" s="3">
        <f t="shared" si="2"/>
        <v>2382.38095238095</v>
      </c>
      <c r="H63" s="3">
        <f t="shared" si="3"/>
        <v>208.33333333333334</v>
      </c>
      <c r="I63" s="4">
        <f t="shared" si="4"/>
        <v>40500.476190476154</v>
      </c>
      <c r="J63" s="3">
        <f t="shared" si="5"/>
        <v>2590.7142857142835</v>
      </c>
      <c r="K63" s="4">
        <f t="shared" si="6"/>
        <v>37909.761904761872</v>
      </c>
      <c r="O63" s="8" t="s">
        <v>53</v>
      </c>
      <c r="P63">
        <v>138</v>
      </c>
      <c r="Q63" s="6">
        <v>20909.523809523798</v>
      </c>
      <c r="R63" s="6">
        <v>35546.190476190459</v>
      </c>
      <c r="S63" s="6">
        <v>33246.904761904749</v>
      </c>
      <c r="T63" s="6">
        <v>2299.2857142857101</v>
      </c>
    </row>
    <row r="64" spans="1:20" x14ac:dyDescent="0.3">
      <c r="A64" s="3">
        <v>163</v>
      </c>
      <c r="B64" s="5" t="s">
        <v>78</v>
      </c>
      <c r="C64" s="3" t="s">
        <v>16</v>
      </c>
      <c r="D64" s="4">
        <v>23945.238095238099</v>
      </c>
      <c r="E64" s="3">
        <f t="shared" si="0"/>
        <v>11972.61904761905</v>
      </c>
      <c r="F64" s="3">
        <f t="shared" si="1"/>
        <v>4789.0476190476202</v>
      </c>
      <c r="G64" s="3">
        <f t="shared" si="2"/>
        <v>2394.5238095238101</v>
      </c>
      <c r="H64" s="3">
        <f t="shared" si="3"/>
        <v>208.33333333333334</v>
      </c>
      <c r="I64" s="4">
        <f t="shared" si="4"/>
        <v>40706.904761904763</v>
      </c>
      <c r="J64" s="3">
        <f t="shared" si="5"/>
        <v>2602.8571428571436</v>
      </c>
      <c r="K64" s="4">
        <f t="shared" si="6"/>
        <v>38104.047619047618</v>
      </c>
      <c r="O64" s="8" t="s">
        <v>65</v>
      </c>
      <c r="P64">
        <v>150</v>
      </c>
      <c r="Q64" s="6">
        <v>22366.666666666701</v>
      </c>
      <c r="R64" s="6">
        <v>38023.333333333394</v>
      </c>
      <c r="S64" s="6">
        <v>35578.333333333387</v>
      </c>
      <c r="T64" s="6">
        <v>2445.0000000000073</v>
      </c>
    </row>
    <row r="65" spans="1:20" x14ac:dyDescent="0.3">
      <c r="A65" s="3">
        <v>164</v>
      </c>
      <c r="B65" s="5" t="s">
        <v>82</v>
      </c>
      <c r="C65" s="3" t="s">
        <v>18</v>
      </c>
      <c r="D65" s="4">
        <v>24066.666666666701</v>
      </c>
      <c r="E65" s="3">
        <f t="shared" si="0"/>
        <v>12033.33333333335</v>
      </c>
      <c r="F65" s="3">
        <f t="shared" si="1"/>
        <v>4813.3333333333403</v>
      </c>
      <c r="G65" s="3">
        <f t="shared" si="2"/>
        <v>2406.6666666666702</v>
      </c>
      <c r="H65" s="3">
        <f t="shared" si="3"/>
        <v>208.33333333333334</v>
      </c>
      <c r="I65" s="4">
        <f t="shared" si="4"/>
        <v>40913.333333333394</v>
      </c>
      <c r="J65" s="3">
        <f t="shared" si="5"/>
        <v>2615.0000000000036</v>
      </c>
      <c r="K65" s="4">
        <f t="shared" si="6"/>
        <v>38298.333333333387</v>
      </c>
      <c r="O65" s="8" t="s">
        <v>98</v>
      </c>
      <c r="P65">
        <v>180</v>
      </c>
      <c r="Q65" s="6">
        <v>26009.523809523798</v>
      </c>
      <c r="R65" s="6">
        <v>44216.190476190459</v>
      </c>
      <c r="S65" s="6">
        <v>41406.904761904749</v>
      </c>
      <c r="T65" s="6">
        <v>2809.2857142857101</v>
      </c>
    </row>
    <row r="66" spans="1:20" x14ac:dyDescent="0.3">
      <c r="A66" s="3">
        <v>165</v>
      </c>
      <c r="B66" s="5" t="s">
        <v>83</v>
      </c>
      <c r="C66" s="3" t="s">
        <v>20</v>
      </c>
      <c r="D66" s="4">
        <v>24188.0952380952</v>
      </c>
      <c r="E66" s="3">
        <f t="shared" si="0"/>
        <v>12094.0476190476</v>
      </c>
      <c r="F66" s="3">
        <f t="shared" si="1"/>
        <v>4837.6190476190404</v>
      </c>
      <c r="G66" s="3">
        <f t="shared" si="2"/>
        <v>2418.8095238095202</v>
      </c>
      <c r="H66" s="3">
        <f t="shared" si="3"/>
        <v>208.33333333333334</v>
      </c>
      <c r="I66" s="4">
        <f t="shared" si="4"/>
        <v>41119.761904761835</v>
      </c>
      <c r="J66" s="3">
        <f t="shared" si="5"/>
        <v>2627.1428571428537</v>
      </c>
      <c r="K66" s="4">
        <f t="shared" si="6"/>
        <v>38492.61904761898</v>
      </c>
      <c r="O66" s="8" t="s">
        <v>29</v>
      </c>
      <c r="P66">
        <v>114</v>
      </c>
      <c r="Q66" s="6">
        <v>20000</v>
      </c>
      <c r="R66" s="6">
        <v>34000</v>
      </c>
      <c r="S66" s="6">
        <v>31791.666666666668</v>
      </c>
      <c r="T66" s="6">
        <v>2208.3333333333321</v>
      </c>
    </row>
    <row r="67" spans="1:20" x14ac:dyDescent="0.3">
      <c r="A67" s="3">
        <v>166</v>
      </c>
      <c r="B67" s="5" t="s">
        <v>84</v>
      </c>
      <c r="C67" s="3" t="s">
        <v>20</v>
      </c>
      <c r="D67" s="4">
        <v>24309.523809523798</v>
      </c>
      <c r="E67" s="3">
        <f t="shared" ref="E67:E92" si="8">D67*50%</f>
        <v>12154.761904761899</v>
      </c>
      <c r="F67" s="3">
        <f t="shared" ref="F67:F92" si="9">D67*20%</f>
        <v>4861.9047619047597</v>
      </c>
      <c r="G67" s="3">
        <f t="shared" ref="G67:G92" si="10">D67*10%</f>
        <v>2430.9523809523798</v>
      </c>
      <c r="H67" s="3">
        <f t="shared" ref="H67:H92" si="11">2500/12</f>
        <v>208.33333333333334</v>
      </c>
      <c r="I67" s="4">
        <f t="shared" ref="I67:I92" si="12">SUM(D67:F67)</f>
        <v>41326.190476190459</v>
      </c>
      <c r="J67" s="3">
        <f t="shared" ref="J67:J92" si="13">SUM(G67:H67)</f>
        <v>2639.2857142857133</v>
      </c>
      <c r="K67" s="4">
        <f t="shared" ref="K67:K92" si="14">I67-J67</f>
        <v>38686.904761904749</v>
      </c>
      <c r="O67" s="8" t="s">
        <v>28</v>
      </c>
      <c r="P67">
        <v>113</v>
      </c>
      <c r="Q67" s="6">
        <v>13000</v>
      </c>
      <c r="R67" s="6">
        <v>22100</v>
      </c>
      <c r="S67" s="6">
        <v>20591.666666666668</v>
      </c>
      <c r="T67" s="6">
        <v>1508.3333333333321</v>
      </c>
    </row>
    <row r="68" spans="1:20" x14ac:dyDescent="0.3">
      <c r="A68" s="3">
        <v>167</v>
      </c>
      <c r="B68" s="5" t="s">
        <v>85</v>
      </c>
      <c r="C68" s="3" t="s">
        <v>14</v>
      </c>
      <c r="D68" s="4">
        <v>24430.9523809524</v>
      </c>
      <c r="E68" s="3">
        <f t="shared" si="8"/>
        <v>12215.4761904762</v>
      </c>
      <c r="F68" s="3">
        <f t="shared" si="9"/>
        <v>4886.1904761904798</v>
      </c>
      <c r="G68" s="3">
        <f t="shared" si="10"/>
        <v>2443.0952380952399</v>
      </c>
      <c r="H68" s="3">
        <f t="shared" si="11"/>
        <v>208.33333333333334</v>
      </c>
      <c r="I68" s="4">
        <f t="shared" si="12"/>
        <v>41532.619047619082</v>
      </c>
      <c r="J68" s="3">
        <f t="shared" si="13"/>
        <v>2651.4285714285734</v>
      </c>
      <c r="K68" s="4">
        <f t="shared" si="14"/>
        <v>38881.19047619051</v>
      </c>
      <c r="O68" s="8" t="s">
        <v>87</v>
      </c>
      <c r="P68">
        <v>169</v>
      </c>
      <c r="Q68" s="6">
        <v>24673.809523809501</v>
      </c>
      <c r="R68" s="6">
        <v>41945.476190476154</v>
      </c>
      <c r="S68" s="6">
        <v>39269.761904761872</v>
      </c>
      <c r="T68" s="6">
        <v>2675.7142857142826</v>
      </c>
    </row>
    <row r="69" spans="1:20" x14ac:dyDescent="0.3">
      <c r="A69" s="3">
        <v>168</v>
      </c>
      <c r="B69" s="5" t="s">
        <v>86</v>
      </c>
      <c r="C69" s="3" t="s">
        <v>12</v>
      </c>
      <c r="D69" s="4">
        <v>24552.3809523809</v>
      </c>
      <c r="E69" s="3">
        <f t="shared" si="8"/>
        <v>12276.19047619045</v>
      </c>
      <c r="F69" s="3">
        <f t="shared" si="9"/>
        <v>4910.4761904761799</v>
      </c>
      <c r="G69" s="3">
        <f t="shared" si="10"/>
        <v>2455.23809523809</v>
      </c>
      <c r="H69" s="3">
        <f t="shared" si="11"/>
        <v>208.33333333333334</v>
      </c>
      <c r="I69" s="4">
        <f t="shared" si="12"/>
        <v>41739.047619047531</v>
      </c>
      <c r="J69" s="3">
        <f t="shared" si="13"/>
        <v>2663.5714285714234</v>
      </c>
      <c r="K69" s="4">
        <f t="shared" si="14"/>
        <v>39075.476190476111</v>
      </c>
      <c r="O69" s="8" t="s">
        <v>36</v>
      </c>
      <c r="P69">
        <v>121</v>
      </c>
      <c r="Q69" s="6">
        <v>18845.238095238099</v>
      </c>
      <c r="R69" s="6">
        <v>32036.904761904771</v>
      </c>
      <c r="S69" s="6">
        <v>29944.047619047626</v>
      </c>
      <c r="T69" s="6">
        <v>2092.8571428571449</v>
      </c>
    </row>
    <row r="70" spans="1:20" x14ac:dyDescent="0.3">
      <c r="A70" s="3">
        <v>169</v>
      </c>
      <c r="B70" s="5" t="s">
        <v>87</v>
      </c>
      <c r="C70" s="3" t="s">
        <v>18</v>
      </c>
      <c r="D70" s="4">
        <v>24673.809523809501</v>
      </c>
      <c r="E70" s="3">
        <f t="shared" si="8"/>
        <v>12336.904761904751</v>
      </c>
      <c r="F70" s="3">
        <f t="shared" si="9"/>
        <v>4934.761904761901</v>
      </c>
      <c r="G70" s="3">
        <f t="shared" si="10"/>
        <v>2467.3809523809505</v>
      </c>
      <c r="H70" s="3">
        <f t="shared" si="11"/>
        <v>208.33333333333334</v>
      </c>
      <c r="I70" s="4">
        <f t="shared" si="12"/>
        <v>41945.476190476154</v>
      </c>
      <c r="J70" s="3">
        <f t="shared" si="13"/>
        <v>2675.714285714284</v>
      </c>
      <c r="K70" s="4">
        <f t="shared" si="14"/>
        <v>39269.761904761872</v>
      </c>
      <c r="O70" s="8" t="s">
        <v>39</v>
      </c>
      <c r="P70">
        <v>124</v>
      </c>
      <c r="Q70" s="6">
        <v>19209.523809523798</v>
      </c>
      <c r="R70" s="6">
        <v>32656.190476190455</v>
      </c>
      <c r="S70" s="6">
        <v>30526.904761904741</v>
      </c>
      <c r="T70" s="6">
        <v>2129.2857142857138</v>
      </c>
    </row>
    <row r="71" spans="1:20" x14ac:dyDescent="0.3">
      <c r="A71" s="3">
        <v>170</v>
      </c>
      <c r="B71" s="5" t="s">
        <v>88</v>
      </c>
      <c r="C71" s="3" t="s">
        <v>16</v>
      </c>
      <c r="D71" s="4">
        <v>24795.238095238099</v>
      </c>
      <c r="E71" s="3">
        <f t="shared" si="8"/>
        <v>12397.61904761905</v>
      </c>
      <c r="F71" s="3">
        <f t="shared" si="9"/>
        <v>4959.0476190476202</v>
      </c>
      <c r="G71" s="3">
        <f t="shared" si="10"/>
        <v>2479.5238095238101</v>
      </c>
      <c r="H71" s="3">
        <f t="shared" si="11"/>
        <v>208.33333333333334</v>
      </c>
      <c r="I71" s="4">
        <f t="shared" si="12"/>
        <v>42151.904761904763</v>
      </c>
      <c r="J71" s="3">
        <f t="shared" si="13"/>
        <v>2687.8571428571436</v>
      </c>
      <c r="K71" s="4">
        <f t="shared" si="14"/>
        <v>39464.047619047618</v>
      </c>
      <c r="O71" s="8" t="s">
        <v>37</v>
      </c>
      <c r="P71">
        <v>122</v>
      </c>
      <c r="Q71" s="6">
        <v>18966.666666666701</v>
      </c>
      <c r="R71" s="6">
        <v>32243.33333333339</v>
      </c>
      <c r="S71" s="6">
        <v>30138.333333333387</v>
      </c>
      <c r="T71" s="6">
        <v>2105.0000000000036</v>
      </c>
    </row>
    <row r="72" spans="1:20" x14ac:dyDescent="0.3">
      <c r="A72" s="3">
        <v>171</v>
      </c>
      <c r="B72" s="5" t="s">
        <v>89</v>
      </c>
      <c r="C72" s="3" t="s">
        <v>12</v>
      </c>
      <c r="D72" s="4">
        <v>24916.666666666701</v>
      </c>
      <c r="E72" s="3">
        <f t="shared" si="8"/>
        <v>12458.33333333335</v>
      </c>
      <c r="F72" s="3">
        <f t="shared" si="9"/>
        <v>4983.3333333333403</v>
      </c>
      <c r="G72" s="3">
        <f t="shared" si="10"/>
        <v>2491.6666666666702</v>
      </c>
      <c r="H72" s="3">
        <f t="shared" si="11"/>
        <v>208.33333333333334</v>
      </c>
      <c r="I72" s="4">
        <f t="shared" si="12"/>
        <v>42358.333333333394</v>
      </c>
      <c r="J72" s="3">
        <f t="shared" si="13"/>
        <v>2700.0000000000036</v>
      </c>
      <c r="K72" s="4">
        <f t="shared" si="14"/>
        <v>39658.333333333387</v>
      </c>
      <c r="O72" s="8" t="s">
        <v>99</v>
      </c>
      <c r="P72">
        <v>181</v>
      </c>
      <c r="Q72" s="6">
        <v>26130.9523809524</v>
      </c>
      <c r="R72" s="6">
        <v>44422.619047619082</v>
      </c>
      <c r="S72" s="6">
        <v>41601.19047619051</v>
      </c>
      <c r="T72" s="6">
        <v>2821.4285714285725</v>
      </c>
    </row>
    <row r="73" spans="1:20" x14ac:dyDescent="0.3">
      <c r="A73" s="3">
        <v>172</v>
      </c>
      <c r="B73" s="5" t="s">
        <v>90</v>
      </c>
      <c r="C73" s="3" t="s">
        <v>14</v>
      </c>
      <c r="D73" s="4">
        <v>25038.0952380952</v>
      </c>
      <c r="E73" s="3">
        <f t="shared" si="8"/>
        <v>12519.0476190476</v>
      </c>
      <c r="F73" s="3">
        <f t="shared" si="9"/>
        <v>5007.6190476190404</v>
      </c>
      <c r="G73" s="3">
        <f t="shared" si="10"/>
        <v>2503.8095238095202</v>
      </c>
      <c r="H73" s="3">
        <f t="shared" si="11"/>
        <v>208.33333333333334</v>
      </c>
      <c r="I73" s="4">
        <f t="shared" si="12"/>
        <v>42564.761904761835</v>
      </c>
      <c r="J73" s="3">
        <f t="shared" si="13"/>
        <v>2712.1428571428537</v>
      </c>
      <c r="K73" s="4">
        <f t="shared" si="14"/>
        <v>39852.61904761898</v>
      </c>
      <c r="O73" s="8" t="s">
        <v>92</v>
      </c>
      <c r="P73">
        <v>174</v>
      </c>
      <c r="Q73" s="6">
        <v>25280.9523809524</v>
      </c>
      <c r="R73" s="6">
        <v>42977.619047619082</v>
      </c>
      <c r="S73" s="6">
        <v>40241.19047619051</v>
      </c>
      <c r="T73" s="6">
        <v>2736.4285714285725</v>
      </c>
    </row>
    <row r="74" spans="1:20" x14ac:dyDescent="0.3">
      <c r="A74" s="3">
        <v>173</v>
      </c>
      <c r="B74" s="5" t="s">
        <v>91</v>
      </c>
      <c r="C74" s="3" t="s">
        <v>20</v>
      </c>
      <c r="D74" s="4">
        <v>25159.523809523798</v>
      </c>
      <c r="E74" s="3">
        <f t="shared" si="8"/>
        <v>12579.761904761899</v>
      </c>
      <c r="F74" s="3">
        <f t="shared" si="9"/>
        <v>5031.9047619047597</v>
      </c>
      <c r="G74" s="3">
        <f t="shared" si="10"/>
        <v>2515.9523809523798</v>
      </c>
      <c r="H74" s="3">
        <f t="shared" si="11"/>
        <v>208.33333333333334</v>
      </c>
      <c r="I74" s="4">
        <f t="shared" si="12"/>
        <v>42771.190476190459</v>
      </c>
      <c r="J74" s="3">
        <f t="shared" si="13"/>
        <v>2724.2857142857133</v>
      </c>
      <c r="K74" s="4">
        <f t="shared" si="14"/>
        <v>40046.904761904749</v>
      </c>
      <c r="O74" s="8" t="s">
        <v>45</v>
      </c>
      <c r="P74">
        <v>130</v>
      </c>
      <c r="Q74" s="6">
        <v>19938.0952380952</v>
      </c>
      <c r="R74" s="6">
        <v>33894.761904761843</v>
      </c>
      <c r="S74" s="6">
        <v>31692.619047618988</v>
      </c>
      <c r="T74" s="6">
        <v>2202.1428571428551</v>
      </c>
    </row>
    <row r="75" spans="1:20" x14ac:dyDescent="0.3">
      <c r="A75" s="3">
        <v>174</v>
      </c>
      <c r="B75" s="5" t="s">
        <v>92</v>
      </c>
      <c r="C75" s="3" t="s">
        <v>18</v>
      </c>
      <c r="D75" s="4">
        <v>25280.9523809524</v>
      </c>
      <c r="E75" s="3">
        <f t="shared" si="8"/>
        <v>12640.4761904762</v>
      </c>
      <c r="F75" s="3">
        <f t="shared" si="9"/>
        <v>5056.1904761904807</v>
      </c>
      <c r="G75" s="3">
        <f t="shared" si="10"/>
        <v>2528.0952380952403</v>
      </c>
      <c r="H75" s="3">
        <f t="shared" si="11"/>
        <v>208.33333333333334</v>
      </c>
      <c r="I75" s="4">
        <f t="shared" si="12"/>
        <v>42977.619047619082</v>
      </c>
      <c r="J75" s="3">
        <f t="shared" si="13"/>
        <v>2736.4285714285738</v>
      </c>
      <c r="K75" s="4">
        <f t="shared" si="14"/>
        <v>40241.19047619051</v>
      </c>
      <c r="O75" s="8" t="s">
        <v>102</v>
      </c>
      <c r="P75">
        <v>184</v>
      </c>
      <c r="Q75" s="6">
        <v>26495.238095238099</v>
      </c>
      <c r="R75" s="6">
        <v>45041.904761904763</v>
      </c>
      <c r="S75" s="6">
        <v>42184.047619047618</v>
      </c>
      <c r="T75" s="6">
        <v>2857.8571428571449</v>
      </c>
    </row>
    <row r="76" spans="1:20" x14ac:dyDescent="0.3">
      <c r="A76" s="3">
        <v>175</v>
      </c>
      <c r="B76" s="5" t="s">
        <v>93</v>
      </c>
      <c r="C76" s="3" t="s">
        <v>16</v>
      </c>
      <c r="D76" s="4">
        <v>25402.3809523809</v>
      </c>
      <c r="E76" s="3">
        <f t="shared" si="8"/>
        <v>12701.19047619045</v>
      </c>
      <c r="F76" s="3">
        <f t="shared" si="9"/>
        <v>5080.4761904761799</v>
      </c>
      <c r="G76" s="3">
        <f t="shared" si="10"/>
        <v>2540.23809523809</v>
      </c>
      <c r="H76" s="3">
        <f t="shared" si="11"/>
        <v>208.33333333333334</v>
      </c>
      <c r="I76" s="4">
        <f t="shared" si="12"/>
        <v>43184.047619047531</v>
      </c>
      <c r="J76" s="3">
        <f t="shared" si="13"/>
        <v>2748.5714285714234</v>
      </c>
      <c r="K76" s="4">
        <f t="shared" si="14"/>
        <v>40435.476190476111</v>
      </c>
      <c r="O76" s="8" t="s">
        <v>107</v>
      </c>
      <c r="P76">
        <v>104</v>
      </c>
      <c r="Q76" s="6">
        <v>17000</v>
      </c>
      <c r="R76" s="6">
        <v>28900</v>
      </c>
      <c r="S76" s="6">
        <v>26991.666666666668</v>
      </c>
      <c r="T76" s="6">
        <v>1908.3333333333321</v>
      </c>
    </row>
    <row r="77" spans="1:20" x14ac:dyDescent="0.3">
      <c r="A77" s="3">
        <v>176</v>
      </c>
      <c r="B77" s="5" t="s">
        <v>94</v>
      </c>
      <c r="C77" s="3" t="s">
        <v>12</v>
      </c>
      <c r="D77" s="4">
        <v>25523.809523809501</v>
      </c>
      <c r="E77" s="3">
        <f t="shared" si="8"/>
        <v>12761.904761904751</v>
      </c>
      <c r="F77" s="3">
        <f t="shared" si="9"/>
        <v>5104.761904761901</v>
      </c>
      <c r="G77" s="3">
        <f t="shared" si="10"/>
        <v>2552.3809523809505</v>
      </c>
      <c r="H77" s="3">
        <f t="shared" si="11"/>
        <v>208.33333333333334</v>
      </c>
      <c r="I77" s="4">
        <f t="shared" si="12"/>
        <v>43390.476190476154</v>
      </c>
      <c r="J77" s="3">
        <f t="shared" si="13"/>
        <v>2760.714285714284</v>
      </c>
      <c r="K77" s="4">
        <f t="shared" si="14"/>
        <v>40629.761904761872</v>
      </c>
      <c r="O77" s="8" t="s">
        <v>27</v>
      </c>
      <c r="P77">
        <v>112</v>
      </c>
      <c r="Q77" s="6">
        <v>12000</v>
      </c>
      <c r="R77" s="6">
        <v>20400</v>
      </c>
      <c r="S77" s="6">
        <v>18991.666666666668</v>
      </c>
      <c r="T77" s="6">
        <v>1408.3333333333321</v>
      </c>
    </row>
    <row r="78" spans="1:20" x14ac:dyDescent="0.3">
      <c r="A78" s="3">
        <v>177</v>
      </c>
      <c r="B78" s="5" t="s">
        <v>95</v>
      </c>
      <c r="C78" s="3" t="s">
        <v>14</v>
      </c>
      <c r="D78" s="4">
        <v>25645.238095238099</v>
      </c>
      <c r="E78" s="3">
        <f t="shared" si="8"/>
        <v>12822.61904761905</v>
      </c>
      <c r="F78" s="3">
        <f t="shared" si="9"/>
        <v>5129.0476190476202</v>
      </c>
      <c r="G78" s="3">
        <f t="shared" si="10"/>
        <v>2564.5238095238101</v>
      </c>
      <c r="H78" s="3">
        <f t="shared" si="11"/>
        <v>208.33333333333334</v>
      </c>
      <c r="I78" s="4">
        <f t="shared" si="12"/>
        <v>43596.904761904763</v>
      </c>
      <c r="J78" s="3">
        <f t="shared" si="13"/>
        <v>2772.8571428571436</v>
      </c>
      <c r="K78" s="4">
        <f t="shared" si="14"/>
        <v>40824.047619047618</v>
      </c>
      <c r="O78" s="8" t="s">
        <v>83</v>
      </c>
      <c r="P78">
        <v>165</v>
      </c>
      <c r="Q78" s="6">
        <v>24188.0952380952</v>
      </c>
      <c r="R78" s="6">
        <v>41119.761904761835</v>
      </c>
      <c r="S78" s="6">
        <v>38492.61904761898</v>
      </c>
      <c r="T78" s="6">
        <v>2627.1428571428551</v>
      </c>
    </row>
    <row r="79" spans="1:20" x14ac:dyDescent="0.3">
      <c r="A79" s="3">
        <v>178</v>
      </c>
      <c r="B79" s="5" t="s">
        <v>96</v>
      </c>
      <c r="C79" s="3" t="s">
        <v>16</v>
      </c>
      <c r="D79" s="4">
        <v>25766.666666666701</v>
      </c>
      <c r="E79" s="3">
        <f t="shared" si="8"/>
        <v>12883.33333333335</v>
      </c>
      <c r="F79" s="3">
        <f t="shared" si="9"/>
        <v>5153.3333333333403</v>
      </c>
      <c r="G79" s="3">
        <f t="shared" si="10"/>
        <v>2576.6666666666702</v>
      </c>
      <c r="H79" s="3">
        <f t="shared" si="11"/>
        <v>208.33333333333334</v>
      </c>
      <c r="I79" s="4">
        <f t="shared" si="12"/>
        <v>43803.333333333394</v>
      </c>
      <c r="J79" s="3">
        <f t="shared" si="13"/>
        <v>2785.0000000000036</v>
      </c>
      <c r="K79" s="4">
        <f t="shared" si="14"/>
        <v>41018.333333333387</v>
      </c>
      <c r="O79" s="8" t="s">
        <v>56</v>
      </c>
      <c r="P79">
        <v>141</v>
      </c>
      <c r="Q79" s="6">
        <v>21273.809523809501</v>
      </c>
      <c r="R79" s="6">
        <v>36165.476190476154</v>
      </c>
      <c r="S79" s="6">
        <v>33829.761904761872</v>
      </c>
      <c r="T79" s="6">
        <v>2335.7142857142826</v>
      </c>
    </row>
    <row r="80" spans="1:20" x14ac:dyDescent="0.3">
      <c r="A80" s="3">
        <v>179</v>
      </c>
      <c r="B80" s="5" t="s">
        <v>97</v>
      </c>
      <c r="C80" s="3" t="s">
        <v>18</v>
      </c>
      <c r="D80" s="4">
        <v>25888.0952380952</v>
      </c>
      <c r="E80" s="3">
        <f t="shared" si="8"/>
        <v>12944.0476190476</v>
      </c>
      <c r="F80" s="3">
        <f t="shared" si="9"/>
        <v>5177.6190476190404</v>
      </c>
      <c r="G80" s="3">
        <f t="shared" si="10"/>
        <v>2588.8095238095202</v>
      </c>
      <c r="H80" s="3">
        <f t="shared" si="11"/>
        <v>208.33333333333334</v>
      </c>
      <c r="I80" s="4">
        <f t="shared" si="12"/>
        <v>44009.761904761835</v>
      </c>
      <c r="J80" s="3">
        <f t="shared" si="13"/>
        <v>2797.1428571428537</v>
      </c>
      <c r="K80" s="4">
        <f t="shared" si="14"/>
        <v>41212.61904761898</v>
      </c>
      <c r="O80" s="8" t="s">
        <v>64</v>
      </c>
      <c r="P80">
        <v>149</v>
      </c>
      <c r="Q80" s="6">
        <v>22245.238095238099</v>
      </c>
      <c r="R80" s="6">
        <v>37816.904761904763</v>
      </c>
      <c r="S80" s="6">
        <v>35384.047619047618</v>
      </c>
      <c r="T80" s="6">
        <v>2432.8571428571449</v>
      </c>
    </row>
    <row r="81" spans="1:20" x14ac:dyDescent="0.3">
      <c r="A81" s="3">
        <v>180</v>
      </c>
      <c r="B81" s="5" t="s">
        <v>98</v>
      </c>
      <c r="C81" s="3" t="s">
        <v>20</v>
      </c>
      <c r="D81" s="4">
        <v>26009.523809523798</v>
      </c>
      <c r="E81" s="3">
        <f t="shared" si="8"/>
        <v>13004.761904761899</v>
      </c>
      <c r="F81" s="3">
        <f t="shared" si="9"/>
        <v>5201.9047619047597</v>
      </c>
      <c r="G81" s="3">
        <f t="shared" si="10"/>
        <v>2600.9523809523798</v>
      </c>
      <c r="H81" s="3">
        <f t="shared" si="11"/>
        <v>208.33333333333334</v>
      </c>
      <c r="I81" s="4">
        <f t="shared" si="12"/>
        <v>44216.190476190459</v>
      </c>
      <c r="J81" s="3">
        <f t="shared" si="13"/>
        <v>2809.2857142857133</v>
      </c>
      <c r="K81" s="4">
        <f t="shared" si="14"/>
        <v>41406.904761904749</v>
      </c>
      <c r="O81" s="8" t="s">
        <v>63</v>
      </c>
      <c r="P81">
        <v>148</v>
      </c>
      <c r="Q81" s="6">
        <v>22123.809523809501</v>
      </c>
      <c r="R81" s="6">
        <v>37610.476190476154</v>
      </c>
      <c r="S81" s="6">
        <v>35189.761904761872</v>
      </c>
      <c r="T81" s="6">
        <v>2420.7142857142826</v>
      </c>
    </row>
    <row r="82" spans="1:20" x14ac:dyDescent="0.3">
      <c r="A82" s="3">
        <v>181</v>
      </c>
      <c r="B82" s="5" t="s">
        <v>99</v>
      </c>
      <c r="C82" s="3" t="s">
        <v>20</v>
      </c>
      <c r="D82" s="4">
        <v>26130.9523809524</v>
      </c>
      <c r="E82" s="3">
        <f t="shared" si="8"/>
        <v>13065.4761904762</v>
      </c>
      <c r="F82" s="3">
        <f t="shared" si="9"/>
        <v>5226.1904761904807</v>
      </c>
      <c r="G82" s="3">
        <f t="shared" si="10"/>
        <v>2613.0952380952403</v>
      </c>
      <c r="H82" s="3">
        <f t="shared" si="11"/>
        <v>208.33333333333334</v>
      </c>
      <c r="I82" s="4">
        <f t="shared" si="12"/>
        <v>44422.619047619082</v>
      </c>
      <c r="J82" s="3">
        <f t="shared" si="13"/>
        <v>2821.4285714285738</v>
      </c>
      <c r="K82" s="4">
        <f t="shared" si="14"/>
        <v>41601.19047619051</v>
      </c>
      <c r="O82" s="8" t="s">
        <v>109</v>
      </c>
      <c r="P82">
        <v>103</v>
      </c>
      <c r="Q82" s="6">
        <v>16000</v>
      </c>
      <c r="R82" s="6">
        <v>27200</v>
      </c>
      <c r="S82" s="6">
        <v>25391.666666666668</v>
      </c>
      <c r="T82" s="6">
        <v>1808.3333333333321</v>
      </c>
    </row>
    <row r="83" spans="1:20" x14ac:dyDescent="0.3">
      <c r="A83" s="3">
        <v>182</v>
      </c>
      <c r="B83" s="5" t="s">
        <v>100</v>
      </c>
      <c r="C83" s="3" t="s">
        <v>14</v>
      </c>
      <c r="D83" s="4">
        <v>26252.3809523809</v>
      </c>
      <c r="E83" s="3">
        <f t="shared" si="8"/>
        <v>13126.19047619045</v>
      </c>
      <c r="F83" s="3">
        <f t="shared" si="9"/>
        <v>5250.4761904761799</v>
      </c>
      <c r="G83" s="3">
        <f t="shared" si="10"/>
        <v>2625.23809523809</v>
      </c>
      <c r="H83" s="3">
        <f t="shared" si="11"/>
        <v>208.33333333333334</v>
      </c>
      <c r="I83" s="4">
        <f t="shared" si="12"/>
        <v>44629.047619047531</v>
      </c>
      <c r="J83" s="3">
        <f t="shared" si="13"/>
        <v>2833.5714285714234</v>
      </c>
      <c r="K83" s="4">
        <f t="shared" si="14"/>
        <v>41795.476190476111</v>
      </c>
      <c r="O83" s="8" t="s">
        <v>71</v>
      </c>
      <c r="P83">
        <v>156</v>
      </c>
      <c r="Q83" s="6">
        <v>23095.238095238099</v>
      </c>
      <c r="R83" s="6">
        <v>39261.904761904763</v>
      </c>
      <c r="S83" s="6">
        <v>36744.047619047618</v>
      </c>
      <c r="T83" s="6">
        <v>2517.8571428571449</v>
      </c>
    </row>
    <row r="84" spans="1:20" x14ac:dyDescent="0.3">
      <c r="A84" s="3">
        <v>183</v>
      </c>
      <c r="B84" s="5" t="s">
        <v>101</v>
      </c>
      <c r="C84" s="3" t="s">
        <v>12</v>
      </c>
      <c r="D84" s="4">
        <v>26373.809523809501</v>
      </c>
      <c r="E84" s="3">
        <f t="shared" si="8"/>
        <v>13186.904761904751</v>
      </c>
      <c r="F84" s="3">
        <f t="shared" si="9"/>
        <v>5274.761904761901</v>
      </c>
      <c r="G84" s="3">
        <f t="shared" si="10"/>
        <v>2637.3809523809505</v>
      </c>
      <c r="H84" s="3">
        <f t="shared" si="11"/>
        <v>208.33333333333334</v>
      </c>
      <c r="I84" s="4">
        <f t="shared" si="12"/>
        <v>44835.476190476154</v>
      </c>
      <c r="J84" s="3">
        <f t="shared" si="13"/>
        <v>2845.714285714284</v>
      </c>
      <c r="K84" s="4">
        <f t="shared" si="14"/>
        <v>41989.761904761872</v>
      </c>
      <c r="O84" s="8" t="s">
        <v>11</v>
      </c>
      <c r="P84">
        <v>101</v>
      </c>
      <c r="Q84" s="6">
        <v>15000</v>
      </c>
      <c r="R84" s="6">
        <v>25500</v>
      </c>
      <c r="S84" s="6">
        <v>23791.666666666668</v>
      </c>
      <c r="T84" s="6">
        <v>1708.3333333333321</v>
      </c>
    </row>
    <row r="85" spans="1:20" x14ac:dyDescent="0.3">
      <c r="A85" s="3">
        <v>184</v>
      </c>
      <c r="B85" s="5" t="s">
        <v>102</v>
      </c>
      <c r="C85" s="3" t="s">
        <v>18</v>
      </c>
      <c r="D85" s="4">
        <v>26495.238095238099</v>
      </c>
      <c r="E85" s="3">
        <f t="shared" si="8"/>
        <v>13247.61904761905</v>
      </c>
      <c r="F85" s="3">
        <f t="shared" si="9"/>
        <v>5299.0476190476202</v>
      </c>
      <c r="G85" s="3">
        <f t="shared" si="10"/>
        <v>2649.5238095238101</v>
      </c>
      <c r="H85" s="3">
        <f t="shared" si="11"/>
        <v>208.33333333333334</v>
      </c>
      <c r="I85" s="4">
        <f t="shared" si="12"/>
        <v>45041.904761904763</v>
      </c>
      <c r="J85" s="3">
        <f t="shared" si="13"/>
        <v>2857.8571428571436</v>
      </c>
      <c r="K85" s="4">
        <f t="shared" si="14"/>
        <v>42184.047619047618</v>
      </c>
      <c r="O85" s="8" t="s">
        <v>80</v>
      </c>
      <c r="P85">
        <v>190</v>
      </c>
      <c r="Q85" s="6">
        <v>27223.809523809599</v>
      </c>
      <c r="R85" s="6">
        <v>46280.476190476322</v>
      </c>
      <c r="S85" s="6">
        <v>43349.761904762025</v>
      </c>
      <c r="T85" s="6">
        <v>2930.7142857142971</v>
      </c>
    </row>
    <row r="86" spans="1:20" x14ac:dyDescent="0.3">
      <c r="A86" s="3">
        <v>185</v>
      </c>
      <c r="B86" s="5" t="s">
        <v>103</v>
      </c>
      <c r="C86" s="3" t="s">
        <v>16</v>
      </c>
      <c r="D86" s="4">
        <v>26616.666666666701</v>
      </c>
      <c r="E86" s="3">
        <f t="shared" si="8"/>
        <v>13308.33333333335</v>
      </c>
      <c r="F86" s="3">
        <f t="shared" si="9"/>
        <v>5323.3333333333403</v>
      </c>
      <c r="G86" s="3">
        <f t="shared" si="10"/>
        <v>2661.6666666666702</v>
      </c>
      <c r="H86" s="3">
        <f t="shared" si="11"/>
        <v>208.33333333333334</v>
      </c>
      <c r="I86" s="4">
        <f t="shared" si="12"/>
        <v>45248.333333333394</v>
      </c>
      <c r="J86" s="3">
        <f t="shared" si="13"/>
        <v>2870.0000000000036</v>
      </c>
      <c r="K86" s="4">
        <f t="shared" si="14"/>
        <v>42378.333333333387</v>
      </c>
      <c r="O86" s="8" t="s">
        <v>74</v>
      </c>
      <c r="P86">
        <v>159</v>
      </c>
      <c r="Q86" s="6">
        <v>23459.523809523798</v>
      </c>
      <c r="R86" s="6">
        <v>39881.190476190459</v>
      </c>
      <c r="S86" s="6">
        <v>37326.904761904749</v>
      </c>
      <c r="T86" s="6">
        <v>2554.2857142857101</v>
      </c>
    </row>
    <row r="87" spans="1:20" x14ac:dyDescent="0.3">
      <c r="A87" s="3">
        <v>186</v>
      </c>
      <c r="B87" s="5" t="s">
        <v>104</v>
      </c>
      <c r="C87" s="3" t="s">
        <v>12</v>
      </c>
      <c r="D87" s="4">
        <v>26738.095238095299</v>
      </c>
      <c r="E87" s="3">
        <f t="shared" si="8"/>
        <v>13369.047619047649</v>
      </c>
      <c r="F87" s="3">
        <f t="shared" si="9"/>
        <v>5347.6190476190604</v>
      </c>
      <c r="G87" s="3">
        <f t="shared" si="10"/>
        <v>2673.8095238095302</v>
      </c>
      <c r="H87" s="3">
        <f t="shared" si="11"/>
        <v>208.33333333333334</v>
      </c>
      <c r="I87" s="4">
        <f t="shared" si="12"/>
        <v>45454.76190476201</v>
      </c>
      <c r="J87" s="3">
        <f t="shared" si="13"/>
        <v>2882.1428571428637</v>
      </c>
      <c r="K87" s="4">
        <f t="shared" si="14"/>
        <v>42572.619047619148</v>
      </c>
      <c r="O87" s="8" t="s">
        <v>41</v>
      </c>
      <c r="P87">
        <v>126</v>
      </c>
      <c r="Q87" s="6">
        <v>19452.3809523809</v>
      </c>
      <c r="R87" s="6">
        <v>33069.047619047531</v>
      </c>
      <c r="S87" s="6">
        <v>30915.476190476107</v>
      </c>
      <c r="T87" s="6">
        <v>2153.5714285714239</v>
      </c>
    </row>
    <row r="88" spans="1:20" x14ac:dyDescent="0.3">
      <c r="A88" s="3">
        <v>187</v>
      </c>
      <c r="B88" s="5" t="s">
        <v>105</v>
      </c>
      <c r="C88" s="3" t="s">
        <v>14</v>
      </c>
      <c r="D88" s="4">
        <v>26859.523809523798</v>
      </c>
      <c r="E88" s="3">
        <f t="shared" si="8"/>
        <v>13429.761904761899</v>
      </c>
      <c r="F88" s="3">
        <f t="shared" si="9"/>
        <v>5371.9047619047597</v>
      </c>
      <c r="G88" s="3">
        <f t="shared" si="10"/>
        <v>2685.9523809523798</v>
      </c>
      <c r="H88" s="3">
        <f t="shared" si="11"/>
        <v>208.33333333333334</v>
      </c>
      <c r="I88" s="4">
        <f t="shared" si="12"/>
        <v>45661.190476190459</v>
      </c>
      <c r="J88" s="3">
        <f t="shared" si="13"/>
        <v>2894.2857142857133</v>
      </c>
      <c r="K88" s="4">
        <f t="shared" si="14"/>
        <v>42766.904761904749</v>
      </c>
      <c r="O88" s="8" t="s">
        <v>46</v>
      </c>
      <c r="P88">
        <v>131</v>
      </c>
      <c r="Q88" s="6">
        <v>20059.523809523798</v>
      </c>
      <c r="R88" s="6">
        <v>34101.190476190459</v>
      </c>
      <c r="S88" s="6">
        <v>31886.904761904745</v>
      </c>
      <c r="T88" s="6">
        <v>2214.2857142857138</v>
      </c>
    </row>
    <row r="89" spans="1:20" x14ac:dyDescent="0.3">
      <c r="A89" s="3">
        <v>188</v>
      </c>
      <c r="B89" s="5" t="s">
        <v>106</v>
      </c>
      <c r="C89" s="3" t="s">
        <v>20</v>
      </c>
      <c r="D89" s="4">
        <v>26980.9523809524</v>
      </c>
      <c r="E89" s="3">
        <f t="shared" si="8"/>
        <v>13490.4761904762</v>
      </c>
      <c r="F89" s="3">
        <f t="shared" si="9"/>
        <v>5396.1904761904807</v>
      </c>
      <c r="G89" s="3">
        <f t="shared" si="10"/>
        <v>2698.0952380952403</v>
      </c>
      <c r="H89" s="3">
        <f t="shared" si="11"/>
        <v>208.33333333333334</v>
      </c>
      <c r="I89" s="4">
        <f t="shared" si="12"/>
        <v>45867.619047619082</v>
      </c>
      <c r="J89" s="3">
        <f t="shared" si="13"/>
        <v>2906.4285714285738</v>
      </c>
      <c r="K89" s="4">
        <f t="shared" si="14"/>
        <v>42961.19047619051</v>
      </c>
      <c r="O89" s="8" t="s">
        <v>96</v>
      </c>
      <c r="P89">
        <v>178</v>
      </c>
      <c r="Q89" s="6">
        <v>25766.666666666701</v>
      </c>
      <c r="R89" s="6">
        <v>43803.333333333394</v>
      </c>
      <c r="S89" s="6">
        <v>41018.333333333387</v>
      </c>
      <c r="T89" s="6">
        <v>2785.0000000000073</v>
      </c>
    </row>
    <row r="90" spans="1:20" x14ac:dyDescent="0.3">
      <c r="A90" s="3">
        <v>189</v>
      </c>
      <c r="B90" t="s">
        <v>81</v>
      </c>
      <c r="C90" s="3" t="s">
        <v>18</v>
      </c>
      <c r="D90" s="4">
        <v>27102.380952381001</v>
      </c>
      <c r="E90" s="3">
        <f t="shared" si="8"/>
        <v>13551.190476190501</v>
      </c>
      <c r="F90" s="3">
        <f t="shared" si="9"/>
        <v>5420.4761904762008</v>
      </c>
      <c r="G90" s="3">
        <f t="shared" si="10"/>
        <v>2710.2380952381004</v>
      </c>
      <c r="H90" s="3">
        <f t="shared" si="11"/>
        <v>208.33333333333334</v>
      </c>
      <c r="I90" s="4">
        <f t="shared" si="12"/>
        <v>46074.047619047698</v>
      </c>
      <c r="J90" s="3">
        <f t="shared" si="13"/>
        <v>2918.5714285714339</v>
      </c>
      <c r="K90" s="4">
        <f t="shared" si="14"/>
        <v>43155.476190476264</v>
      </c>
      <c r="O90" s="8" t="s">
        <v>49</v>
      </c>
      <c r="P90">
        <v>134</v>
      </c>
      <c r="Q90" s="6">
        <v>20423.809523809501</v>
      </c>
      <c r="R90" s="6">
        <v>34720.476190476154</v>
      </c>
      <c r="S90" s="6">
        <v>32469.761904761872</v>
      </c>
      <c r="T90" s="6">
        <v>2250.7142857142826</v>
      </c>
    </row>
    <row r="91" spans="1:20" x14ac:dyDescent="0.3">
      <c r="A91" s="3">
        <v>190</v>
      </c>
      <c r="B91" t="s">
        <v>80</v>
      </c>
      <c r="C91" s="3" t="s">
        <v>16</v>
      </c>
      <c r="D91" s="4">
        <v>27223.809523809599</v>
      </c>
      <c r="E91" s="3">
        <f t="shared" si="8"/>
        <v>13611.9047619048</v>
      </c>
      <c r="F91" s="3">
        <f t="shared" si="9"/>
        <v>5444.7619047619201</v>
      </c>
      <c r="G91" s="3">
        <f t="shared" si="10"/>
        <v>2722.38095238096</v>
      </c>
      <c r="H91" s="3">
        <f t="shared" si="11"/>
        <v>208.33333333333334</v>
      </c>
      <c r="I91" s="4">
        <f t="shared" si="12"/>
        <v>46280.476190476322</v>
      </c>
      <c r="J91" s="3">
        <f t="shared" si="13"/>
        <v>2930.7142857142935</v>
      </c>
      <c r="K91" s="4">
        <f t="shared" si="14"/>
        <v>43349.761904762025</v>
      </c>
      <c r="O91" s="8" t="s">
        <v>73</v>
      </c>
      <c r="P91">
        <v>158</v>
      </c>
      <c r="Q91" s="6">
        <v>23338.0952380952</v>
      </c>
      <c r="R91" s="6">
        <v>39674.761904761835</v>
      </c>
      <c r="S91" s="6">
        <v>37132.61904761898</v>
      </c>
      <c r="T91" s="6">
        <v>2542.1428571428551</v>
      </c>
    </row>
    <row r="92" spans="1:20" x14ac:dyDescent="0.3">
      <c r="A92" s="3">
        <v>191</v>
      </c>
      <c r="B92" t="s">
        <v>79</v>
      </c>
      <c r="C92" s="3" t="s">
        <v>12</v>
      </c>
      <c r="D92" s="4">
        <v>27345.238095238099</v>
      </c>
      <c r="E92" s="3">
        <f t="shared" si="8"/>
        <v>13672.61904761905</v>
      </c>
      <c r="F92" s="3">
        <f t="shared" si="9"/>
        <v>5469.0476190476202</v>
      </c>
      <c r="G92" s="3">
        <f t="shared" si="10"/>
        <v>2734.5238095238101</v>
      </c>
      <c r="H92" s="3">
        <f t="shared" si="11"/>
        <v>208.33333333333334</v>
      </c>
      <c r="I92" s="4">
        <f t="shared" si="12"/>
        <v>46486.904761904763</v>
      </c>
      <c r="J92" s="3">
        <f t="shared" si="13"/>
        <v>2942.8571428571436</v>
      </c>
      <c r="K92" s="4">
        <f t="shared" si="14"/>
        <v>43544.047619047618</v>
      </c>
      <c r="O92" s="8" t="s">
        <v>75</v>
      </c>
      <c r="P92">
        <v>160</v>
      </c>
      <c r="Q92" s="6">
        <v>23580.9523809524</v>
      </c>
      <c r="R92" s="6">
        <v>40087.619047619082</v>
      </c>
      <c r="S92" s="6">
        <v>37521.19047619051</v>
      </c>
      <c r="T92" s="6">
        <v>2566.4285714285725</v>
      </c>
    </row>
    <row r="93" spans="1:20" x14ac:dyDescent="0.3">
      <c r="O93" s="8" t="s">
        <v>97</v>
      </c>
      <c r="P93">
        <v>179</v>
      </c>
      <c r="Q93" s="6">
        <v>25888.0952380952</v>
      </c>
      <c r="R93" s="6">
        <v>44009.761904761835</v>
      </c>
      <c r="S93" s="6">
        <v>41212.61904761898</v>
      </c>
      <c r="T93" s="6">
        <v>2797.1428571428551</v>
      </c>
    </row>
    <row r="94" spans="1:20" x14ac:dyDescent="0.3">
      <c r="O94" s="8" t="s">
        <v>69</v>
      </c>
      <c r="P94">
        <v>154</v>
      </c>
      <c r="Q94" s="6">
        <v>22852.3809523809</v>
      </c>
      <c r="R94" s="6">
        <v>38849.047619047531</v>
      </c>
      <c r="S94" s="6">
        <v>36355.476190476111</v>
      </c>
      <c r="T94" s="6">
        <v>2493.5714285714203</v>
      </c>
    </row>
    <row r="95" spans="1:20" x14ac:dyDescent="0.3">
      <c r="O95" s="8" t="s">
        <v>113</v>
      </c>
      <c r="P95">
        <v>13286</v>
      </c>
      <c r="Q95" s="6">
        <v>1991166.6666666658</v>
      </c>
      <c r="R95" s="6">
        <v>3384983.333333333</v>
      </c>
      <c r="S95" s="6">
        <v>3166908.3333333321</v>
      </c>
      <c r="T95" s="6">
        <v>218075.00000000093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8B55-6AC1-414A-9985-0C53F5A93288}">
  <dimension ref="A1:K92"/>
  <sheetViews>
    <sheetView topLeftCell="B1" workbookViewId="0">
      <selection activeCell="O17" sqref="O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101</v>
      </c>
      <c r="B2" s="3" t="s">
        <v>11</v>
      </c>
      <c r="C2" s="3" t="s">
        <v>12</v>
      </c>
      <c r="D2" s="4">
        <v>15000</v>
      </c>
      <c r="E2" s="3">
        <f>D2*50%</f>
        <v>7500</v>
      </c>
      <c r="F2" s="3">
        <f>D2*20%</f>
        <v>3000</v>
      </c>
      <c r="G2" s="3">
        <f>D2*10%</f>
        <v>1500</v>
      </c>
      <c r="H2" s="3">
        <f>2500/12</f>
        <v>208.33333333333334</v>
      </c>
      <c r="I2" s="4">
        <f>SUM(D2:F2)</f>
        <v>25500</v>
      </c>
      <c r="J2" s="3">
        <f>SUM(G2:H2)</f>
        <v>1708.3333333333333</v>
      </c>
      <c r="K2" s="4">
        <f>I2-J2</f>
        <v>23791.666666666668</v>
      </c>
    </row>
    <row r="3" spans="1:11" x14ac:dyDescent="0.3">
      <c r="A3" s="3">
        <v>102</v>
      </c>
      <c r="B3" s="3" t="s">
        <v>13</v>
      </c>
      <c r="C3" s="3" t="s">
        <v>14</v>
      </c>
      <c r="D3" s="4">
        <v>18000</v>
      </c>
      <c r="E3" s="3">
        <f t="shared" ref="E3:E66" si="0">D3*50%</f>
        <v>9000</v>
      </c>
      <c r="F3" s="3">
        <f t="shared" ref="F3:F66" si="1">D3*20%</f>
        <v>3600</v>
      </c>
      <c r="G3" s="3">
        <f t="shared" ref="G3:G66" si="2">D3*10%</f>
        <v>1800</v>
      </c>
      <c r="H3" s="3">
        <f t="shared" ref="H3:H66" si="3">2500/12</f>
        <v>208.33333333333334</v>
      </c>
      <c r="I3" s="4">
        <f t="shared" ref="I3:I66" si="4">SUM(D3:F3)</f>
        <v>30600</v>
      </c>
      <c r="J3" s="3">
        <f t="shared" ref="J3:J66" si="5">SUM(G3:H3)</f>
        <v>2008.3333333333333</v>
      </c>
      <c r="K3" s="4">
        <f t="shared" ref="K3:K66" si="6">I3-J3</f>
        <v>28591.666666666668</v>
      </c>
    </row>
    <row r="4" spans="1:11" x14ac:dyDescent="0.3">
      <c r="A4" s="3">
        <v>103</v>
      </c>
      <c r="B4" s="3" t="s">
        <v>109</v>
      </c>
      <c r="C4" s="3" t="s">
        <v>16</v>
      </c>
      <c r="D4" s="4">
        <v>16000</v>
      </c>
      <c r="E4" s="3">
        <f t="shared" si="0"/>
        <v>8000</v>
      </c>
      <c r="F4" s="3">
        <f t="shared" si="1"/>
        <v>3200</v>
      </c>
      <c r="G4" s="3">
        <f t="shared" si="2"/>
        <v>1600</v>
      </c>
      <c r="H4" s="3">
        <f t="shared" si="3"/>
        <v>208.33333333333334</v>
      </c>
      <c r="I4" s="4">
        <f t="shared" si="4"/>
        <v>27200</v>
      </c>
      <c r="J4" s="3">
        <f t="shared" si="5"/>
        <v>1808.3333333333333</v>
      </c>
      <c r="K4" s="4">
        <f t="shared" si="6"/>
        <v>25391.666666666668</v>
      </c>
    </row>
    <row r="5" spans="1:11" x14ac:dyDescent="0.3">
      <c r="A5" s="3">
        <v>104</v>
      </c>
      <c r="B5" s="3" t="s">
        <v>107</v>
      </c>
      <c r="C5" s="3" t="s">
        <v>18</v>
      </c>
      <c r="D5" s="4">
        <v>17000</v>
      </c>
      <c r="E5" s="3">
        <f t="shared" si="0"/>
        <v>8500</v>
      </c>
      <c r="F5" s="3">
        <f t="shared" si="1"/>
        <v>3400</v>
      </c>
      <c r="G5" s="3">
        <f t="shared" si="2"/>
        <v>1700</v>
      </c>
      <c r="H5" s="3">
        <f t="shared" si="3"/>
        <v>208.33333333333334</v>
      </c>
      <c r="I5" s="4">
        <f t="shared" si="4"/>
        <v>28900</v>
      </c>
      <c r="J5" s="3">
        <f t="shared" si="5"/>
        <v>1908.3333333333333</v>
      </c>
      <c r="K5" s="4">
        <f t="shared" si="6"/>
        <v>26991.666666666668</v>
      </c>
    </row>
    <row r="6" spans="1:11" x14ac:dyDescent="0.3">
      <c r="A6" s="3">
        <v>105</v>
      </c>
      <c r="B6" s="3" t="s">
        <v>19</v>
      </c>
      <c r="C6" s="3" t="s">
        <v>20</v>
      </c>
      <c r="D6" s="4">
        <v>20000</v>
      </c>
      <c r="E6" s="3">
        <f t="shared" si="0"/>
        <v>10000</v>
      </c>
      <c r="F6" s="3">
        <f t="shared" si="1"/>
        <v>4000</v>
      </c>
      <c r="G6" s="3">
        <f t="shared" si="2"/>
        <v>2000</v>
      </c>
      <c r="H6" s="3">
        <f t="shared" si="3"/>
        <v>208.33333333333334</v>
      </c>
      <c r="I6" s="4">
        <f t="shared" si="4"/>
        <v>34000</v>
      </c>
      <c r="J6" s="3">
        <f t="shared" si="5"/>
        <v>2208.3333333333335</v>
      </c>
      <c r="K6" s="4">
        <f t="shared" si="6"/>
        <v>31791.666666666668</v>
      </c>
    </row>
    <row r="7" spans="1:11" x14ac:dyDescent="0.3">
      <c r="A7" s="3">
        <v>106</v>
      </c>
      <c r="B7" s="3" t="s">
        <v>108</v>
      </c>
      <c r="C7" s="3" t="s">
        <v>20</v>
      </c>
      <c r="D7" s="4">
        <v>21000</v>
      </c>
      <c r="E7" s="3">
        <f t="shared" si="0"/>
        <v>10500</v>
      </c>
      <c r="F7" s="3">
        <f t="shared" si="1"/>
        <v>4200</v>
      </c>
      <c r="G7" s="3">
        <f t="shared" si="2"/>
        <v>2100</v>
      </c>
      <c r="H7" s="3">
        <f t="shared" si="3"/>
        <v>208.33333333333334</v>
      </c>
      <c r="I7" s="4">
        <f t="shared" si="4"/>
        <v>35700</v>
      </c>
      <c r="J7" s="3">
        <f t="shared" si="5"/>
        <v>2308.3333333333335</v>
      </c>
      <c r="K7" s="4">
        <f t="shared" si="6"/>
        <v>33391.666666666664</v>
      </c>
    </row>
    <row r="8" spans="1:11" x14ac:dyDescent="0.3">
      <c r="A8" s="3">
        <v>107</v>
      </c>
      <c r="B8" s="3" t="s">
        <v>22</v>
      </c>
      <c r="C8" s="3" t="s">
        <v>14</v>
      </c>
      <c r="D8" s="4">
        <v>13000</v>
      </c>
      <c r="E8" s="3">
        <f t="shared" si="0"/>
        <v>6500</v>
      </c>
      <c r="F8" s="3">
        <f t="shared" si="1"/>
        <v>2600</v>
      </c>
      <c r="G8" s="3">
        <f t="shared" si="2"/>
        <v>1300</v>
      </c>
      <c r="H8" s="3">
        <f t="shared" si="3"/>
        <v>208.33333333333334</v>
      </c>
      <c r="I8" s="4">
        <f t="shared" si="4"/>
        <v>22100</v>
      </c>
      <c r="J8" s="3">
        <f t="shared" si="5"/>
        <v>1508.3333333333333</v>
      </c>
      <c r="K8" s="4">
        <f t="shared" si="6"/>
        <v>20591.666666666668</v>
      </c>
    </row>
    <row r="9" spans="1:11" x14ac:dyDescent="0.3">
      <c r="A9" s="3">
        <v>108</v>
      </c>
      <c r="B9" s="3" t="s">
        <v>23</v>
      </c>
      <c r="C9" s="3" t="s">
        <v>12</v>
      </c>
      <c r="D9" s="4">
        <v>14000</v>
      </c>
      <c r="E9" s="3">
        <f t="shared" si="0"/>
        <v>7000</v>
      </c>
      <c r="F9" s="3">
        <f t="shared" si="1"/>
        <v>2800</v>
      </c>
      <c r="G9" s="3">
        <f t="shared" si="2"/>
        <v>1400</v>
      </c>
      <c r="H9" s="3">
        <f t="shared" si="3"/>
        <v>208.33333333333334</v>
      </c>
      <c r="I9" s="4">
        <f t="shared" si="4"/>
        <v>23800</v>
      </c>
      <c r="J9" s="3">
        <f t="shared" si="5"/>
        <v>1608.3333333333333</v>
      </c>
      <c r="K9" s="4">
        <f t="shared" si="6"/>
        <v>22191.666666666668</v>
      </c>
    </row>
    <row r="10" spans="1:11" x14ac:dyDescent="0.3">
      <c r="A10" s="3">
        <v>109</v>
      </c>
      <c r="B10" s="3" t="s">
        <v>24</v>
      </c>
      <c r="C10" s="3" t="s">
        <v>18</v>
      </c>
      <c r="D10" s="4">
        <v>17000</v>
      </c>
      <c r="E10" s="3">
        <f t="shared" si="0"/>
        <v>8500</v>
      </c>
      <c r="F10" s="3">
        <f t="shared" si="1"/>
        <v>3400</v>
      </c>
      <c r="G10" s="3">
        <f t="shared" si="2"/>
        <v>1700</v>
      </c>
      <c r="H10" s="3">
        <f t="shared" si="3"/>
        <v>208.33333333333334</v>
      </c>
      <c r="I10" s="4">
        <f t="shared" si="4"/>
        <v>28900</v>
      </c>
      <c r="J10" s="3">
        <f t="shared" si="5"/>
        <v>1908.3333333333333</v>
      </c>
      <c r="K10" s="4">
        <f t="shared" si="6"/>
        <v>26991.666666666668</v>
      </c>
    </row>
    <row r="11" spans="1:11" x14ac:dyDescent="0.3">
      <c r="A11" s="3">
        <v>110</v>
      </c>
      <c r="B11" s="3" t="s">
        <v>25</v>
      </c>
      <c r="C11" s="3" t="s">
        <v>16</v>
      </c>
      <c r="D11" s="4">
        <v>21000</v>
      </c>
      <c r="E11" s="3">
        <f t="shared" si="0"/>
        <v>10500</v>
      </c>
      <c r="F11" s="3">
        <f t="shared" si="1"/>
        <v>4200</v>
      </c>
      <c r="G11" s="3">
        <f t="shared" si="2"/>
        <v>2100</v>
      </c>
      <c r="H11" s="3">
        <f t="shared" si="3"/>
        <v>208.33333333333334</v>
      </c>
      <c r="I11" s="4">
        <f t="shared" si="4"/>
        <v>35700</v>
      </c>
      <c r="J11" s="3">
        <f t="shared" si="5"/>
        <v>2308.3333333333335</v>
      </c>
      <c r="K11" s="4">
        <f t="shared" si="6"/>
        <v>33391.666666666664</v>
      </c>
    </row>
    <row r="12" spans="1:11" x14ac:dyDescent="0.3">
      <c r="A12" s="3">
        <v>111</v>
      </c>
      <c r="B12" s="3" t="s">
        <v>26</v>
      </c>
      <c r="C12" s="3" t="s">
        <v>12</v>
      </c>
      <c r="D12" s="4">
        <v>19000</v>
      </c>
      <c r="E12" s="3">
        <f t="shared" si="0"/>
        <v>9500</v>
      </c>
      <c r="F12" s="3">
        <f t="shared" si="1"/>
        <v>3800</v>
      </c>
      <c r="G12" s="3">
        <f t="shared" si="2"/>
        <v>1900</v>
      </c>
      <c r="H12" s="3">
        <f t="shared" si="3"/>
        <v>208.33333333333334</v>
      </c>
      <c r="I12" s="4">
        <f t="shared" si="4"/>
        <v>32300</v>
      </c>
      <c r="J12" s="3">
        <f t="shared" si="5"/>
        <v>2108.3333333333335</v>
      </c>
      <c r="K12" s="4">
        <f t="shared" si="6"/>
        <v>30191.666666666668</v>
      </c>
    </row>
    <row r="13" spans="1:11" x14ac:dyDescent="0.3">
      <c r="A13" s="3">
        <v>112</v>
      </c>
      <c r="B13" s="3" t="s">
        <v>27</v>
      </c>
      <c r="C13" s="3" t="s">
        <v>14</v>
      </c>
      <c r="D13" s="4">
        <v>12000</v>
      </c>
      <c r="E13" s="3">
        <f t="shared" si="0"/>
        <v>6000</v>
      </c>
      <c r="F13" s="3">
        <f t="shared" si="1"/>
        <v>2400</v>
      </c>
      <c r="G13" s="3">
        <f t="shared" si="2"/>
        <v>1200</v>
      </c>
      <c r="H13" s="3">
        <f t="shared" si="3"/>
        <v>208.33333333333334</v>
      </c>
      <c r="I13" s="4">
        <f t="shared" si="4"/>
        <v>20400</v>
      </c>
      <c r="J13" s="3">
        <f t="shared" si="5"/>
        <v>1408.3333333333333</v>
      </c>
      <c r="K13" s="4">
        <f t="shared" si="6"/>
        <v>18991.666666666668</v>
      </c>
    </row>
    <row r="14" spans="1:11" x14ac:dyDescent="0.3">
      <c r="A14" s="3">
        <v>113</v>
      </c>
      <c r="B14" s="3" t="s">
        <v>28</v>
      </c>
      <c r="C14" s="3" t="s">
        <v>20</v>
      </c>
      <c r="D14" s="4">
        <v>13000</v>
      </c>
      <c r="E14" s="3">
        <f t="shared" si="0"/>
        <v>6500</v>
      </c>
      <c r="F14" s="3">
        <f t="shared" si="1"/>
        <v>2600</v>
      </c>
      <c r="G14" s="3">
        <f t="shared" si="2"/>
        <v>1300</v>
      </c>
      <c r="H14" s="3">
        <f t="shared" si="3"/>
        <v>208.33333333333334</v>
      </c>
      <c r="I14" s="4">
        <f t="shared" si="4"/>
        <v>22100</v>
      </c>
      <c r="J14" s="3">
        <f t="shared" si="5"/>
        <v>1508.3333333333333</v>
      </c>
      <c r="K14" s="4">
        <f t="shared" si="6"/>
        <v>20591.666666666668</v>
      </c>
    </row>
    <row r="15" spans="1:11" x14ac:dyDescent="0.3">
      <c r="A15" s="3">
        <v>114</v>
      </c>
      <c r="B15" s="3" t="s">
        <v>29</v>
      </c>
      <c r="C15" s="3" t="s">
        <v>18</v>
      </c>
      <c r="D15" s="4">
        <v>20000</v>
      </c>
      <c r="E15" s="3">
        <f t="shared" si="0"/>
        <v>10000</v>
      </c>
      <c r="F15" s="3">
        <f t="shared" si="1"/>
        <v>4000</v>
      </c>
      <c r="G15" s="3">
        <f t="shared" si="2"/>
        <v>2000</v>
      </c>
      <c r="H15" s="3">
        <f t="shared" si="3"/>
        <v>208.33333333333334</v>
      </c>
      <c r="I15" s="4">
        <f t="shared" si="4"/>
        <v>34000</v>
      </c>
      <c r="J15" s="3">
        <f t="shared" si="5"/>
        <v>2208.3333333333335</v>
      </c>
      <c r="K15" s="4">
        <f t="shared" si="6"/>
        <v>31791.666666666668</v>
      </c>
    </row>
    <row r="16" spans="1:11" x14ac:dyDescent="0.3">
      <c r="A16" s="3">
        <v>115</v>
      </c>
      <c r="B16" s="3" t="s">
        <v>30</v>
      </c>
      <c r="C16" s="3" t="s">
        <v>16</v>
      </c>
      <c r="D16" s="4">
        <v>23000</v>
      </c>
      <c r="E16" s="3">
        <f t="shared" si="0"/>
        <v>11500</v>
      </c>
      <c r="F16" s="3">
        <f>D16*20%</f>
        <v>4600</v>
      </c>
      <c r="G16" s="3">
        <f t="shared" si="2"/>
        <v>2300</v>
      </c>
      <c r="H16" s="3">
        <f t="shared" si="3"/>
        <v>208.33333333333334</v>
      </c>
      <c r="I16" s="4">
        <f t="shared" si="4"/>
        <v>39100</v>
      </c>
      <c r="J16" s="3">
        <f t="shared" si="5"/>
        <v>2508.3333333333335</v>
      </c>
      <c r="K16" s="4">
        <f t="shared" si="6"/>
        <v>36591.666666666664</v>
      </c>
    </row>
    <row r="17" spans="1:11" x14ac:dyDescent="0.3">
      <c r="A17" s="3">
        <v>116</v>
      </c>
      <c r="B17" s="5" t="s">
        <v>31</v>
      </c>
      <c r="C17" s="3" t="s">
        <v>12</v>
      </c>
      <c r="D17" s="4">
        <v>18238.0952380952</v>
      </c>
      <c r="E17" s="3">
        <f t="shared" si="0"/>
        <v>9119.0476190476002</v>
      </c>
      <c r="F17" s="3">
        <f t="shared" ref="F17" si="7">D17*20%</f>
        <v>3647.6190476190404</v>
      </c>
      <c r="G17" s="3">
        <f>D17*10%</f>
        <v>1823.8095238095202</v>
      </c>
      <c r="H17" s="3">
        <f t="shared" si="3"/>
        <v>208.33333333333334</v>
      </c>
      <c r="I17" s="4">
        <f t="shared" si="4"/>
        <v>31004.761904761843</v>
      </c>
      <c r="J17" s="3">
        <f t="shared" si="5"/>
        <v>2032.1428571428535</v>
      </c>
      <c r="K17" s="4">
        <f t="shared" si="6"/>
        <v>28972.619047618988</v>
      </c>
    </row>
    <row r="18" spans="1:11" x14ac:dyDescent="0.3">
      <c r="A18" s="3">
        <v>117</v>
      </c>
      <c r="B18" s="5" t="s">
        <v>32</v>
      </c>
      <c r="C18" s="3" t="s">
        <v>14</v>
      </c>
      <c r="D18" s="4">
        <v>18359.523809523798</v>
      </c>
      <c r="E18" s="3">
        <f t="shared" si="0"/>
        <v>9179.7619047618991</v>
      </c>
      <c r="F18" s="3">
        <f t="shared" si="1"/>
        <v>3671.9047619047597</v>
      </c>
      <c r="G18" s="3">
        <f t="shared" si="2"/>
        <v>1835.9523809523798</v>
      </c>
      <c r="H18" s="3">
        <f t="shared" si="3"/>
        <v>208.33333333333334</v>
      </c>
      <c r="I18" s="4">
        <f t="shared" si="4"/>
        <v>31211.190476190455</v>
      </c>
      <c r="J18" s="3">
        <f t="shared" si="5"/>
        <v>2044.2857142857131</v>
      </c>
      <c r="K18" s="4">
        <f t="shared" si="6"/>
        <v>29166.904761904741</v>
      </c>
    </row>
    <row r="19" spans="1:11" x14ac:dyDescent="0.3">
      <c r="A19" s="3">
        <v>118</v>
      </c>
      <c r="B19" s="5" t="s">
        <v>33</v>
      </c>
      <c r="C19" s="3" t="s">
        <v>16</v>
      </c>
      <c r="D19" s="4">
        <v>18480.9523809524</v>
      </c>
      <c r="E19" s="3">
        <f t="shared" si="0"/>
        <v>9240.4761904761999</v>
      </c>
      <c r="F19" s="3">
        <f t="shared" si="1"/>
        <v>3696.1904761904802</v>
      </c>
      <c r="G19" s="3">
        <f t="shared" si="2"/>
        <v>1848.0952380952401</v>
      </c>
      <c r="H19" s="3">
        <f t="shared" si="3"/>
        <v>208.33333333333334</v>
      </c>
      <c r="I19" s="4">
        <f t="shared" si="4"/>
        <v>31417.619047619082</v>
      </c>
      <c r="J19" s="3">
        <f t="shared" si="5"/>
        <v>2056.4285714285734</v>
      </c>
      <c r="K19" s="4">
        <f t="shared" si="6"/>
        <v>29361.19047619051</v>
      </c>
    </row>
    <row r="20" spans="1:11" x14ac:dyDescent="0.3">
      <c r="A20" s="3">
        <v>119</v>
      </c>
      <c r="B20" s="5" t="s">
        <v>34</v>
      </c>
      <c r="C20" s="3" t="s">
        <v>18</v>
      </c>
      <c r="D20" s="4">
        <v>18602.3809523809</v>
      </c>
      <c r="E20" s="3">
        <f t="shared" si="0"/>
        <v>9301.1904761904498</v>
      </c>
      <c r="F20" s="3">
        <f t="shared" si="1"/>
        <v>3720.4761904761799</v>
      </c>
      <c r="G20" s="3">
        <f t="shared" si="2"/>
        <v>1860.23809523809</v>
      </c>
      <c r="H20" s="3">
        <f t="shared" si="3"/>
        <v>208.33333333333334</v>
      </c>
      <c r="I20" s="4">
        <f t="shared" si="4"/>
        <v>31624.047619047527</v>
      </c>
      <c r="J20" s="3">
        <f t="shared" si="5"/>
        <v>2068.5714285714234</v>
      </c>
      <c r="K20" s="4">
        <f t="shared" si="6"/>
        <v>29555.476190476104</v>
      </c>
    </row>
    <row r="21" spans="1:11" x14ac:dyDescent="0.3">
      <c r="A21" s="3">
        <v>120</v>
      </c>
      <c r="B21" s="5" t="s">
        <v>35</v>
      </c>
      <c r="C21" s="3" t="s">
        <v>20</v>
      </c>
      <c r="D21" s="4">
        <v>18723.809523809501</v>
      </c>
      <c r="E21" s="3">
        <f t="shared" si="0"/>
        <v>9361.9047619047506</v>
      </c>
      <c r="F21" s="3">
        <f t="shared" si="1"/>
        <v>3744.7619047619005</v>
      </c>
      <c r="G21" s="3">
        <f t="shared" si="2"/>
        <v>1872.3809523809502</v>
      </c>
      <c r="H21" s="3">
        <f t="shared" si="3"/>
        <v>208.33333333333334</v>
      </c>
      <c r="I21" s="4">
        <f t="shared" si="4"/>
        <v>31830.476190476154</v>
      </c>
      <c r="J21" s="3">
        <f t="shared" si="5"/>
        <v>2080.7142857142835</v>
      </c>
      <c r="K21" s="4">
        <f t="shared" si="6"/>
        <v>29749.761904761872</v>
      </c>
    </row>
    <row r="22" spans="1:11" x14ac:dyDescent="0.3">
      <c r="A22" s="3">
        <v>121</v>
      </c>
      <c r="B22" s="5" t="s">
        <v>36</v>
      </c>
      <c r="C22" s="3" t="s">
        <v>20</v>
      </c>
      <c r="D22" s="4">
        <v>18845.238095238099</v>
      </c>
      <c r="E22" s="3">
        <f t="shared" si="0"/>
        <v>9422.6190476190495</v>
      </c>
      <c r="F22" s="3">
        <f t="shared" si="1"/>
        <v>3769.0476190476202</v>
      </c>
      <c r="G22" s="3">
        <f t="shared" si="2"/>
        <v>1884.5238095238101</v>
      </c>
      <c r="H22" s="3">
        <f t="shared" si="3"/>
        <v>208.33333333333334</v>
      </c>
      <c r="I22" s="4">
        <f t="shared" si="4"/>
        <v>32036.904761904771</v>
      </c>
      <c r="J22" s="3">
        <f t="shared" si="5"/>
        <v>2092.8571428571436</v>
      </c>
      <c r="K22" s="4">
        <f t="shared" si="6"/>
        <v>29944.047619047626</v>
      </c>
    </row>
    <row r="23" spans="1:11" x14ac:dyDescent="0.3">
      <c r="A23" s="3">
        <v>122</v>
      </c>
      <c r="B23" s="5" t="s">
        <v>37</v>
      </c>
      <c r="C23" s="3" t="s">
        <v>14</v>
      </c>
      <c r="D23" s="4">
        <v>18966.666666666701</v>
      </c>
      <c r="E23" s="3">
        <f t="shared" si="0"/>
        <v>9483.3333333333503</v>
      </c>
      <c r="F23" s="3">
        <f t="shared" si="1"/>
        <v>3793.3333333333403</v>
      </c>
      <c r="G23" s="3">
        <f t="shared" si="2"/>
        <v>1896.6666666666702</v>
      </c>
      <c r="H23" s="3">
        <f t="shared" si="3"/>
        <v>208.33333333333334</v>
      </c>
      <c r="I23" s="4">
        <f t="shared" si="4"/>
        <v>32243.33333333339</v>
      </c>
      <c r="J23" s="3">
        <f t="shared" si="5"/>
        <v>2105.0000000000036</v>
      </c>
      <c r="K23" s="4">
        <f t="shared" si="6"/>
        <v>30138.333333333387</v>
      </c>
    </row>
    <row r="24" spans="1:11" x14ac:dyDescent="0.3">
      <c r="A24" s="3">
        <v>123</v>
      </c>
      <c r="B24" s="5" t="s">
        <v>38</v>
      </c>
      <c r="C24" s="3" t="s">
        <v>12</v>
      </c>
      <c r="D24" s="4">
        <v>19088.0952380952</v>
      </c>
      <c r="E24" s="3">
        <f t="shared" si="0"/>
        <v>9544.0476190476002</v>
      </c>
      <c r="F24" s="3">
        <f t="shared" si="1"/>
        <v>3817.6190476190404</v>
      </c>
      <c r="G24" s="3">
        <f t="shared" si="2"/>
        <v>1908.8095238095202</v>
      </c>
      <c r="H24" s="3">
        <f t="shared" si="3"/>
        <v>208.33333333333334</v>
      </c>
      <c r="I24" s="4">
        <f t="shared" si="4"/>
        <v>32449.761904761843</v>
      </c>
      <c r="J24" s="3">
        <f t="shared" si="5"/>
        <v>2117.1428571428537</v>
      </c>
      <c r="K24" s="4">
        <f t="shared" si="6"/>
        <v>30332.619047618988</v>
      </c>
    </row>
    <row r="25" spans="1:11" x14ac:dyDescent="0.3">
      <c r="A25" s="3">
        <v>124</v>
      </c>
      <c r="B25" s="5" t="s">
        <v>39</v>
      </c>
      <c r="C25" s="3" t="s">
        <v>18</v>
      </c>
      <c r="D25" s="4">
        <v>19209.523809523798</v>
      </c>
      <c r="E25" s="3">
        <f t="shared" si="0"/>
        <v>9604.7619047618991</v>
      </c>
      <c r="F25" s="3">
        <f t="shared" si="1"/>
        <v>3841.9047619047597</v>
      </c>
      <c r="G25" s="3">
        <f t="shared" si="2"/>
        <v>1920.9523809523798</v>
      </c>
      <c r="H25" s="3">
        <f t="shared" si="3"/>
        <v>208.33333333333334</v>
      </c>
      <c r="I25" s="4">
        <f t="shared" si="4"/>
        <v>32656.190476190455</v>
      </c>
      <c r="J25" s="3">
        <f t="shared" si="5"/>
        <v>2129.2857142857133</v>
      </c>
      <c r="K25" s="4">
        <f t="shared" si="6"/>
        <v>30526.904761904741</v>
      </c>
    </row>
    <row r="26" spans="1:11" x14ac:dyDescent="0.3">
      <c r="A26" s="3">
        <v>125</v>
      </c>
      <c r="B26" s="5" t="s">
        <v>40</v>
      </c>
      <c r="C26" s="3" t="s">
        <v>16</v>
      </c>
      <c r="D26" s="4">
        <v>19330.9523809524</v>
      </c>
      <c r="E26" s="3">
        <f t="shared" si="0"/>
        <v>9665.4761904761999</v>
      </c>
      <c r="F26" s="3">
        <f t="shared" si="1"/>
        <v>3866.1904761904802</v>
      </c>
      <c r="G26" s="3">
        <f t="shared" si="2"/>
        <v>1933.0952380952401</v>
      </c>
      <c r="H26" s="3">
        <f t="shared" si="3"/>
        <v>208.33333333333334</v>
      </c>
      <c r="I26" s="4">
        <f t="shared" si="4"/>
        <v>32862.619047619082</v>
      </c>
      <c r="J26" s="3">
        <f t="shared" si="5"/>
        <v>2141.4285714285734</v>
      </c>
      <c r="K26" s="4">
        <f t="shared" si="6"/>
        <v>30721.19047619051</v>
      </c>
    </row>
    <row r="27" spans="1:11" x14ac:dyDescent="0.3">
      <c r="A27" s="3">
        <v>126</v>
      </c>
      <c r="B27" s="5" t="s">
        <v>41</v>
      </c>
      <c r="C27" s="3" t="s">
        <v>12</v>
      </c>
      <c r="D27" s="4">
        <v>19452.3809523809</v>
      </c>
      <c r="E27" s="3">
        <f t="shared" si="0"/>
        <v>9726.1904761904498</v>
      </c>
      <c r="F27" s="3">
        <f t="shared" si="1"/>
        <v>3890.4761904761799</v>
      </c>
      <c r="G27" s="3">
        <f t="shared" si="2"/>
        <v>1945.23809523809</v>
      </c>
      <c r="H27" s="3">
        <f t="shared" si="3"/>
        <v>208.33333333333334</v>
      </c>
      <c r="I27" s="4">
        <f t="shared" si="4"/>
        <v>33069.047619047531</v>
      </c>
      <c r="J27" s="3">
        <f t="shared" si="5"/>
        <v>2153.5714285714234</v>
      </c>
      <c r="K27" s="4">
        <f t="shared" si="6"/>
        <v>30915.476190476107</v>
      </c>
    </row>
    <row r="28" spans="1:11" x14ac:dyDescent="0.3">
      <c r="A28" s="3">
        <v>127</v>
      </c>
      <c r="B28" s="5" t="s">
        <v>42</v>
      </c>
      <c r="C28" s="3" t="s">
        <v>14</v>
      </c>
      <c r="D28" s="4">
        <v>19573.809523809501</v>
      </c>
      <c r="E28" s="3">
        <f t="shared" si="0"/>
        <v>9786.9047619047506</v>
      </c>
      <c r="F28" s="3">
        <f t="shared" si="1"/>
        <v>3914.7619047619005</v>
      </c>
      <c r="G28" s="3">
        <f t="shared" si="2"/>
        <v>1957.3809523809502</v>
      </c>
      <c r="H28" s="3">
        <f t="shared" si="3"/>
        <v>208.33333333333334</v>
      </c>
      <c r="I28" s="4">
        <f t="shared" si="4"/>
        <v>33275.476190476154</v>
      </c>
      <c r="J28" s="3">
        <f t="shared" si="5"/>
        <v>2165.7142857142835</v>
      </c>
      <c r="K28" s="4">
        <f t="shared" si="6"/>
        <v>31109.761904761872</v>
      </c>
    </row>
    <row r="29" spans="1:11" x14ac:dyDescent="0.3">
      <c r="A29" s="3">
        <v>128</v>
      </c>
      <c r="B29" s="5" t="s">
        <v>43</v>
      </c>
      <c r="C29" s="3" t="s">
        <v>20</v>
      </c>
      <c r="D29" s="4">
        <v>19695.238095238099</v>
      </c>
      <c r="E29" s="3">
        <f t="shared" si="0"/>
        <v>9847.6190476190495</v>
      </c>
      <c r="F29" s="3">
        <f t="shared" si="1"/>
        <v>3939.0476190476202</v>
      </c>
      <c r="G29" s="3">
        <f t="shared" si="2"/>
        <v>1969.5238095238101</v>
      </c>
      <c r="H29" s="3">
        <f t="shared" si="3"/>
        <v>208.33333333333334</v>
      </c>
      <c r="I29" s="4">
        <f t="shared" si="4"/>
        <v>33481.904761904771</v>
      </c>
      <c r="J29" s="3">
        <f t="shared" si="5"/>
        <v>2177.8571428571436</v>
      </c>
      <c r="K29" s="4">
        <f t="shared" si="6"/>
        <v>31304.047619047626</v>
      </c>
    </row>
    <row r="30" spans="1:11" x14ac:dyDescent="0.3">
      <c r="A30" s="3">
        <v>129</v>
      </c>
      <c r="B30" s="5" t="s">
        <v>44</v>
      </c>
      <c r="C30" s="3" t="s">
        <v>18</v>
      </c>
      <c r="D30" s="4">
        <v>19816.666666666701</v>
      </c>
      <c r="E30" s="3">
        <f t="shared" si="0"/>
        <v>9908.3333333333503</v>
      </c>
      <c r="F30" s="3">
        <f t="shared" si="1"/>
        <v>3963.3333333333403</v>
      </c>
      <c r="G30" s="3">
        <f t="shared" si="2"/>
        <v>1981.6666666666702</v>
      </c>
      <c r="H30" s="3">
        <f t="shared" si="3"/>
        <v>208.33333333333334</v>
      </c>
      <c r="I30" s="4">
        <f t="shared" si="4"/>
        <v>33688.333333333394</v>
      </c>
      <c r="J30" s="3">
        <f t="shared" si="5"/>
        <v>2190.0000000000036</v>
      </c>
      <c r="K30" s="4">
        <f t="shared" si="6"/>
        <v>31498.33333333339</v>
      </c>
    </row>
    <row r="31" spans="1:11" x14ac:dyDescent="0.3">
      <c r="A31" s="3">
        <v>130</v>
      </c>
      <c r="B31" s="5" t="s">
        <v>45</v>
      </c>
      <c r="C31" s="3" t="s">
        <v>16</v>
      </c>
      <c r="D31" s="4">
        <v>19938.0952380952</v>
      </c>
      <c r="E31" s="3">
        <f t="shared" si="0"/>
        <v>9969.0476190476002</v>
      </c>
      <c r="F31" s="3">
        <f t="shared" si="1"/>
        <v>3987.6190476190404</v>
      </c>
      <c r="G31" s="3">
        <f t="shared" si="2"/>
        <v>1993.8095238095202</v>
      </c>
      <c r="H31" s="3">
        <f t="shared" si="3"/>
        <v>208.33333333333334</v>
      </c>
      <c r="I31" s="4">
        <f t="shared" si="4"/>
        <v>33894.761904761843</v>
      </c>
      <c r="J31" s="3">
        <f t="shared" si="5"/>
        <v>2202.1428571428537</v>
      </c>
      <c r="K31" s="4">
        <f t="shared" si="6"/>
        <v>31692.619047618988</v>
      </c>
    </row>
    <row r="32" spans="1:11" x14ac:dyDescent="0.3">
      <c r="A32" s="3">
        <v>131</v>
      </c>
      <c r="B32" s="5" t="s">
        <v>46</v>
      </c>
      <c r="C32" s="3" t="s">
        <v>12</v>
      </c>
      <c r="D32" s="4">
        <v>20059.523809523798</v>
      </c>
      <c r="E32" s="3">
        <f t="shared" si="0"/>
        <v>10029.761904761899</v>
      </c>
      <c r="F32" s="3">
        <f t="shared" si="1"/>
        <v>4011.9047619047597</v>
      </c>
      <c r="G32" s="3">
        <f t="shared" si="2"/>
        <v>2005.9523809523798</v>
      </c>
      <c r="H32" s="3">
        <f t="shared" si="3"/>
        <v>208.33333333333334</v>
      </c>
      <c r="I32" s="4">
        <f t="shared" si="4"/>
        <v>34101.190476190459</v>
      </c>
      <c r="J32" s="3">
        <f t="shared" si="5"/>
        <v>2214.2857142857133</v>
      </c>
      <c r="K32" s="4">
        <f t="shared" si="6"/>
        <v>31886.904761904745</v>
      </c>
    </row>
    <row r="33" spans="1:11" x14ac:dyDescent="0.3">
      <c r="A33" s="3">
        <v>132</v>
      </c>
      <c r="B33" s="5" t="s">
        <v>47</v>
      </c>
      <c r="C33" s="3" t="s">
        <v>14</v>
      </c>
      <c r="D33" s="4">
        <v>20180.9523809524</v>
      </c>
      <c r="E33" s="3">
        <f t="shared" si="0"/>
        <v>10090.4761904762</v>
      </c>
      <c r="F33" s="3">
        <f t="shared" si="1"/>
        <v>4036.1904761904802</v>
      </c>
      <c r="G33" s="3">
        <f t="shared" si="2"/>
        <v>2018.0952380952401</v>
      </c>
      <c r="H33" s="3">
        <f t="shared" si="3"/>
        <v>208.33333333333334</v>
      </c>
      <c r="I33" s="4">
        <f t="shared" si="4"/>
        <v>34307.619047619082</v>
      </c>
      <c r="J33" s="3">
        <f t="shared" si="5"/>
        <v>2226.4285714285734</v>
      </c>
      <c r="K33" s="4">
        <f t="shared" si="6"/>
        <v>32081.19047619051</v>
      </c>
    </row>
    <row r="34" spans="1:11" x14ac:dyDescent="0.3">
      <c r="A34" s="3">
        <v>133</v>
      </c>
      <c r="B34" s="5" t="s">
        <v>48</v>
      </c>
      <c r="C34" s="3" t="s">
        <v>16</v>
      </c>
      <c r="D34" s="4">
        <v>20302.3809523809</v>
      </c>
      <c r="E34" s="3">
        <f t="shared" si="0"/>
        <v>10151.19047619045</v>
      </c>
      <c r="F34" s="3">
        <f t="shared" si="1"/>
        <v>4060.4761904761799</v>
      </c>
      <c r="G34" s="3">
        <f t="shared" si="2"/>
        <v>2030.23809523809</v>
      </c>
      <c r="H34" s="3">
        <f t="shared" si="3"/>
        <v>208.33333333333334</v>
      </c>
      <c r="I34" s="4">
        <f t="shared" si="4"/>
        <v>34514.047619047531</v>
      </c>
      <c r="J34" s="3">
        <f t="shared" si="5"/>
        <v>2238.5714285714234</v>
      </c>
      <c r="K34" s="4">
        <f t="shared" si="6"/>
        <v>32275.476190476107</v>
      </c>
    </row>
    <row r="35" spans="1:11" x14ac:dyDescent="0.3">
      <c r="A35" s="3">
        <v>134</v>
      </c>
      <c r="B35" s="5" t="s">
        <v>49</v>
      </c>
      <c r="C35" s="3" t="s">
        <v>18</v>
      </c>
      <c r="D35" s="4">
        <v>20423.809523809501</v>
      </c>
      <c r="E35" s="3">
        <f t="shared" si="0"/>
        <v>10211.904761904751</v>
      </c>
      <c r="F35" s="3">
        <f t="shared" si="1"/>
        <v>4084.7619047619005</v>
      </c>
      <c r="G35" s="3">
        <f t="shared" si="2"/>
        <v>2042.3809523809502</v>
      </c>
      <c r="H35" s="3">
        <f t="shared" si="3"/>
        <v>208.33333333333334</v>
      </c>
      <c r="I35" s="4">
        <f t="shared" si="4"/>
        <v>34720.476190476154</v>
      </c>
      <c r="J35" s="3">
        <f t="shared" si="5"/>
        <v>2250.7142857142835</v>
      </c>
      <c r="K35" s="4">
        <f t="shared" si="6"/>
        <v>32469.761904761872</v>
      </c>
    </row>
    <row r="36" spans="1:11" x14ac:dyDescent="0.3">
      <c r="A36" s="3">
        <v>135</v>
      </c>
      <c r="B36" s="5" t="s">
        <v>50</v>
      </c>
      <c r="C36" s="3" t="s">
        <v>20</v>
      </c>
      <c r="D36" s="4">
        <v>20545.238095238099</v>
      </c>
      <c r="E36" s="3">
        <f t="shared" si="0"/>
        <v>10272.61904761905</v>
      </c>
      <c r="F36" s="3">
        <f t="shared" si="1"/>
        <v>4109.0476190476202</v>
      </c>
      <c r="G36" s="3">
        <f t="shared" si="2"/>
        <v>2054.5238095238101</v>
      </c>
      <c r="H36" s="3">
        <f t="shared" si="3"/>
        <v>208.33333333333334</v>
      </c>
      <c r="I36" s="4">
        <f t="shared" si="4"/>
        <v>34926.904761904771</v>
      </c>
      <c r="J36" s="3">
        <f t="shared" si="5"/>
        <v>2262.8571428571436</v>
      </c>
      <c r="K36" s="4">
        <f t="shared" si="6"/>
        <v>32664.047619047626</v>
      </c>
    </row>
    <row r="37" spans="1:11" x14ac:dyDescent="0.3">
      <c r="A37" s="3">
        <v>136</v>
      </c>
      <c r="B37" s="5" t="s">
        <v>51</v>
      </c>
      <c r="C37" s="3" t="s">
        <v>20</v>
      </c>
      <c r="D37" s="4">
        <v>20666.666666666701</v>
      </c>
      <c r="E37" s="3">
        <f t="shared" si="0"/>
        <v>10333.33333333335</v>
      </c>
      <c r="F37" s="3">
        <f t="shared" si="1"/>
        <v>4133.3333333333403</v>
      </c>
      <c r="G37" s="3">
        <f t="shared" si="2"/>
        <v>2066.6666666666702</v>
      </c>
      <c r="H37" s="3">
        <f t="shared" si="3"/>
        <v>208.33333333333334</v>
      </c>
      <c r="I37" s="4">
        <f t="shared" si="4"/>
        <v>35133.333333333394</v>
      </c>
      <c r="J37" s="3">
        <f t="shared" si="5"/>
        <v>2275.0000000000036</v>
      </c>
      <c r="K37" s="4">
        <f t="shared" si="6"/>
        <v>32858.333333333387</v>
      </c>
    </row>
    <row r="38" spans="1:11" x14ac:dyDescent="0.3">
      <c r="A38" s="3">
        <v>137</v>
      </c>
      <c r="B38" s="5" t="s">
        <v>52</v>
      </c>
      <c r="C38" s="3" t="s">
        <v>14</v>
      </c>
      <c r="D38" s="4">
        <v>20788.0952380952</v>
      </c>
      <c r="E38" s="3">
        <f t="shared" si="0"/>
        <v>10394.0476190476</v>
      </c>
      <c r="F38" s="3">
        <f t="shared" si="1"/>
        <v>4157.6190476190404</v>
      </c>
      <c r="G38" s="3">
        <f t="shared" si="2"/>
        <v>2078.8095238095202</v>
      </c>
      <c r="H38" s="3">
        <f t="shared" si="3"/>
        <v>208.33333333333334</v>
      </c>
      <c r="I38" s="4">
        <f t="shared" si="4"/>
        <v>35339.761904761843</v>
      </c>
      <c r="J38" s="3">
        <f t="shared" si="5"/>
        <v>2287.1428571428537</v>
      </c>
      <c r="K38" s="4">
        <f t="shared" si="6"/>
        <v>33052.619047618988</v>
      </c>
    </row>
    <row r="39" spans="1:11" x14ac:dyDescent="0.3">
      <c r="A39" s="3">
        <v>138</v>
      </c>
      <c r="B39" s="5" t="s">
        <v>53</v>
      </c>
      <c r="C39" s="3" t="s">
        <v>12</v>
      </c>
      <c r="D39" s="4">
        <v>20909.523809523798</v>
      </c>
      <c r="E39" s="3">
        <f t="shared" si="0"/>
        <v>10454.761904761899</v>
      </c>
      <c r="F39" s="3">
        <f t="shared" si="1"/>
        <v>4181.9047619047597</v>
      </c>
      <c r="G39" s="3">
        <f t="shared" si="2"/>
        <v>2090.9523809523798</v>
      </c>
      <c r="H39" s="3">
        <f t="shared" si="3"/>
        <v>208.33333333333334</v>
      </c>
      <c r="I39" s="4">
        <f t="shared" si="4"/>
        <v>35546.190476190459</v>
      </c>
      <c r="J39" s="3">
        <f t="shared" si="5"/>
        <v>2299.2857142857133</v>
      </c>
      <c r="K39" s="4">
        <f t="shared" si="6"/>
        <v>33246.904761904749</v>
      </c>
    </row>
    <row r="40" spans="1:11" x14ac:dyDescent="0.3">
      <c r="A40" s="3">
        <v>139</v>
      </c>
      <c r="B40" s="5" t="s">
        <v>54</v>
      </c>
      <c r="C40" s="3" t="s">
        <v>18</v>
      </c>
      <c r="D40" s="4">
        <v>21030.9523809524</v>
      </c>
      <c r="E40" s="3">
        <f t="shared" si="0"/>
        <v>10515.4761904762</v>
      </c>
      <c r="F40" s="3">
        <f t="shared" si="1"/>
        <v>4206.1904761904798</v>
      </c>
      <c r="G40" s="3">
        <f t="shared" si="2"/>
        <v>2103.0952380952399</v>
      </c>
      <c r="H40" s="3">
        <f t="shared" si="3"/>
        <v>208.33333333333334</v>
      </c>
      <c r="I40" s="4">
        <f t="shared" si="4"/>
        <v>35752.619047619082</v>
      </c>
      <c r="J40" s="3">
        <f t="shared" si="5"/>
        <v>2311.4285714285734</v>
      </c>
      <c r="K40" s="4">
        <f t="shared" si="6"/>
        <v>33441.19047619051</v>
      </c>
    </row>
    <row r="41" spans="1:11" x14ac:dyDescent="0.3">
      <c r="A41" s="3">
        <v>140</v>
      </c>
      <c r="B41" s="5" t="s">
        <v>55</v>
      </c>
      <c r="C41" s="3" t="s">
        <v>16</v>
      </c>
      <c r="D41" s="4">
        <v>21152.3809523809</v>
      </c>
      <c r="E41" s="3">
        <f t="shared" si="0"/>
        <v>10576.19047619045</v>
      </c>
      <c r="F41" s="3">
        <f t="shared" si="1"/>
        <v>4230.4761904761799</v>
      </c>
      <c r="G41" s="3">
        <f t="shared" si="2"/>
        <v>2115.23809523809</v>
      </c>
      <c r="H41" s="3">
        <f t="shared" si="3"/>
        <v>208.33333333333334</v>
      </c>
      <c r="I41" s="4">
        <f t="shared" si="4"/>
        <v>35959.047619047531</v>
      </c>
      <c r="J41" s="3">
        <f t="shared" si="5"/>
        <v>2323.5714285714234</v>
      </c>
      <c r="K41" s="4">
        <f t="shared" si="6"/>
        <v>33635.476190476111</v>
      </c>
    </row>
    <row r="42" spans="1:11" x14ac:dyDescent="0.3">
      <c r="A42" s="3">
        <v>141</v>
      </c>
      <c r="B42" s="5" t="s">
        <v>56</v>
      </c>
      <c r="C42" s="3" t="s">
        <v>12</v>
      </c>
      <c r="D42" s="4">
        <v>21273.809523809501</v>
      </c>
      <c r="E42" s="3">
        <f t="shared" si="0"/>
        <v>10636.904761904751</v>
      </c>
      <c r="F42" s="3">
        <f t="shared" si="1"/>
        <v>4254.7619047619</v>
      </c>
      <c r="G42" s="3">
        <f t="shared" si="2"/>
        <v>2127.38095238095</v>
      </c>
      <c r="H42" s="3">
        <f t="shared" si="3"/>
        <v>208.33333333333334</v>
      </c>
      <c r="I42" s="4">
        <f t="shared" si="4"/>
        <v>36165.476190476154</v>
      </c>
      <c r="J42" s="3">
        <f t="shared" si="5"/>
        <v>2335.7142857142835</v>
      </c>
      <c r="K42" s="4">
        <f t="shared" si="6"/>
        <v>33829.761904761872</v>
      </c>
    </row>
    <row r="43" spans="1:11" x14ac:dyDescent="0.3">
      <c r="A43" s="3">
        <v>142</v>
      </c>
      <c r="B43" s="5" t="s">
        <v>57</v>
      </c>
      <c r="C43" s="3" t="s">
        <v>14</v>
      </c>
      <c r="D43" s="4">
        <v>21395.238095238099</v>
      </c>
      <c r="E43" s="3">
        <f t="shared" si="0"/>
        <v>10697.61904761905</v>
      </c>
      <c r="F43" s="3">
        <f t="shared" si="1"/>
        <v>4279.0476190476202</v>
      </c>
      <c r="G43" s="3">
        <f t="shared" si="2"/>
        <v>2139.5238095238101</v>
      </c>
      <c r="H43" s="3">
        <f t="shared" si="3"/>
        <v>208.33333333333334</v>
      </c>
      <c r="I43" s="4">
        <f t="shared" si="4"/>
        <v>36371.904761904771</v>
      </c>
      <c r="J43" s="3">
        <f t="shared" si="5"/>
        <v>2347.8571428571436</v>
      </c>
      <c r="K43" s="4">
        <f t="shared" si="6"/>
        <v>34024.047619047626</v>
      </c>
    </row>
    <row r="44" spans="1:11" x14ac:dyDescent="0.3">
      <c r="A44" s="3">
        <v>143</v>
      </c>
      <c r="B44" s="5" t="s">
        <v>58</v>
      </c>
      <c r="C44" s="3" t="s">
        <v>20</v>
      </c>
      <c r="D44" s="4">
        <v>21516.666666666701</v>
      </c>
      <c r="E44" s="3">
        <f t="shared" si="0"/>
        <v>10758.33333333335</v>
      </c>
      <c r="F44" s="3">
        <f t="shared" si="1"/>
        <v>4303.3333333333403</v>
      </c>
      <c r="G44" s="3">
        <f t="shared" si="2"/>
        <v>2151.6666666666702</v>
      </c>
      <c r="H44" s="3">
        <f t="shared" si="3"/>
        <v>208.33333333333334</v>
      </c>
      <c r="I44" s="4">
        <f t="shared" si="4"/>
        <v>36578.333333333394</v>
      </c>
      <c r="J44" s="3">
        <f t="shared" si="5"/>
        <v>2360.0000000000036</v>
      </c>
      <c r="K44" s="4">
        <f t="shared" si="6"/>
        <v>34218.333333333387</v>
      </c>
    </row>
    <row r="45" spans="1:11" x14ac:dyDescent="0.3">
      <c r="A45" s="3">
        <v>144</v>
      </c>
      <c r="B45" s="5" t="s">
        <v>59</v>
      </c>
      <c r="C45" s="3" t="s">
        <v>18</v>
      </c>
      <c r="D45" s="4">
        <v>21638.0952380952</v>
      </c>
      <c r="E45" s="3">
        <f t="shared" si="0"/>
        <v>10819.0476190476</v>
      </c>
      <c r="F45" s="3">
        <f t="shared" si="1"/>
        <v>4327.6190476190404</v>
      </c>
      <c r="G45" s="3">
        <f t="shared" si="2"/>
        <v>2163.8095238095202</v>
      </c>
      <c r="H45" s="3">
        <f t="shared" si="3"/>
        <v>208.33333333333334</v>
      </c>
      <c r="I45" s="4">
        <f t="shared" si="4"/>
        <v>36784.761904761843</v>
      </c>
      <c r="J45" s="3">
        <f t="shared" si="5"/>
        <v>2372.1428571428537</v>
      </c>
      <c r="K45" s="4">
        <f t="shared" si="6"/>
        <v>34412.619047618988</v>
      </c>
    </row>
    <row r="46" spans="1:11" x14ac:dyDescent="0.3">
      <c r="A46" s="3">
        <v>145</v>
      </c>
      <c r="B46" s="5" t="s">
        <v>60</v>
      </c>
      <c r="C46" s="3" t="s">
        <v>16</v>
      </c>
      <c r="D46" s="4">
        <v>21759.523809523798</v>
      </c>
      <c r="E46" s="3">
        <f t="shared" si="0"/>
        <v>10879.761904761899</v>
      </c>
      <c r="F46" s="3">
        <f t="shared" si="1"/>
        <v>4351.9047619047597</v>
      </c>
      <c r="G46" s="3">
        <f t="shared" si="2"/>
        <v>2175.9523809523798</v>
      </c>
      <c r="H46" s="3">
        <f t="shared" si="3"/>
        <v>208.33333333333334</v>
      </c>
      <c r="I46" s="4">
        <f t="shared" si="4"/>
        <v>36991.190476190459</v>
      </c>
      <c r="J46" s="3">
        <f t="shared" si="5"/>
        <v>2384.2857142857133</v>
      </c>
      <c r="K46" s="4">
        <f t="shared" si="6"/>
        <v>34606.904761904749</v>
      </c>
    </row>
    <row r="47" spans="1:11" x14ac:dyDescent="0.3">
      <c r="A47" s="3">
        <v>146</v>
      </c>
      <c r="B47" s="5" t="s">
        <v>61</v>
      </c>
      <c r="C47" s="3" t="s">
        <v>12</v>
      </c>
      <c r="D47" s="4">
        <v>21880.9523809524</v>
      </c>
      <c r="E47" s="3">
        <f t="shared" si="0"/>
        <v>10940.4761904762</v>
      </c>
      <c r="F47" s="3">
        <f t="shared" si="1"/>
        <v>4376.1904761904798</v>
      </c>
      <c r="G47" s="3">
        <f t="shared" si="2"/>
        <v>2188.0952380952399</v>
      </c>
      <c r="H47" s="3">
        <f t="shared" si="3"/>
        <v>208.33333333333334</v>
      </c>
      <c r="I47" s="4">
        <f t="shared" si="4"/>
        <v>37197.619047619082</v>
      </c>
      <c r="J47" s="3">
        <f t="shared" si="5"/>
        <v>2396.4285714285734</v>
      </c>
      <c r="K47" s="4">
        <f t="shared" si="6"/>
        <v>34801.19047619051</v>
      </c>
    </row>
    <row r="48" spans="1:11" x14ac:dyDescent="0.3">
      <c r="A48" s="3">
        <v>147</v>
      </c>
      <c r="B48" s="5" t="s">
        <v>62</v>
      </c>
      <c r="C48" s="3" t="s">
        <v>14</v>
      </c>
      <c r="D48" s="4">
        <v>22002.3809523809</v>
      </c>
      <c r="E48" s="3">
        <f t="shared" si="0"/>
        <v>11001.19047619045</v>
      </c>
      <c r="F48" s="3">
        <f t="shared" si="1"/>
        <v>4400.4761904761799</v>
      </c>
      <c r="G48" s="3">
        <f t="shared" si="2"/>
        <v>2200.23809523809</v>
      </c>
      <c r="H48" s="3">
        <f t="shared" si="3"/>
        <v>208.33333333333334</v>
      </c>
      <c r="I48" s="4">
        <f t="shared" si="4"/>
        <v>37404.047619047531</v>
      </c>
      <c r="J48" s="3">
        <f t="shared" si="5"/>
        <v>2408.5714285714234</v>
      </c>
      <c r="K48" s="4">
        <f t="shared" si="6"/>
        <v>34995.476190476111</v>
      </c>
    </row>
    <row r="49" spans="1:11" x14ac:dyDescent="0.3">
      <c r="A49" s="3">
        <v>148</v>
      </c>
      <c r="B49" s="5" t="s">
        <v>63</v>
      </c>
      <c r="C49" s="3" t="s">
        <v>16</v>
      </c>
      <c r="D49" s="4">
        <v>22123.809523809501</v>
      </c>
      <c r="E49" s="3">
        <f t="shared" si="0"/>
        <v>11061.904761904751</v>
      </c>
      <c r="F49" s="3">
        <f t="shared" si="1"/>
        <v>4424.7619047619</v>
      </c>
      <c r="G49" s="3">
        <f t="shared" si="2"/>
        <v>2212.38095238095</v>
      </c>
      <c r="H49" s="3">
        <f t="shared" si="3"/>
        <v>208.33333333333334</v>
      </c>
      <c r="I49" s="4">
        <f t="shared" si="4"/>
        <v>37610.476190476154</v>
      </c>
      <c r="J49" s="3">
        <f t="shared" si="5"/>
        <v>2420.7142857142835</v>
      </c>
      <c r="K49" s="4">
        <f t="shared" si="6"/>
        <v>35189.761904761872</v>
      </c>
    </row>
    <row r="50" spans="1:11" x14ac:dyDescent="0.3">
      <c r="A50" s="3">
        <v>149</v>
      </c>
      <c r="B50" s="5" t="s">
        <v>64</v>
      </c>
      <c r="C50" s="3" t="s">
        <v>18</v>
      </c>
      <c r="D50" s="4">
        <v>22245.238095238099</v>
      </c>
      <c r="E50" s="3">
        <f t="shared" si="0"/>
        <v>11122.61904761905</v>
      </c>
      <c r="F50" s="3">
        <f t="shared" si="1"/>
        <v>4449.0476190476202</v>
      </c>
      <c r="G50" s="3">
        <f t="shared" si="2"/>
        <v>2224.5238095238101</v>
      </c>
      <c r="H50" s="3">
        <f t="shared" si="3"/>
        <v>208.33333333333334</v>
      </c>
      <c r="I50" s="4">
        <f t="shared" si="4"/>
        <v>37816.904761904763</v>
      </c>
      <c r="J50" s="3">
        <f t="shared" si="5"/>
        <v>2432.8571428571436</v>
      </c>
      <c r="K50" s="4">
        <f t="shared" si="6"/>
        <v>35384.047619047618</v>
      </c>
    </row>
    <row r="51" spans="1:11" x14ac:dyDescent="0.3">
      <c r="A51" s="3">
        <v>150</v>
      </c>
      <c r="B51" s="5" t="s">
        <v>65</v>
      </c>
      <c r="C51" s="3" t="s">
        <v>20</v>
      </c>
      <c r="D51" s="4">
        <v>22366.666666666701</v>
      </c>
      <c r="E51" s="3">
        <f t="shared" si="0"/>
        <v>11183.33333333335</v>
      </c>
      <c r="F51" s="3">
        <f t="shared" si="1"/>
        <v>4473.3333333333403</v>
      </c>
      <c r="G51" s="3">
        <f t="shared" si="2"/>
        <v>2236.6666666666702</v>
      </c>
      <c r="H51" s="3">
        <f t="shared" si="3"/>
        <v>208.33333333333334</v>
      </c>
      <c r="I51" s="4">
        <f t="shared" si="4"/>
        <v>38023.333333333394</v>
      </c>
      <c r="J51" s="3">
        <f t="shared" si="5"/>
        <v>2445.0000000000036</v>
      </c>
      <c r="K51" s="4">
        <f t="shared" si="6"/>
        <v>35578.333333333387</v>
      </c>
    </row>
    <row r="52" spans="1:11" x14ac:dyDescent="0.3">
      <c r="A52" s="3">
        <v>151</v>
      </c>
      <c r="B52" s="5" t="s">
        <v>66</v>
      </c>
      <c r="C52" s="3" t="s">
        <v>20</v>
      </c>
      <c r="D52" s="4">
        <v>22488.0952380952</v>
      </c>
      <c r="E52" s="3">
        <f t="shared" si="0"/>
        <v>11244.0476190476</v>
      </c>
      <c r="F52" s="3">
        <f t="shared" si="1"/>
        <v>4497.6190476190404</v>
      </c>
      <c r="G52" s="3">
        <f t="shared" si="2"/>
        <v>2248.8095238095202</v>
      </c>
      <c r="H52" s="3">
        <f t="shared" si="3"/>
        <v>208.33333333333334</v>
      </c>
      <c r="I52" s="4">
        <f t="shared" si="4"/>
        <v>38229.761904761835</v>
      </c>
      <c r="J52" s="3">
        <f t="shared" si="5"/>
        <v>2457.1428571428537</v>
      </c>
      <c r="K52" s="4">
        <f t="shared" si="6"/>
        <v>35772.61904761898</v>
      </c>
    </row>
    <row r="53" spans="1:11" x14ac:dyDescent="0.3">
      <c r="A53" s="3">
        <v>152</v>
      </c>
      <c r="B53" s="5" t="s">
        <v>67</v>
      </c>
      <c r="C53" s="3" t="s">
        <v>14</v>
      </c>
      <c r="D53" s="4">
        <v>22609.523809523798</v>
      </c>
      <c r="E53" s="3">
        <f t="shared" si="0"/>
        <v>11304.761904761899</v>
      </c>
      <c r="F53" s="3">
        <f t="shared" si="1"/>
        <v>4521.9047619047597</v>
      </c>
      <c r="G53" s="3">
        <f t="shared" si="2"/>
        <v>2260.9523809523798</v>
      </c>
      <c r="H53" s="3">
        <f t="shared" si="3"/>
        <v>208.33333333333334</v>
      </c>
      <c r="I53" s="4">
        <f t="shared" si="4"/>
        <v>38436.190476190459</v>
      </c>
      <c r="J53" s="3">
        <f t="shared" si="5"/>
        <v>2469.2857142857133</v>
      </c>
      <c r="K53" s="4">
        <f t="shared" si="6"/>
        <v>35966.904761904749</v>
      </c>
    </row>
    <row r="54" spans="1:11" x14ac:dyDescent="0.3">
      <c r="A54" s="3">
        <v>153</v>
      </c>
      <c r="B54" s="5" t="s">
        <v>68</v>
      </c>
      <c r="C54" s="3" t="s">
        <v>12</v>
      </c>
      <c r="D54" s="4">
        <v>22730.9523809524</v>
      </c>
      <c r="E54" s="3">
        <f t="shared" si="0"/>
        <v>11365.4761904762</v>
      </c>
      <c r="F54" s="3">
        <f t="shared" si="1"/>
        <v>4546.1904761904798</v>
      </c>
      <c r="G54" s="3">
        <f t="shared" si="2"/>
        <v>2273.0952380952399</v>
      </c>
      <c r="H54" s="3">
        <f t="shared" si="3"/>
        <v>208.33333333333334</v>
      </c>
      <c r="I54" s="4">
        <f t="shared" si="4"/>
        <v>38642.619047619082</v>
      </c>
      <c r="J54" s="3">
        <f t="shared" si="5"/>
        <v>2481.4285714285734</v>
      </c>
      <c r="K54" s="4">
        <f t="shared" si="6"/>
        <v>36161.19047619051</v>
      </c>
    </row>
    <row r="55" spans="1:11" x14ac:dyDescent="0.3">
      <c r="A55" s="3">
        <v>154</v>
      </c>
      <c r="B55" s="5" t="s">
        <v>69</v>
      </c>
      <c r="C55" s="3" t="s">
        <v>18</v>
      </c>
      <c r="D55" s="4">
        <v>22852.3809523809</v>
      </c>
      <c r="E55" s="3">
        <f t="shared" si="0"/>
        <v>11426.19047619045</v>
      </c>
      <c r="F55" s="3">
        <f t="shared" si="1"/>
        <v>4570.4761904761799</v>
      </c>
      <c r="G55" s="3">
        <f t="shared" si="2"/>
        <v>2285.23809523809</v>
      </c>
      <c r="H55" s="3">
        <f t="shared" si="3"/>
        <v>208.33333333333334</v>
      </c>
      <c r="I55" s="4">
        <f t="shared" si="4"/>
        <v>38849.047619047531</v>
      </c>
      <c r="J55" s="3">
        <f t="shared" si="5"/>
        <v>2493.5714285714234</v>
      </c>
      <c r="K55" s="4">
        <f t="shared" si="6"/>
        <v>36355.476190476111</v>
      </c>
    </row>
    <row r="56" spans="1:11" x14ac:dyDescent="0.3">
      <c r="A56" s="3">
        <v>155</v>
      </c>
      <c r="B56" s="5" t="s">
        <v>70</v>
      </c>
      <c r="C56" s="3" t="s">
        <v>16</v>
      </c>
      <c r="D56" s="4">
        <v>22973.809523809501</v>
      </c>
      <c r="E56" s="3">
        <f t="shared" si="0"/>
        <v>11486.904761904751</v>
      </c>
      <c r="F56" s="3">
        <f t="shared" si="1"/>
        <v>4594.7619047619</v>
      </c>
      <c r="G56" s="3">
        <f t="shared" si="2"/>
        <v>2297.38095238095</v>
      </c>
      <c r="H56" s="3">
        <f t="shared" si="3"/>
        <v>208.33333333333334</v>
      </c>
      <c r="I56" s="4">
        <f t="shared" si="4"/>
        <v>39055.476190476154</v>
      </c>
      <c r="J56" s="3">
        <f t="shared" si="5"/>
        <v>2505.7142857142835</v>
      </c>
      <c r="K56" s="4">
        <f t="shared" si="6"/>
        <v>36549.761904761872</v>
      </c>
    </row>
    <row r="57" spans="1:11" x14ac:dyDescent="0.3">
      <c r="A57" s="3">
        <v>156</v>
      </c>
      <c r="B57" s="5" t="s">
        <v>71</v>
      </c>
      <c r="C57" s="3" t="s">
        <v>12</v>
      </c>
      <c r="D57" s="4">
        <v>23095.238095238099</v>
      </c>
      <c r="E57" s="3">
        <f t="shared" si="0"/>
        <v>11547.61904761905</v>
      </c>
      <c r="F57" s="3">
        <f t="shared" si="1"/>
        <v>4619.0476190476202</v>
      </c>
      <c r="G57" s="3">
        <f t="shared" si="2"/>
        <v>2309.5238095238101</v>
      </c>
      <c r="H57" s="3">
        <f t="shared" si="3"/>
        <v>208.33333333333334</v>
      </c>
      <c r="I57" s="4">
        <f t="shared" si="4"/>
        <v>39261.904761904763</v>
      </c>
      <c r="J57" s="3">
        <f t="shared" si="5"/>
        <v>2517.8571428571436</v>
      </c>
      <c r="K57" s="4">
        <f t="shared" si="6"/>
        <v>36744.047619047618</v>
      </c>
    </row>
    <row r="58" spans="1:11" x14ac:dyDescent="0.3">
      <c r="A58" s="3">
        <v>157</v>
      </c>
      <c r="B58" s="5" t="s">
        <v>72</v>
      </c>
      <c r="C58" s="3" t="s">
        <v>14</v>
      </c>
      <c r="D58" s="4">
        <v>23216.666666666701</v>
      </c>
      <c r="E58" s="3">
        <f t="shared" si="0"/>
        <v>11608.33333333335</v>
      </c>
      <c r="F58" s="3">
        <f t="shared" si="1"/>
        <v>4643.3333333333403</v>
      </c>
      <c r="G58" s="3">
        <f t="shared" si="2"/>
        <v>2321.6666666666702</v>
      </c>
      <c r="H58" s="3">
        <f t="shared" si="3"/>
        <v>208.33333333333334</v>
      </c>
      <c r="I58" s="4">
        <f t="shared" si="4"/>
        <v>39468.333333333394</v>
      </c>
      <c r="J58" s="3">
        <f t="shared" si="5"/>
        <v>2530.0000000000036</v>
      </c>
      <c r="K58" s="4">
        <f t="shared" si="6"/>
        <v>36938.333333333387</v>
      </c>
    </row>
    <row r="59" spans="1:11" x14ac:dyDescent="0.3">
      <c r="A59" s="3">
        <v>158</v>
      </c>
      <c r="B59" s="5" t="s">
        <v>73</v>
      </c>
      <c r="C59" s="3" t="s">
        <v>20</v>
      </c>
      <c r="D59" s="4">
        <v>23338.0952380952</v>
      </c>
      <c r="E59" s="3">
        <f t="shared" si="0"/>
        <v>11669.0476190476</v>
      </c>
      <c r="F59" s="3">
        <f t="shared" si="1"/>
        <v>4667.6190476190404</v>
      </c>
      <c r="G59" s="3">
        <f t="shared" si="2"/>
        <v>2333.8095238095202</v>
      </c>
      <c r="H59" s="3">
        <f t="shared" si="3"/>
        <v>208.33333333333334</v>
      </c>
      <c r="I59" s="4">
        <f t="shared" si="4"/>
        <v>39674.761904761835</v>
      </c>
      <c r="J59" s="3">
        <f t="shared" si="5"/>
        <v>2542.1428571428537</v>
      </c>
      <c r="K59" s="4">
        <f t="shared" si="6"/>
        <v>37132.61904761898</v>
      </c>
    </row>
    <row r="60" spans="1:11" x14ac:dyDescent="0.3">
      <c r="A60" s="3">
        <v>159</v>
      </c>
      <c r="B60" s="5" t="s">
        <v>74</v>
      </c>
      <c r="C60" s="3" t="s">
        <v>18</v>
      </c>
      <c r="D60" s="4">
        <v>23459.523809523798</v>
      </c>
      <c r="E60" s="3">
        <f t="shared" si="0"/>
        <v>11729.761904761899</v>
      </c>
      <c r="F60" s="3">
        <f t="shared" si="1"/>
        <v>4691.9047619047597</v>
      </c>
      <c r="G60" s="3">
        <f t="shared" si="2"/>
        <v>2345.9523809523798</v>
      </c>
      <c r="H60" s="3">
        <f t="shared" si="3"/>
        <v>208.33333333333334</v>
      </c>
      <c r="I60" s="4">
        <f t="shared" si="4"/>
        <v>39881.190476190459</v>
      </c>
      <c r="J60" s="3">
        <f t="shared" si="5"/>
        <v>2554.2857142857133</v>
      </c>
      <c r="K60" s="4">
        <f t="shared" si="6"/>
        <v>37326.904761904749</v>
      </c>
    </row>
    <row r="61" spans="1:11" x14ac:dyDescent="0.3">
      <c r="A61" s="3">
        <v>160</v>
      </c>
      <c r="B61" s="5" t="s">
        <v>75</v>
      </c>
      <c r="C61" s="3" t="s">
        <v>16</v>
      </c>
      <c r="D61" s="4">
        <v>23580.9523809524</v>
      </c>
      <c r="E61" s="3">
        <f t="shared" si="0"/>
        <v>11790.4761904762</v>
      </c>
      <c r="F61" s="3">
        <f t="shared" si="1"/>
        <v>4716.1904761904798</v>
      </c>
      <c r="G61" s="3">
        <f t="shared" si="2"/>
        <v>2358.0952380952399</v>
      </c>
      <c r="H61" s="3">
        <f t="shared" si="3"/>
        <v>208.33333333333334</v>
      </c>
      <c r="I61" s="4">
        <f t="shared" si="4"/>
        <v>40087.619047619082</v>
      </c>
      <c r="J61" s="3">
        <f t="shared" si="5"/>
        <v>2566.4285714285734</v>
      </c>
      <c r="K61" s="4">
        <f t="shared" si="6"/>
        <v>37521.19047619051</v>
      </c>
    </row>
    <row r="62" spans="1:11" x14ac:dyDescent="0.3">
      <c r="A62" s="3">
        <v>161</v>
      </c>
      <c r="B62" s="5" t="s">
        <v>76</v>
      </c>
      <c r="C62" s="3" t="s">
        <v>12</v>
      </c>
      <c r="D62" s="4">
        <v>23702.3809523809</v>
      </c>
      <c r="E62" s="3">
        <f t="shared" si="0"/>
        <v>11851.19047619045</v>
      </c>
      <c r="F62" s="3">
        <f t="shared" si="1"/>
        <v>4740.4761904761799</v>
      </c>
      <c r="G62" s="3">
        <f t="shared" si="2"/>
        <v>2370.23809523809</v>
      </c>
      <c r="H62" s="3">
        <f t="shared" si="3"/>
        <v>208.33333333333334</v>
      </c>
      <c r="I62" s="4">
        <f t="shared" si="4"/>
        <v>40294.047619047531</v>
      </c>
      <c r="J62" s="3">
        <f t="shared" si="5"/>
        <v>2578.5714285714234</v>
      </c>
      <c r="K62" s="4">
        <f t="shared" si="6"/>
        <v>37715.476190476111</v>
      </c>
    </row>
    <row r="63" spans="1:11" x14ac:dyDescent="0.3">
      <c r="A63" s="3">
        <v>162</v>
      </c>
      <c r="B63" s="5" t="s">
        <v>77</v>
      </c>
      <c r="C63" s="3" t="s">
        <v>14</v>
      </c>
      <c r="D63" s="4">
        <v>23823.809523809501</v>
      </c>
      <c r="E63" s="3">
        <f t="shared" si="0"/>
        <v>11911.904761904751</v>
      </c>
      <c r="F63" s="3">
        <f t="shared" si="1"/>
        <v>4764.7619047619</v>
      </c>
      <c r="G63" s="3">
        <f t="shared" si="2"/>
        <v>2382.38095238095</v>
      </c>
      <c r="H63" s="3">
        <f t="shared" si="3"/>
        <v>208.33333333333334</v>
      </c>
      <c r="I63" s="4">
        <f t="shared" si="4"/>
        <v>40500.476190476154</v>
      </c>
      <c r="J63" s="3">
        <f t="shared" si="5"/>
        <v>2590.7142857142835</v>
      </c>
      <c r="K63" s="4">
        <f t="shared" si="6"/>
        <v>37909.761904761872</v>
      </c>
    </row>
    <row r="64" spans="1:11" x14ac:dyDescent="0.3">
      <c r="A64" s="3">
        <v>163</v>
      </c>
      <c r="B64" s="5" t="s">
        <v>78</v>
      </c>
      <c r="C64" s="3" t="s">
        <v>16</v>
      </c>
      <c r="D64" s="4">
        <v>23945.238095238099</v>
      </c>
      <c r="E64" s="3">
        <f t="shared" si="0"/>
        <v>11972.61904761905</v>
      </c>
      <c r="F64" s="3">
        <f t="shared" si="1"/>
        <v>4789.0476190476202</v>
      </c>
      <c r="G64" s="3">
        <f t="shared" si="2"/>
        <v>2394.5238095238101</v>
      </c>
      <c r="H64" s="3">
        <f t="shared" si="3"/>
        <v>208.33333333333334</v>
      </c>
      <c r="I64" s="4">
        <f t="shared" si="4"/>
        <v>40706.904761904763</v>
      </c>
      <c r="J64" s="3">
        <f t="shared" si="5"/>
        <v>2602.8571428571436</v>
      </c>
      <c r="K64" s="4">
        <f t="shared" si="6"/>
        <v>38104.047619047618</v>
      </c>
    </row>
    <row r="65" spans="1:11" x14ac:dyDescent="0.3">
      <c r="A65" s="3">
        <v>164</v>
      </c>
      <c r="B65" s="5" t="s">
        <v>82</v>
      </c>
      <c r="C65" s="3" t="s">
        <v>18</v>
      </c>
      <c r="D65" s="4">
        <v>24066.666666666701</v>
      </c>
      <c r="E65" s="3">
        <f t="shared" si="0"/>
        <v>12033.33333333335</v>
      </c>
      <c r="F65" s="3">
        <f t="shared" si="1"/>
        <v>4813.3333333333403</v>
      </c>
      <c r="G65" s="3">
        <f t="shared" si="2"/>
        <v>2406.6666666666702</v>
      </c>
      <c r="H65" s="3">
        <f t="shared" si="3"/>
        <v>208.33333333333334</v>
      </c>
      <c r="I65" s="4">
        <f t="shared" si="4"/>
        <v>40913.333333333394</v>
      </c>
      <c r="J65" s="3">
        <f t="shared" si="5"/>
        <v>2615.0000000000036</v>
      </c>
      <c r="K65" s="4">
        <f t="shared" si="6"/>
        <v>38298.333333333387</v>
      </c>
    </row>
    <row r="66" spans="1:11" x14ac:dyDescent="0.3">
      <c r="A66" s="3">
        <v>165</v>
      </c>
      <c r="B66" s="5" t="s">
        <v>83</v>
      </c>
      <c r="C66" s="3" t="s">
        <v>20</v>
      </c>
      <c r="D66" s="4">
        <v>24188.0952380952</v>
      </c>
      <c r="E66" s="3">
        <f t="shared" si="0"/>
        <v>12094.0476190476</v>
      </c>
      <c r="F66" s="3">
        <f t="shared" si="1"/>
        <v>4837.6190476190404</v>
      </c>
      <c r="G66" s="3">
        <f t="shared" si="2"/>
        <v>2418.8095238095202</v>
      </c>
      <c r="H66" s="3">
        <f t="shared" si="3"/>
        <v>208.33333333333334</v>
      </c>
      <c r="I66" s="4">
        <f t="shared" si="4"/>
        <v>41119.761904761835</v>
      </c>
      <c r="J66" s="3">
        <f t="shared" si="5"/>
        <v>2627.1428571428537</v>
      </c>
      <c r="K66" s="4">
        <f t="shared" si="6"/>
        <v>38492.61904761898</v>
      </c>
    </row>
    <row r="67" spans="1:11" x14ac:dyDescent="0.3">
      <c r="A67" s="3">
        <v>166</v>
      </c>
      <c r="B67" s="5" t="s">
        <v>84</v>
      </c>
      <c r="C67" s="3" t="s">
        <v>20</v>
      </c>
      <c r="D67" s="4">
        <v>24309.523809523798</v>
      </c>
      <c r="E67" s="3">
        <f t="shared" ref="E67:E92" si="8">D67*50%</f>
        <v>12154.761904761899</v>
      </c>
      <c r="F67" s="3">
        <f t="shared" ref="F67:F92" si="9">D67*20%</f>
        <v>4861.9047619047597</v>
      </c>
      <c r="G67" s="3">
        <f t="shared" ref="G67:G92" si="10">D67*10%</f>
        <v>2430.9523809523798</v>
      </c>
      <c r="H67" s="3">
        <f t="shared" ref="H67:H92" si="11">2500/12</f>
        <v>208.33333333333334</v>
      </c>
      <c r="I67" s="4">
        <f t="shared" ref="I67:I92" si="12">SUM(D67:F67)</f>
        <v>41326.190476190459</v>
      </c>
      <c r="J67" s="3">
        <f t="shared" ref="J67:J92" si="13">SUM(G67:H67)</f>
        <v>2639.2857142857133</v>
      </c>
      <c r="K67" s="4">
        <f t="shared" ref="K67:K92" si="14">I67-J67</f>
        <v>38686.904761904749</v>
      </c>
    </row>
    <row r="68" spans="1:11" x14ac:dyDescent="0.3">
      <c r="A68" s="3">
        <v>167</v>
      </c>
      <c r="B68" s="5" t="s">
        <v>85</v>
      </c>
      <c r="C68" s="3" t="s">
        <v>14</v>
      </c>
      <c r="D68" s="4">
        <v>24430.9523809524</v>
      </c>
      <c r="E68" s="3">
        <f t="shared" si="8"/>
        <v>12215.4761904762</v>
      </c>
      <c r="F68" s="3">
        <f t="shared" si="9"/>
        <v>4886.1904761904798</v>
      </c>
      <c r="G68" s="3">
        <f t="shared" si="10"/>
        <v>2443.0952380952399</v>
      </c>
      <c r="H68" s="3">
        <f t="shared" si="11"/>
        <v>208.33333333333334</v>
      </c>
      <c r="I68" s="4">
        <f t="shared" si="12"/>
        <v>41532.619047619082</v>
      </c>
      <c r="J68" s="3">
        <f t="shared" si="13"/>
        <v>2651.4285714285734</v>
      </c>
      <c r="K68" s="4">
        <f t="shared" si="14"/>
        <v>38881.19047619051</v>
      </c>
    </row>
    <row r="69" spans="1:11" x14ac:dyDescent="0.3">
      <c r="A69" s="3">
        <v>168</v>
      </c>
      <c r="B69" s="5" t="s">
        <v>86</v>
      </c>
      <c r="C69" s="3" t="s">
        <v>12</v>
      </c>
      <c r="D69" s="4">
        <v>24552.3809523809</v>
      </c>
      <c r="E69" s="3">
        <f t="shared" si="8"/>
        <v>12276.19047619045</v>
      </c>
      <c r="F69" s="3">
        <f t="shared" si="9"/>
        <v>4910.4761904761799</v>
      </c>
      <c r="G69" s="3">
        <f t="shared" si="10"/>
        <v>2455.23809523809</v>
      </c>
      <c r="H69" s="3">
        <f t="shared" si="11"/>
        <v>208.33333333333334</v>
      </c>
      <c r="I69" s="4">
        <f t="shared" si="12"/>
        <v>41739.047619047531</v>
      </c>
      <c r="J69" s="3">
        <f t="shared" si="13"/>
        <v>2663.5714285714234</v>
      </c>
      <c r="K69" s="4">
        <f t="shared" si="14"/>
        <v>39075.476190476111</v>
      </c>
    </row>
    <row r="70" spans="1:11" x14ac:dyDescent="0.3">
      <c r="A70" s="3">
        <v>169</v>
      </c>
      <c r="B70" s="5" t="s">
        <v>87</v>
      </c>
      <c r="C70" s="3" t="s">
        <v>18</v>
      </c>
      <c r="D70" s="4">
        <v>24673.809523809501</v>
      </c>
      <c r="E70" s="3">
        <f t="shared" si="8"/>
        <v>12336.904761904751</v>
      </c>
      <c r="F70" s="3">
        <f t="shared" si="9"/>
        <v>4934.761904761901</v>
      </c>
      <c r="G70" s="3">
        <f t="shared" si="10"/>
        <v>2467.3809523809505</v>
      </c>
      <c r="H70" s="3">
        <f t="shared" si="11"/>
        <v>208.33333333333334</v>
      </c>
      <c r="I70" s="4">
        <f t="shared" si="12"/>
        <v>41945.476190476154</v>
      </c>
      <c r="J70" s="3">
        <f t="shared" si="13"/>
        <v>2675.714285714284</v>
      </c>
      <c r="K70" s="4">
        <f t="shared" si="14"/>
        <v>39269.761904761872</v>
      </c>
    </row>
    <row r="71" spans="1:11" x14ac:dyDescent="0.3">
      <c r="A71" s="3">
        <v>170</v>
      </c>
      <c r="B71" s="5" t="s">
        <v>88</v>
      </c>
      <c r="C71" s="3" t="s">
        <v>16</v>
      </c>
      <c r="D71" s="4">
        <v>24795.238095238099</v>
      </c>
      <c r="E71" s="3">
        <f t="shared" si="8"/>
        <v>12397.61904761905</v>
      </c>
      <c r="F71" s="3">
        <f t="shared" si="9"/>
        <v>4959.0476190476202</v>
      </c>
      <c r="G71" s="3">
        <f t="shared" si="10"/>
        <v>2479.5238095238101</v>
      </c>
      <c r="H71" s="3">
        <f t="shared" si="11"/>
        <v>208.33333333333334</v>
      </c>
      <c r="I71" s="4">
        <f t="shared" si="12"/>
        <v>42151.904761904763</v>
      </c>
      <c r="J71" s="3">
        <f t="shared" si="13"/>
        <v>2687.8571428571436</v>
      </c>
      <c r="K71" s="4">
        <f t="shared" si="14"/>
        <v>39464.047619047618</v>
      </c>
    </row>
    <row r="72" spans="1:11" x14ac:dyDescent="0.3">
      <c r="A72" s="3">
        <v>171</v>
      </c>
      <c r="B72" s="5" t="s">
        <v>89</v>
      </c>
      <c r="C72" s="3" t="s">
        <v>12</v>
      </c>
      <c r="D72" s="4">
        <v>24916.666666666701</v>
      </c>
      <c r="E72" s="3">
        <f t="shared" si="8"/>
        <v>12458.33333333335</v>
      </c>
      <c r="F72" s="3">
        <f t="shared" si="9"/>
        <v>4983.3333333333403</v>
      </c>
      <c r="G72" s="3">
        <f t="shared" si="10"/>
        <v>2491.6666666666702</v>
      </c>
      <c r="H72" s="3">
        <f t="shared" si="11"/>
        <v>208.33333333333334</v>
      </c>
      <c r="I72" s="4">
        <f t="shared" si="12"/>
        <v>42358.333333333394</v>
      </c>
      <c r="J72" s="3">
        <f t="shared" si="13"/>
        <v>2700.0000000000036</v>
      </c>
      <c r="K72" s="4">
        <f t="shared" si="14"/>
        <v>39658.333333333387</v>
      </c>
    </row>
    <row r="73" spans="1:11" x14ac:dyDescent="0.3">
      <c r="A73" s="3">
        <v>172</v>
      </c>
      <c r="B73" s="5" t="s">
        <v>90</v>
      </c>
      <c r="C73" s="3" t="s">
        <v>14</v>
      </c>
      <c r="D73" s="4">
        <v>25038.0952380952</v>
      </c>
      <c r="E73" s="3">
        <f t="shared" si="8"/>
        <v>12519.0476190476</v>
      </c>
      <c r="F73" s="3">
        <f t="shared" si="9"/>
        <v>5007.6190476190404</v>
      </c>
      <c r="G73" s="3">
        <f t="shared" si="10"/>
        <v>2503.8095238095202</v>
      </c>
      <c r="H73" s="3">
        <f t="shared" si="11"/>
        <v>208.33333333333334</v>
      </c>
      <c r="I73" s="4">
        <f t="shared" si="12"/>
        <v>42564.761904761835</v>
      </c>
      <c r="J73" s="3">
        <f t="shared" si="13"/>
        <v>2712.1428571428537</v>
      </c>
      <c r="K73" s="4">
        <f t="shared" si="14"/>
        <v>39852.61904761898</v>
      </c>
    </row>
    <row r="74" spans="1:11" x14ac:dyDescent="0.3">
      <c r="A74" s="3">
        <v>173</v>
      </c>
      <c r="B74" s="5" t="s">
        <v>91</v>
      </c>
      <c r="C74" s="3" t="s">
        <v>20</v>
      </c>
      <c r="D74" s="4">
        <v>25159.523809523798</v>
      </c>
      <c r="E74" s="3">
        <f t="shared" si="8"/>
        <v>12579.761904761899</v>
      </c>
      <c r="F74" s="3">
        <f t="shared" si="9"/>
        <v>5031.9047619047597</v>
      </c>
      <c r="G74" s="3">
        <f t="shared" si="10"/>
        <v>2515.9523809523798</v>
      </c>
      <c r="H74" s="3">
        <f t="shared" si="11"/>
        <v>208.33333333333334</v>
      </c>
      <c r="I74" s="4">
        <f t="shared" si="12"/>
        <v>42771.190476190459</v>
      </c>
      <c r="J74" s="3">
        <f t="shared" si="13"/>
        <v>2724.2857142857133</v>
      </c>
      <c r="K74" s="4">
        <f t="shared" si="14"/>
        <v>40046.904761904749</v>
      </c>
    </row>
    <row r="75" spans="1:11" x14ac:dyDescent="0.3">
      <c r="A75" s="3">
        <v>174</v>
      </c>
      <c r="B75" s="5" t="s">
        <v>92</v>
      </c>
      <c r="C75" s="3" t="s">
        <v>18</v>
      </c>
      <c r="D75" s="4">
        <v>25280.9523809524</v>
      </c>
      <c r="E75" s="3">
        <f t="shared" si="8"/>
        <v>12640.4761904762</v>
      </c>
      <c r="F75" s="3">
        <f t="shared" si="9"/>
        <v>5056.1904761904807</v>
      </c>
      <c r="G75" s="3">
        <f t="shared" si="10"/>
        <v>2528.0952380952403</v>
      </c>
      <c r="H75" s="3">
        <f t="shared" si="11"/>
        <v>208.33333333333334</v>
      </c>
      <c r="I75" s="4">
        <f t="shared" si="12"/>
        <v>42977.619047619082</v>
      </c>
      <c r="J75" s="3">
        <f t="shared" si="13"/>
        <v>2736.4285714285738</v>
      </c>
      <c r="K75" s="4">
        <f t="shared" si="14"/>
        <v>40241.19047619051</v>
      </c>
    </row>
    <row r="76" spans="1:11" x14ac:dyDescent="0.3">
      <c r="A76" s="3">
        <v>175</v>
      </c>
      <c r="B76" s="5" t="s">
        <v>93</v>
      </c>
      <c r="C76" s="3" t="s">
        <v>16</v>
      </c>
      <c r="D76" s="4">
        <v>25402.3809523809</v>
      </c>
      <c r="E76" s="3">
        <f t="shared" si="8"/>
        <v>12701.19047619045</v>
      </c>
      <c r="F76" s="3">
        <f t="shared" si="9"/>
        <v>5080.4761904761799</v>
      </c>
      <c r="G76" s="3">
        <f t="shared" si="10"/>
        <v>2540.23809523809</v>
      </c>
      <c r="H76" s="3">
        <f t="shared" si="11"/>
        <v>208.33333333333334</v>
      </c>
      <c r="I76" s="4">
        <f t="shared" si="12"/>
        <v>43184.047619047531</v>
      </c>
      <c r="J76" s="3">
        <f t="shared" si="13"/>
        <v>2748.5714285714234</v>
      </c>
      <c r="K76" s="4">
        <f t="shared" si="14"/>
        <v>40435.476190476111</v>
      </c>
    </row>
    <row r="77" spans="1:11" x14ac:dyDescent="0.3">
      <c r="A77" s="3">
        <v>176</v>
      </c>
      <c r="B77" s="5" t="s">
        <v>94</v>
      </c>
      <c r="C77" s="3" t="s">
        <v>12</v>
      </c>
      <c r="D77" s="4">
        <v>25523.809523809501</v>
      </c>
      <c r="E77" s="3">
        <f t="shared" si="8"/>
        <v>12761.904761904751</v>
      </c>
      <c r="F77" s="3">
        <f t="shared" si="9"/>
        <v>5104.761904761901</v>
      </c>
      <c r="G77" s="3">
        <f t="shared" si="10"/>
        <v>2552.3809523809505</v>
      </c>
      <c r="H77" s="3">
        <f t="shared" si="11"/>
        <v>208.33333333333334</v>
      </c>
      <c r="I77" s="4">
        <f t="shared" si="12"/>
        <v>43390.476190476154</v>
      </c>
      <c r="J77" s="3">
        <f t="shared" si="13"/>
        <v>2760.714285714284</v>
      </c>
      <c r="K77" s="4">
        <f t="shared" si="14"/>
        <v>40629.761904761872</v>
      </c>
    </row>
    <row r="78" spans="1:11" x14ac:dyDescent="0.3">
      <c r="A78" s="3">
        <v>177</v>
      </c>
      <c r="B78" s="5" t="s">
        <v>95</v>
      </c>
      <c r="C78" s="3" t="s">
        <v>14</v>
      </c>
      <c r="D78" s="4">
        <v>25645.238095238099</v>
      </c>
      <c r="E78" s="3">
        <f t="shared" si="8"/>
        <v>12822.61904761905</v>
      </c>
      <c r="F78" s="3">
        <f t="shared" si="9"/>
        <v>5129.0476190476202</v>
      </c>
      <c r="G78" s="3">
        <f t="shared" si="10"/>
        <v>2564.5238095238101</v>
      </c>
      <c r="H78" s="3">
        <f t="shared" si="11"/>
        <v>208.33333333333334</v>
      </c>
      <c r="I78" s="4">
        <f t="shared" si="12"/>
        <v>43596.904761904763</v>
      </c>
      <c r="J78" s="3">
        <f t="shared" si="13"/>
        <v>2772.8571428571436</v>
      </c>
      <c r="K78" s="4">
        <f t="shared" si="14"/>
        <v>40824.047619047618</v>
      </c>
    </row>
    <row r="79" spans="1:11" x14ac:dyDescent="0.3">
      <c r="A79" s="3">
        <v>178</v>
      </c>
      <c r="B79" s="5" t="s">
        <v>96</v>
      </c>
      <c r="C79" s="3" t="s">
        <v>16</v>
      </c>
      <c r="D79" s="4">
        <v>25766.666666666701</v>
      </c>
      <c r="E79" s="3">
        <f t="shared" si="8"/>
        <v>12883.33333333335</v>
      </c>
      <c r="F79" s="3">
        <f t="shared" si="9"/>
        <v>5153.3333333333403</v>
      </c>
      <c r="G79" s="3">
        <f t="shared" si="10"/>
        <v>2576.6666666666702</v>
      </c>
      <c r="H79" s="3">
        <f t="shared" si="11"/>
        <v>208.33333333333334</v>
      </c>
      <c r="I79" s="4">
        <f t="shared" si="12"/>
        <v>43803.333333333394</v>
      </c>
      <c r="J79" s="3">
        <f t="shared" si="13"/>
        <v>2785.0000000000036</v>
      </c>
      <c r="K79" s="4">
        <f t="shared" si="14"/>
        <v>41018.333333333387</v>
      </c>
    </row>
    <row r="80" spans="1:11" x14ac:dyDescent="0.3">
      <c r="A80" s="3">
        <v>179</v>
      </c>
      <c r="B80" s="5" t="s">
        <v>97</v>
      </c>
      <c r="C80" s="3" t="s">
        <v>18</v>
      </c>
      <c r="D80" s="4">
        <v>25888.0952380952</v>
      </c>
      <c r="E80" s="3">
        <f t="shared" si="8"/>
        <v>12944.0476190476</v>
      </c>
      <c r="F80" s="3">
        <f t="shared" si="9"/>
        <v>5177.6190476190404</v>
      </c>
      <c r="G80" s="3">
        <f t="shared" si="10"/>
        <v>2588.8095238095202</v>
      </c>
      <c r="H80" s="3">
        <f t="shared" si="11"/>
        <v>208.33333333333334</v>
      </c>
      <c r="I80" s="4">
        <f t="shared" si="12"/>
        <v>44009.761904761835</v>
      </c>
      <c r="J80" s="3">
        <f t="shared" si="13"/>
        <v>2797.1428571428537</v>
      </c>
      <c r="K80" s="4">
        <f t="shared" si="14"/>
        <v>41212.61904761898</v>
      </c>
    </row>
    <row r="81" spans="1:11" x14ac:dyDescent="0.3">
      <c r="A81" s="3">
        <v>180</v>
      </c>
      <c r="B81" s="5" t="s">
        <v>98</v>
      </c>
      <c r="C81" s="3" t="s">
        <v>20</v>
      </c>
      <c r="D81" s="4">
        <v>26009.523809523798</v>
      </c>
      <c r="E81" s="3">
        <f t="shared" si="8"/>
        <v>13004.761904761899</v>
      </c>
      <c r="F81" s="3">
        <f t="shared" si="9"/>
        <v>5201.9047619047597</v>
      </c>
      <c r="G81" s="3">
        <f t="shared" si="10"/>
        <v>2600.9523809523798</v>
      </c>
      <c r="H81" s="3">
        <f t="shared" si="11"/>
        <v>208.33333333333334</v>
      </c>
      <c r="I81" s="4">
        <f t="shared" si="12"/>
        <v>44216.190476190459</v>
      </c>
      <c r="J81" s="3">
        <f t="shared" si="13"/>
        <v>2809.2857142857133</v>
      </c>
      <c r="K81" s="4">
        <f t="shared" si="14"/>
        <v>41406.904761904749</v>
      </c>
    </row>
    <row r="82" spans="1:11" x14ac:dyDescent="0.3">
      <c r="A82" s="3">
        <v>181</v>
      </c>
      <c r="B82" s="5" t="s">
        <v>99</v>
      </c>
      <c r="C82" s="3" t="s">
        <v>20</v>
      </c>
      <c r="D82" s="4">
        <v>26130.9523809524</v>
      </c>
      <c r="E82" s="3">
        <f t="shared" si="8"/>
        <v>13065.4761904762</v>
      </c>
      <c r="F82" s="3">
        <f t="shared" si="9"/>
        <v>5226.1904761904807</v>
      </c>
      <c r="G82" s="3">
        <f t="shared" si="10"/>
        <v>2613.0952380952403</v>
      </c>
      <c r="H82" s="3">
        <f t="shared" si="11"/>
        <v>208.33333333333334</v>
      </c>
      <c r="I82" s="4">
        <f t="shared" si="12"/>
        <v>44422.619047619082</v>
      </c>
      <c r="J82" s="3">
        <f t="shared" si="13"/>
        <v>2821.4285714285738</v>
      </c>
      <c r="K82" s="4">
        <f t="shared" si="14"/>
        <v>41601.19047619051</v>
      </c>
    </row>
    <row r="83" spans="1:11" x14ac:dyDescent="0.3">
      <c r="A83" s="3">
        <v>182</v>
      </c>
      <c r="B83" s="5" t="s">
        <v>100</v>
      </c>
      <c r="C83" s="3" t="s">
        <v>14</v>
      </c>
      <c r="D83" s="4">
        <v>26252.3809523809</v>
      </c>
      <c r="E83" s="3">
        <f t="shared" si="8"/>
        <v>13126.19047619045</v>
      </c>
      <c r="F83" s="3">
        <f t="shared" si="9"/>
        <v>5250.4761904761799</v>
      </c>
      <c r="G83" s="3">
        <f t="shared" si="10"/>
        <v>2625.23809523809</v>
      </c>
      <c r="H83" s="3">
        <f t="shared" si="11"/>
        <v>208.33333333333334</v>
      </c>
      <c r="I83" s="4">
        <f t="shared" si="12"/>
        <v>44629.047619047531</v>
      </c>
      <c r="J83" s="3">
        <f t="shared" si="13"/>
        <v>2833.5714285714234</v>
      </c>
      <c r="K83" s="4">
        <f t="shared" si="14"/>
        <v>41795.476190476111</v>
      </c>
    </row>
    <row r="84" spans="1:11" x14ac:dyDescent="0.3">
      <c r="A84" s="3">
        <v>183</v>
      </c>
      <c r="B84" s="5" t="s">
        <v>101</v>
      </c>
      <c r="C84" s="3" t="s">
        <v>12</v>
      </c>
      <c r="D84" s="4">
        <v>26373.809523809501</v>
      </c>
      <c r="E84" s="3">
        <f t="shared" si="8"/>
        <v>13186.904761904751</v>
      </c>
      <c r="F84" s="3">
        <f t="shared" si="9"/>
        <v>5274.761904761901</v>
      </c>
      <c r="G84" s="3">
        <f t="shared" si="10"/>
        <v>2637.3809523809505</v>
      </c>
      <c r="H84" s="3">
        <f t="shared" si="11"/>
        <v>208.33333333333334</v>
      </c>
      <c r="I84" s="4">
        <f t="shared" si="12"/>
        <v>44835.476190476154</v>
      </c>
      <c r="J84" s="3">
        <f t="shared" si="13"/>
        <v>2845.714285714284</v>
      </c>
      <c r="K84" s="4">
        <f t="shared" si="14"/>
        <v>41989.761904761872</v>
      </c>
    </row>
    <row r="85" spans="1:11" x14ac:dyDescent="0.3">
      <c r="A85" s="3">
        <v>184</v>
      </c>
      <c r="B85" s="5" t="s">
        <v>102</v>
      </c>
      <c r="C85" s="3" t="s">
        <v>18</v>
      </c>
      <c r="D85" s="4">
        <v>26495.238095238099</v>
      </c>
      <c r="E85" s="3">
        <f t="shared" si="8"/>
        <v>13247.61904761905</v>
      </c>
      <c r="F85" s="3">
        <f t="shared" si="9"/>
        <v>5299.0476190476202</v>
      </c>
      <c r="G85" s="3">
        <f t="shared" si="10"/>
        <v>2649.5238095238101</v>
      </c>
      <c r="H85" s="3">
        <f t="shared" si="11"/>
        <v>208.33333333333334</v>
      </c>
      <c r="I85" s="4">
        <f t="shared" si="12"/>
        <v>45041.904761904763</v>
      </c>
      <c r="J85" s="3">
        <f t="shared" si="13"/>
        <v>2857.8571428571436</v>
      </c>
      <c r="K85" s="4">
        <f t="shared" si="14"/>
        <v>42184.047619047618</v>
      </c>
    </row>
    <row r="86" spans="1:11" x14ac:dyDescent="0.3">
      <c r="A86" s="3">
        <v>185</v>
      </c>
      <c r="B86" s="5" t="s">
        <v>103</v>
      </c>
      <c r="C86" s="3" t="s">
        <v>16</v>
      </c>
      <c r="D86" s="4">
        <v>26616.666666666701</v>
      </c>
      <c r="E86" s="3">
        <f t="shared" si="8"/>
        <v>13308.33333333335</v>
      </c>
      <c r="F86" s="3">
        <f t="shared" si="9"/>
        <v>5323.3333333333403</v>
      </c>
      <c r="G86" s="3">
        <f t="shared" si="10"/>
        <v>2661.6666666666702</v>
      </c>
      <c r="H86" s="3">
        <f t="shared" si="11"/>
        <v>208.33333333333334</v>
      </c>
      <c r="I86" s="4">
        <f t="shared" si="12"/>
        <v>45248.333333333394</v>
      </c>
      <c r="J86" s="3">
        <f t="shared" si="13"/>
        <v>2870.0000000000036</v>
      </c>
      <c r="K86" s="4">
        <f t="shared" si="14"/>
        <v>42378.333333333387</v>
      </c>
    </row>
    <row r="87" spans="1:11" x14ac:dyDescent="0.3">
      <c r="A87" s="3">
        <v>186</v>
      </c>
      <c r="B87" s="5" t="s">
        <v>104</v>
      </c>
      <c r="C87" s="3" t="s">
        <v>12</v>
      </c>
      <c r="D87" s="4">
        <v>26738.095238095299</v>
      </c>
      <c r="E87" s="3">
        <f t="shared" si="8"/>
        <v>13369.047619047649</v>
      </c>
      <c r="F87" s="3">
        <f t="shared" si="9"/>
        <v>5347.6190476190604</v>
      </c>
      <c r="G87" s="3">
        <f t="shared" si="10"/>
        <v>2673.8095238095302</v>
      </c>
      <c r="H87" s="3">
        <f t="shared" si="11"/>
        <v>208.33333333333334</v>
      </c>
      <c r="I87" s="4">
        <f t="shared" si="12"/>
        <v>45454.76190476201</v>
      </c>
      <c r="J87" s="3">
        <f t="shared" si="13"/>
        <v>2882.1428571428637</v>
      </c>
      <c r="K87" s="4">
        <f t="shared" si="14"/>
        <v>42572.619047619148</v>
      </c>
    </row>
    <row r="88" spans="1:11" x14ac:dyDescent="0.3">
      <c r="A88" s="3">
        <v>187</v>
      </c>
      <c r="B88" s="5" t="s">
        <v>105</v>
      </c>
      <c r="C88" s="3" t="s">
        <v>14</v>
      </c>
      <c r="D88" s="4">
        <v>26859.523809523798</v>
      </c>
      <c r="E88" s="3">
        <f t="shared" si="8"/>
        <v>13429.761904761899</v>
      </c>
      <c r="F88" s="3">
        <f t="shared" si="9"/>
        <v>5371.9047619047597</v>
      </c>
      <c r="G88" s="3">
        <f t="shared" si="10"/>
        <v>2685.9523809523798</v>
      </c>
      <c r="H88" s="3">
        <f t="shared" si="11"/>
        <v>208.33333333333334</v>
      </c>
      <c r="I88" s="4">
        <f t="shared" si="12"/>
        <v>45661.190476190459</v>
      </c>
      <c r="J88" s="3">
        <f t="shared" si="13"/>
        <v>2894.2857142857133</v>
      </c>
      <c r="K88" s="4">
        <f t="shared" si="14"/>
        <v>42766.904761904749</v>
      </c>
    </row>
    <row r="89" spans="1:11" x14ac:dyDescent="0.3">
      <c r="A89" s="3">
        <v>188</v>
      </c>
      <c r="B89" s="5" t="s">
        <v>106</v>
      </c>
      <c r="C89" s="3" t="s">
        <v>20</v>
      </c>
      <c r="D89" s="4">
        <v>26980.9523809524</v>
      </c>
      <c r="E89" s="3">
        <f t="shared" si="8"/>
        <v>13490.4761904762</v>
      </c>
      <c r="F89" s="3">
        <f t="shared" si="9"/>
        <v>5396.1904761904807</v>
      </c>
      <c r="G89" s="3">
        <f t="shared" si="10"/>
        <v>2698.0952380952403</v>
      </c>
      <c r="H89" s="3">
        <f t="shared" si="11"/>
        <v>208.33333333333334</v>
      </c>
      <c r="I89" s="4">
        <f t="shared" si="12"/>
        <v>45867.619047619082</v>
      </c>
      <c r="J89" s="3">
        <f t="shared" si="13"/>
        <v>2906.4285714285738</v>
      </c>
      <c r="K89" s="4">
        <f t="shared" si="14"/>
        <v>42961.19047619051</v>
      </c>
    </row>
    <row r="90" spans="1:11" x14ac:dyDescent="0.3">
      <c r="A90" s="3">
        <v>189</v>
      </c>
      <c r="B90" t="s">
        <v>81</v>
      </c>
      <c r="C90" s="3" t="s">
        <v>18</v>
      </c>
      <c r="D90" s="4">
        <v>27102.380952381001</v>
      </c>
      <c r="E90" s="3">
        <f t="shared" si="8"/>
        <v>13551.190476190501</v>
      </c>
      <c r="F90" s="3">
        <f t="shared" si="9"/>
        <v>5420.4761904762008</v>
      </c>
      <c r="G90" s="3">
        <f t="shared" si="10"/>
        <v>2710.2380952381004</v>
      </c>
      <c r="H90" s="3">
        <f t="shared" si="11"/>
        <v>208.33333333333334</v>
      </c>
      <c r="I90" s="4">
        <f t="shared" si="12"/>
        <v>46074.047619047698</v>
      </c>
      <c r="J90" s="3">
        <f t="shared" si="13"/>
        <v>2918.5714285714339</v>
      </c>
      <c r="K90" s="4">
        <f t="shared" si="14"/>
        <v>43155.476190476264</v>
      </c>
    </row>
    <row r="91" spans="1:11" x14ac:dyDescent="0.3">
      <c r="A91" s="3">
        <v>190</v>
      </c>
      <c r="B91" t="s">
        <v>80</v>
      </c>
      <c r="C91" s="3" t="s">
        <v>16</v>
      </c>
      <c r="D91" s="4">
        <v>27223.809523809599</v>
      </c>
      <c r="E91" s="3">
        <f t="shared" si="8"/>
        <v>13611.9047619048</v>
      </c>
      <c r="F91" s="3">
        <f t="shared" si="9"/>
        <v>5444.7619047619201</v>
      </c>
      <c r="G91" s="3">
        <f t="shared" si="10"/>
        <v>2722.38095238096</v>
      </c>
      <c r="H91" s="3">
        <f t="shared" si="11"/>
        <v>208.33333333333334</v>
      </c>
      <c r="I91" s="4">
        <f t="shared" si="12"/>
        <v>46280.476190476322</v>
      </c>
      <c r="J91" s="3">
        <f t="shared" si="13"/>
        <v>2930.7142857142935</v>
      </c>
      <c r="K91" s="4">
        <f t="shared" si="14"/>
        <v>43349.761904762025</v>
      </c>
    </row>
    <row r="92" spans="1:11" x14ac:dyDescent="0.3">
      <c r="A92" s="3">
        <v>191</v>
      </c>
      <c r="B92" t="s">
        <v>79</v>
      </c>
      <c r="C92" s="3" t="s">
        <v>12</v>
      </c>
      <c r="D92" s="4">
        <v>27345.238095238099</v>
      </c>
      <c r="E92" s="3">
        <f t="shared" si="8"/>
        <v>13672.61904761905</v>
      </c>
      <c r="F92" s="3">
        <f t="shared" si="9"/>
        <v>5469.0476190476202</v>
      </c>
      <c r="G92" s="3">
        <f t="shared" si="10"/>
        <v>2734.5238095238101</v>
      </c>
      <c r="H92" s="3">
        <f t="shared" si="11"/>
        <v>208.33333333333334</v>
      </c>
      <c r="I92" s="4">
        <f t="shared" si="12"/>
        <v>46486.904761904763</v>
      </c>
      <c r="J92" s="3">
        <f t="shared" si="13"/>
        <v>2942.8571428571436</v>
      </c>
      <c r="K92" s="4">
        <f t="shared" si="14"/>
        <v>43544.047619047618</v>
      </c>
    </row>
  </sheetData>
  <conditionalFormatting sqref="C2:C92">
    <cfRule type="containsText" dxfId="8" priority="24" operator="containsText" text="Sales">
      <formula>NOT(ISERROR(SEARCH("Sales",C2)))</formula>
    </cfRule>
    <cfRule type="expression" dxfId="7" priority="25">
      <formula>sales</formula>
    </cfRule>
  </conditionalFormatting>
  <conditionalFormatting sqref="D2:D92">
    <cfRule type="cellIs" dxfId="6" priority="21" operator="lessThan">
      <formula>20000</formula>
    </cfRule>
    <cfRule type="cellIs" dxfId="5" priority="22" operator="greaterThan">
      <formula>30000</formula>
    </cfRule>
  </conditionalFormatting>
  <conditionalFormatting sqref="E2:E92">
    <cfRule type="cellIs" dxfId="4" priority="11" operator="lessThan">
      <formula>10000</formula>
    </cfRule>
    <cfRule type="cellIs" dxfId="3" priority="12" operator="greaterThan">
      <formula>"&gt;9000"</formula>
    </cfRule>
    <cfRule type="cellIs" dxfId="2" priority="13" operator="greaterThan">
      <formula>"&gt;10000"</formula>
    </cfRule>
    <cfRule type="cellIs" dxfId="1" priority="14" operator="greaterThanOrEqual">
      <formula>"&gt;=20000"</formula>
    </cfRule>
  </conditionalFormatting>
  <conditionalFormatting sqref="F2:F92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{C8654C94-E61D-4BB7-BEE5-8F092DD34936}</x14:id>
        </ext>
      </extLst>
    </cfRule>
  </conditionalFormatting>
  <conditionalFormatting sqref="K2:K92">
    <cfRule type="expression" dxfId="0" priority="1">
      <formula>$K$2:$K$92&lt;30000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54C94-E61D-4BB7-BEE5-8F092DD349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2CAA-D31E-46F7-A985-BE396E7E005E}">
  <dimension ref="A1:Z92"/>
  <sheetViews>
    <sheetView topLeftCell="D1" workbookViewId="0">
      <selection activeCell="G4" sqref="G4"/>
    </sheetView>
  </sheetViews>
  <sheetFormatPr defaultRowHeight="14.4" x14ac:dyDescent="0.3"/>
  <cols>
    <col min="2" max="2" width="14.88671875" customWidth="1"/>
    <col min="3" max="3" width="11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6" x14ac:dyDescent="0.3">
      <c r="A2" s="3">
        <v>110</v>
      </c>
      <c r="B2" s="3" t="s">
        <v>25</v>
      </c>
      <c r="C2" s="13" t="s">
        <v>16</v>
      </c>
      <c r="D2" s="4">
        <v>21000</v>
      </c>
      <c r="E2" s="3">
        <f>D2*50%</f>
        <v>10500</v>
      </c>
      <c r="F2" s="3">
        <f>D2*20%</f>
        <v>4200</v>
      </c>
      <c r="G2" s="3">
        <f>D2*10%</f>
        <v>2100</v>
      </c>
      <c r="H2" s="3">
        <f>2500/12</f>
        <v>208.33333333333334</v>
      </c>
      <c r="I2" s="4">
        <f>SUM(D2:F2)</f>
        <v>35700</v>
      </c>
      <c r="J2" s="3">
        <f>SUM(G2:H2)</f>
        <v>2308.3333333333335</v>
      </c>
      <c r="K2" s="4">
        <f>I2-J2</f>
        <v>33391.666666666664</v>
      </c>
      <c r="M2" t="s">
        <v>126</v>
      </c>
    </row>
    <row r="3" spans="1:26" x14ac:dyDescent="0.3">
      <c r="A3" s="3">
        <v>191</v>
      </c>
      <c r="B3" s="10" t="s">
        <v>79</v>
      </c>
      <c r="C3" s="3" t="s">
        <v>12</v>
      </c>
      <c r="D3" s="4">
        <v>27345.238095238099</v>
      </c>
      <c r="E3" s="3">
        <f>D3*50%</f>
        <v>13672.61904761905</v>
      </c>
      <c r="F3" s="3">
        <f>D3*20%</f>
        <v>5469.0476190476202</v>
      </c>
      <c r="G3" s="3">
        <f>D3*10%</f>
        <v>2734.5238095238101</v>
      </c>
      <c r="H3" s="3">
        <f>2500/12</f>
        <v>208.33333333333334</v>
      </c>
      <c r="I3" s="4">
        <f>SUM(D3:F3)</f>
        <v>46486.904761904763</v>
      </c>
      <c r="J3" s="3">
        <f>SUM(G3:H3)</f>
        <v>2942.8571428571436</v>
      </c>
      <c r="K3" s="4">
        <f>I3-J3</f>
        <v>43544.047619047618</v>
      </c>
      <c r="M3" s="1" t="s">
        <v>2</v>
      </c>
      <c r="N3" s="1" t="s">
        <v>3</v>
      </c>
      <c r="P3" s="1" t="s">
        <v>0</v>
      </c>
      <c r="Q3" s="1" t="s">
        <v>1</v>
      </c>
      <c r="R3" s="1" t="s">
        <v>2</v>
      </c>
      <c r="S3" s="1" t="s">
        <v>3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</row>
    <row r="4" spans="1:26" x14ac:dyDescent="0.3">
      <c r="A4" s="3">
        <v>123</v>
      </c>
      <c r="B4" s="3" t="s">
        <v>38</v>
      </c>
      <c r="C4" s="3" t="s">
        <v>12</v>
      </c>
      <c r="D4" s="4">
        <v>19088.0952380952</v>
      </c>
      <c r="E4" s="3">
        <f>D4*50%</f>
        <v>9544.0476190476002</v>
      </c>
      <c r="F4" s="3">
        <f>D4*20%</f>
        <v>3817.6190476190404</v>
      </c>
      <c r="G4" s="3">
        <f>D4*10%</f>
        <v>1908.8095238095202</v>
      </c>
      <c r="H4" s="3">
        <f>2500/12</f>
        <v>208.33333333333334</v>
      </c>
      <c r="I4" s="4">
        <f>SUM(D4:F4)</f>
        <v>32449.761904761843</v>
      </c>
      <c r="J4" s="3">
        <f>SUM(G4:H4)</f>
        <v>2117.1428571428537</v>
      </c>
      <c r="K4" s="4">
        <f>I4-J4</f>
        <v>30332.619047618988</v>
      </c>
      <c r="M4" t="s">
        <v>16</v>
      </c>
      <c r="N4" t="s">
        <v>127</v>
      </c>
      <c r="P4" s="3">
        <v>125</v>
      </c>
      <c r="Q4" s="3" t="s">
        <v>40</v>
      </c>
      <c r="R4" s="3" t="s">
        <v>16</v>
      </c>
      <c r="S4" s="4">
        <v>19330.9523809524</v>
      </c>
      <c r="T4" s="3">
        <v>9665.4761904761999</v>
      </c>
      <c r="U4" s="3">
        <v>3866.1904761904802</v>
      </c>
      <c r="V4" s="3">
        <v>1933.0952380952401</v>
      </c>
      <c r="W4" s="3">
        <v>208.33333333333334</v>
      </c>
      <c r="X4" s="4">
        <v>32862.619047619082</v>
      </c>
      <c r="Y4" s="3">
        <v>2141.4285714285734</v>
      </c>
      <c r="Z4" s="4">
        <v>30721.19047619051</v>
      </c>
    </row>
    <row r="5" spans="1:26" x14ac:dyDescent="0.3">
      <c r="A5" s="3">
        <v>107</v>
      </c>
      <c r="B5" s="3" t="s">
        <v>22</v>
      </c>
      <c r="C5" s="3" t="s">
        <v>14</v>
      </c>
      <c r="D5" s="4">
        <v>13000</v>
      </c>
      <c r="E5" s="3">
        <f>D5*50%</f>
        <v>6500</v>
      </c>
      <c r="F5" s="3">
        <f>D5*20%</f>
        <v>2600</v>
      </c>
      <c r="G5" s="3">
        <f>D5*10%</f>
        <v>1300</v>
      </c>
      <c r="H5" s="3">
        <f>2500/12</f>
        <v>208.33333333333334</v>
      </c>
      <c r="I5" s="4">
        <f>SUM(D5:F5)</f>
        <v>22100</v>
      </c>
      <c r="J5" s="3">
        <f>SUM(G5:H5)</f>
        <v>1508.3333333333333</v>
      </c>
      <c r="K5" s="4">
        <f>I5-J5</f>
        <v>20591.666666666668</v>
      </c>
      <c r="P5" s="3">
        <v>118</v>
      </c>
      <c r="Q5" s="5" t="s">
        <v>33</v>
      </c>
      <c r="R5" s="3" t="s">
        <v>16</v>
      </c>
      <c r="S5" s="4">
        <v>18480.9523809524</v>
      </c>
      <c r="T5" s="3">
        <v>9240.4761904761999</v>
      </c>
      <c r="U5" s="3">
        <v>3696.1904761904802</v>
      </c>
      <c r="V5" s="3">
        <v>1848.0952380952401</v>
      </c>
      <c r="W5" s="3">
        <v>208.33333333333334</v>
      </c>
      <c r="X5" s="4">
        <v>31417.619047619082</v>
      </c>
      <c r="Y5" s="3">
        <v>2056.4285714285734</v>
      </c>
      <c r="Z5" s="4">
        <v>29361.19047619051</v>
      </c>
    </row>
    <row r="6" spans="1:26" x14ac:dyDescent="0.3">
      <c r="A6" s="3">
        <v>136</v>
      </c>
      <c r="B6" s="3" t="s">
        <v>51</v>
      </c>
      <c r="C6" s="3" t="s">
        <v>20</v>
      </c>
      <c r="D6" s="4">
        <v>20666.666666666701</v>
      </c>
      <c r="E6" s="3">
        <f>D6*50%</f>
        <v>10333.33333333335</v>
      </c>
      <c r="F6" s="3">
        <f>D6*20%</f>
        <v>4133.3333333333403</v>
      </c>
      <c r="G6" s="3">
        <f>D6*10%</f>
        <v>2066.6666666666702</v>
      </c>
      <c r="H6" s="3">
        <f>2500/12</f>
        <v>208.33333333333334</v>
      </c>
      <c r="I6" s="4">
        <f>SUM(D6:F6)</f>
        <v>35133.333333333394</v>
      </c>
      <c r="J6" s="3">
        <f>SUM(G6:H6)</f>
        <v>2275.0000000000036</v>
      </c>
      <c r="K6" s="4">
        <f>I6-J6</f>
        <v>32858.333333333387</v>
      </c>
      <c r="P6" s="3">
        <v>130</v>
      </c>
      <c r="Q6" s="5" t="s">
        <v>45</v>
      </c>
      <c r="R6" s="3" t="s">
        <v>16</v>
      </c>
      <c r="S6" s="4">
        <v>19938.0952380952</v>
      </c>
      <c r="T6" s="3">
        <v>9969.0476190476002</v>
      </c>
      <c r="U6" s="3">
        <v>3987.6190476190404</v>
      </c>
      <c r="V6" s="3">
        <v>1993.8095238095202</v>
      </c>
      <c r="W6" s="3">
        <v>208.33333333333334</v>
      </c>
      <c r="X6" s="4">
        <v>33894.761904761843</v>
      </c>
      <c r="Y6" s="3">
        <v>2202.1428571428537</v>
      </c>
      <c r="Z6" s="4">
        <v>31692.619047618988</v>
      </c>
    </row>
    <row r="7" spans="1:26" x14ac:dyDescent="0.3">
      <c r="A7" s="3">
        <v>125</v>
      </c>
      <c r="B7" s="3" t="s">
        <v>40</v>
      </c>
      <c r="C7" s="3" t="s">
        <v>16</v>
      </c>
      <c r="D7" s="4">
        <v>19330.9523809524</v>
      </c>
      <c r="E7" s="3">
        <f>D7*50%</f>
        <v>9665.4761904761999</v>
      </c>
      <c r="F7" s="3">
        <f>D7*20%</f>
        <v>3866.1904761904802</v>
      </c>
      <c r="G7" s="3">
        <f>D7*10%</f>
        <v>1933.0952380952401</v>
      </c>
      <c r="H7" s="3">
        <f>2500/12</f>
        <v>208.33333333333334</v>
      </c>
      <c r="I7" s="4">
        <f>SUM(D7:F7)</f>
        <v>32862.619047619082</v>
      </c>
      <c r="J7" s="3">
        <f>SUM(G7:H7)</f>
        <v>2141.4285714285734</v>
      </c>
      <c r="K7" s="4">
        <f>I7-J7</f>
        <v>30721.19047619051</v>
      </c>
      <c r="P7" s="3">
        <v>103</v>
      </c>
      <c r="Q7" s="5" t="s">
        <v>109</v>
      </c>
      <c r="R7" s="3" t="s">
        <v>16</v>
      </c>
      <c r="S7" s="4">
        <v>16000</v>
      </c>
      <c r="T7" s="3">
        <v>8000</v>
      </c>
      <c r="U7" s="3">
        <v>3200</v>
      </c>
      <c r="V7" s="3">
        <v>1600</v>
      </c>
      <c r="W7" s="3">
        <v>208.33333333333334</v>
      </c>
      <c r="X7" s="4">
        <v>27200</v>
      </c>
      <c r="Y7" s="3">
        <v>1808.3333333333333</v>
      </c>
      <c r="Z7" s="4">
        <v>25391.666666666668</v>
      </c>
    </row>
    <row r="8" spans="1:26" x14ac:dyDescent="0.3">
      <c r="A8" s="3">
        <v>119</v>
      </c>
      <c r="B8" s="3" t="s">
        <v>34</v>
      </c>
      <c r="C8" s="3" t="s">
        <v>18</v>
      </c>
      <c r="D8" s="4">
        <v>18602.3809523809</v>
      </c>
      <c r="E8" s="3">
        <f>D8*50%</f>
        <v>9301.1904761904498</v>
      </c>
      <c r="F8" s="3">
        <f>D8*20%</f>
        <v>3720.4761904761799</v>
      </c>
      <c r="G8" s="3">
        <f>D8*10%</f>
        <v>1860.23809523809</v>
      </c>
      <c r="H8" s="3">
        <f>2500/12</f>
        <v>208.33333333333334</v>
      </c>
      <c r="I8" s="4">
        <f>SUM(D8:F8)</f>
        <v>31624.047619047527</v>
      </c>
      <c r="J8" s="3">
        <f>SUM(G8:H8)</f>
        <v>2068.5714285714234</v>
      </c>
      <c r="K8" s="4">
        <f>I8-J8</f>
        <v>29555.476190476104</v>
      </c>
    </row>
    <row r="9" spans="1:26" x14ac:dyDescent="0.3">
      <c r="A9" s="3">
        <v>171</v>
      </c>
      <c r="B9" s="3" t="s">
        <v>89</v>
      </c>
      <c r="C9" s="3" t="s">
        <v>12</v>
      </c>
      <c r="D9" s="4">
        <v>24916.666666666701</v>
      </c>
      <c r="E9" s="3">
        <f>D9*50%</f>
        <v>12458.33333333335</v>
      </c>
      <c r="F9" s="3">
        <f>D9*20%</f>
        <v>4983.3333333333403</v>
      </c>
      <c r="G9" s="3">
        <f>D9*10%</f>
        <v>2491.6666666666702</v>
      </c>
      <c r="H9" s="3">
        <f>2500/12</f>
        <v>208.33333333333334</v>
      </c>
      <c r="I9" s="4">
        <f>SUM(D9:F9)</f>
        <v>42358.333333333394</v>
      </c>
      <c r="J9" s="3">
        <f>SUM(G9:H9)</f>
        <v>2700.0000000000036</v>
      </c>
      <c r="K9" s="4">
        <f>I9-J9</f>
        <v>39658.333333333387</v>
      </c>
    </row>
    <row r="10" spans="1:26" x14ac:dyDescent="0.3">
      <c r="A10" s="3">
        <v>173</v>
      </c>
      <c r="B10" s="3" t="s">
        <v>91</v>
      </c>
      <c r="C10" s="3" t="s">
        <v>20</v>
      </c>
      <c r="D10" s="4">
        <v>25159.523809523798</v>
      </c>
      <c r="E10" s="3">
        <f>D10*50%</f>
        <v>12579.761904761899</v>
      </c>
      <c r="F10" s="3">
        <f>D10*20%</f>
        <v>5031.9047619047597</v>
      </c>
      <c r="G10" s="3">
        <f>D10*10%</f>
        <v>2515.9523809523798</v>
      </c>
      <c r="H10" s="3">
        <f>2500/12</f>
        <v>208.33333333333334</v>
      </c>
      <c r="I10" s="4">
        <f>SUM(D10:F10)</f>
        <v>42771.190476190459</v>
      </c>
      <c r="J10" s="3">
        <f>SUM(G10:H10)</f>
        <v>2724.2857142857133</v>
      </c>
      <c r="K10" s="4">
        <f>I10-J10</f>
        <v>40046.904761904749</v>
      </c>
    </row>
    <row r="11" spans="1:26" x14ac:dyDescent="0.3">
      <c r="A11" s="3">
        <v>116</v>
      </c>
      <c r="B11" s="3" t="s">
        <v>31</v>
      </c>
      <c r="C11" s="3" t="s">
        <v>12</v>
      </c>
      <c r="D11" s="4">
        <v>18238.0952380952</v>
      </c>
      <c r="E11" s="3">
        <f>D11*50%</f>
        <v>9119.0476190476002</v>
      </c>
      <c r="F11" s="3">
        <f>D11*20%</f>
        <v>3647.6190476190404</v>
      </c>
      <c r="G11" s="3">
        <f>D11*10%</f>
        <v>1823.8095238095202</v>
      </c>
      <c r="H11" s="3">
        <f>2500/12</f>
        <v>208.33333333333334</v>
      </c>
      <c r="I11" s="4">
        <f>SUM(D11:F11)</f>
        <v>31004.761904761843</v>
      </c>
      <c r="J11" s="3">
        <f>SUM(G11:H11)</f>
        <v>2032.1428571428535</v>
      </c>
      <c r="K11" s="4">
        <f>I11-J11</f>
        <v>28972.619047618988</v>
      </c>
    </row>
    <row r="12" spans="1:26" x14ac:dyDescent="0.3">
      <c r="A12" s="3">
        <v>182</v>
      </c>
      <c r="B12" s="3" t="s">
        <v>104</v>
      </c>
      <c r="C12" s="3" t="s">
        <v>14</v>
      </c>
      <c r="D12" s="4">
        <v>26252.3809523809</v>
      </c>
      <c r="E12" s="3">
        <f>D12*50%</f>
        <v>13126.19047619045</v>
      </c>
      <c r="F12" s="3">
        <f>D12*20%</f>
        <v>5250.4761904761799</v>
      </c>
      <c r="G12" s="3">
        <f>D12*10%</f>
        <v>2625.23809523809</v>
      </c>
      <c r="H12" s="3">
        <f>2500/12</f>
        <v>208.33333333333334</v>
      </c>
      <c r="I12" s="4">
        <f>SUM(D12:F12)</f>
        <v>44629.047619047531</v>
      </c>
      <c r="J12" s="3">
        <f>SUM(G12:H12)</f>
        <v>2833.5714285714234</v>
      </c>
      <c r="K12" s="4">
        <f>I12-J12</f>
        <v>41795.476190476111</v>
      </c>
    </row>
    <row r="13" spans="1:26" x14ac:dyDescent="0.3">
      <c r="A13" s="3">
        <v>186</v>
      </c>
      <c r="B13" s="3" t="s">
        <v>104</v>
      </c>
      <c r="C13" s="3" t="s">
        <v>12</v>
      </c>
      <c r="D13" s="4">
        <v>26738.095238095299</v>
      </c>
      <c r="E13" s="3">
        <f>D13*50%</f>
        <v>13369.047619047649</v>
      </c>
      <c r="F13" s="3">
        <f>D13*20%</f>
        <v>5347.6190476190604</v>
      </c>
      <c r="G13" s="3">
        <f>D13*10%</f>
        <v>2673.8095238095302</v>
      </c>
      <c r="H13" s="3">
        <f>2500/12</f>
        <v>208.33333333333334</v>
      </c>
      <c r="I13" s="4">
        <f>SUM(D13:F13)</f>
        <v>45454.76190476201</v>
      </c>
      <c r="J13" s="3">
        <f>SUM(G13:H13)</f>
        <v>2882.1428571428637</v>
      </c>
      <c r="K13" s="4">
        <f>I13-J13</f>
        <v>42572.619047619148</v>
      </c>
    </row>
    <row r="14" spans="1:26" x14ac:dyDescent="0.3">
      <c r="A14" s="3">
        <v>132</v>
      </c>
      <c r="B14" s="3" t="s">
        <v>47</v>
      </c>
      <c r="C14" s="3" t="s">
        <v>14</v>
      </c>
      <c r="D14" s="4">
        <v>20180.9523809524</v>
      </c>
      <c r="E14" s="3">
        <f>D14*50%</f>
        <v>10090.4761904762</v>
      </c>
      <c r="F14" s="3">
        <f>D14*20%</f>
        <v>4036.1904761904802</v>
      </c>
      <c r="G14" s="3">
        <f>D14*10%</f>
        <v>2018.0952380952401</v>
      </c>
      <c r="H14" s="3">
        <f>2500/12</f>
        <v>208.33333333333334</v>
      </c>
      <c r="I14" s="4">
        <f>SUM(D14:F14)</f>
        <v>34307.619047619082</v>
      </c>
      <c r="J14" s="3">
        <f>SUM(G14:H14)</f>
        <v>2226.4285714285734</v>
      </c>
      <c r="K14" s="4">
        <f>I14-J14</f>
        <v>32081.19047619051</v>
      </c>
    </row>
    <row r="15" spans="1:26" x14ac:dyDescent="0.3">
      <c r="A15" s="3">
        <v>151</v>
      </c>
      <c r="B15" s="3" t="s">
        <v>66</v>
      </c>
      <c r="C15" s="3" t="s">
        <v>20</v>
      </c>
      <c r="D15" s="4">
        <v>22488.0952380952</v>
      </c>
      <c r="E15" s="3">
        <f>D15*50%</f>
        <v>11244.0476190476</v>
      </c>
      <c r="F15" s="3">
        <f>D15*20%</f>
        <v>4497.6190476190404</v>
      </c>
      <c r="G15" s="3">
        <f>D15*10%</f>
        <v>2248.8095238095202</v>
      </c>
      <c r="H15" s="3">
        <f>2500/12</f>
        <v>208.33333333333334</v>
      </c>
      <c r="I15" s="4">
        <f>SUM(D15:F15)</f>
        <v>38229.761904761835</v>
      </c>
      <c r="J15" s="3">
        <f>SUM(G15:H15)</f>
        <v>2457.1428571428537</v>
      </c>
      <c r="K15" s="4">
        <f>I15-J15</f>
        <v>35772.61904761898</v>
      </c>
    </row>
    <row r="16" spans="1:26" x14ac:dyDescent="0.3">
      <c r="A16" s="3">
        <v>176</v>
      </c>
      <c r="B16" s="3" t="s">
        <v>94</v>
      </c>
      <c r="C16" s="3" t="s">
        <v>12</v>
      </c>
      <c r="D16" s="4">
        <v>25523.809523809501</v>
      </c>
      <c r="E16" s="3">
        <f>D16*50%</f>
        <v>12761.904761904751</v>
      </c>
      <c r="F16" s="3">
        <f>D16*20%</f>
        <v>5104.761904761901</v>
      </c>
      <c r="G16" s="3">
        <f>D16*10%</f>
        <v>2552.3809523809505</v>
      </c>
      <c r="H16" s="3">
        <f>2500/12</f>
        <v>208.33333333333334</v>
      </c>
      <c r="I16" s="4">
        <f>SUM(D16:F16)</f>
        <v>43390.476190476154</v>
      </c>
      <c r="J16" s="3">
        <f>SUM(G16:H16)</f>
        <v>2760.714285714284</v>
      </c>
      <c r="K16" s="4">
        <f>I16-J16</f>
        <v>40629.761904761872</v>
      </c>
    </row>
    <row r="17" spans="1:11" x14ac:dyDescent="0.3">
      <c r="A17" s="3">
        <v>129</v>
      </c>
      <c r="B17" s="5" t="s">
        <v>44</v>
      </c>
      <c r="C17" s="3" t="s">
        <v>18</v>
      </c>
      <c r="D17" s="4">
        <v>19816.666666666701</v>
      </c>
      <c r="E17" s="3">
        <f>D17*50%</f>
        <v>9908.3333333333503</v>
      </c>
      <c r="F17" s="3">
        <f>D17*20%</f>
        <v>3963.3333333333403</v>
      </c>
      <c r="G17" s="3">
        <f>D17*10%</f>
        <v>1981.6666666666702</v>
      </c>
      <c r="H17" s="3">
        <f>2500/12</f>
        <v>208.33333333333334</v>
      </c>
      <c r="I17" s="4">
        <f>SUM(D17:F17)</f>
        <v>33688.333333333394</v>
      </c>
      <c r="J17" s="3">
        <f>SUM(G17:H17)</f>
        <v>2190.0000000000036</v>
      </c>
      <c r="K17" s="4">
        <f>I17-J17</f>
        <v>31498.33333333339</v>
      </c>
    </row>
    <row r="18" spans="1:11" x14ac:dyDescent="0.3">
      <c r="A18" s="3">
        <v>144</v>
      </c>
      <c r="B18" s="5" t="s">
        <v>59</v>
      </c>
      <c r="C18" s="3" t="s">
        <v>18</v>
      </c>
      <c r="D18" s="4">
        <v>21638.0952380952</v>
      </c>
      <c r="E18" s="3">
        <f>D18*50%</f>
        <v>10819.0476190476</v>
      </c>
      <c r="F18" s="3">
        <f>D18*20%</f>
        <v>4327.6190476190404</v>
      </c>
      <c r="G18" s="3">
        <f>D18*10%</f>
        <v>2163.8095238095202</v>
      </c>
      <c r="H18" s="3">
        <f>2500/12</f>
        <v>208.33333333333334</v>
      </c>
      <c r="I18" s="4">
        <f>SUM(D18:F18)</f>
        <v>36784.761904761843</v>
      </c>
      <c r="J18" s="3">
        <f>SUM(G18:H18)</f>
        <v>2372.1428571428537</v>
      </c>
      <c r="K18" s="4">
        <f>I18-J18</f>
        <v>34412.619047618988</v>
      </c>
    </row>
    <row r="19" spans="1:11" x14ac:dyDescent="0.3">
      <c r="A19" s="3">
        <v>142</v>
      </c>
      <c r="B19" s="5" t="s">
        <v>57</v>
      </c>
      <c r="C19" s="3" t="s">
        <v>14</v>
      </c>
      <c r="D19" s="4">
        <v>21395.238095238099</v>
      </c>
      <c r="E19" s="3">
        <f>D19*50%</f>
        <v>10697.61904761905</v>
      </c>
      <c r="F19" s="3">
        <f>D19*20%</f>
        <v>4279.0476190476202</v>
      </c>
      <c r="G19" s="3">
        <f>D19*10%</f>
        <v>2139.5238095238101</v>
      </c>
      <c r="H19" s="3">
        <f>2500/12</f>
        <v>208.33333333333334</v>
      </c>
      <c r="I19" s="4">
        <f>SUM(D19:F19)</f>
        <v>36371.904761904771</v>
      </c>
      <c r="J19" s="3">
        <f>SUM(G19:H19)</f>
        <v>2347.8571428571436</v>
      </c>
      <c r="K19" s="4">
        <f>I19-J19</f>
        <v>34024.047619047626</v>
      </c>
    </row>
    <row r="20" spans="1:11" x14ac:dyDescent="0.3">
      <c r="A20" s="3">
        <v>157</v>
      </c>
      <c r="B20" s="5" t="s">
        <v>72</v>
      </c>
      <c r="C20" s="3" t="s">
        <v>14</v>
      </c>
      <c r="D20" s="4">
        <v>23216.666666666701</v>
      </c>
      <c r="E20" s="3">
        <f>D20*50%</f>
        <v>11608.33333333335</v>
      </c>
      <c r="F20" s="3">
        <f>D20*20%</f>
        <v>4643.3333333333403</v>
      </c>
      <c r="G20" s="3">
        <f>D20*10%</f>
        <v>2321.6666666666702</v>
      </c>
      <c r="H20" s="3">
        <f>2500/12</f>
        <v>208.33333333333334</v>
      </c>
      <c r="I20" s="4">
        <f>SUM(D20:F20)</f>
        <v>39468.333333333394</v>
      </c>
      <c r="J20" s="3">
        <f>SUM(G20:H20)</f>
        <v>2530.0000000000036</v>
      </c>
      <c r="K20" s="4">
        <f>I20-J20</f>
        <v>36938.333333333387</v>
      </c>
    </row>
    <row r="21" spans="1:11" x14ac:dyDescent="0.3">
      <c r="A21" s="3">
        <v>172</v>
      </c>
      <c r="B21" s="5" t="s">
        <v>90</v>
      </c>
      <c r="C21" s="3" t="s">
        <v>14</v>
      </c>
      <c r="D21" s="4">
        <v>25038.0952380952</v>
      </c>
      <c r="E21" s="3">
        <f>D21*50%</f>
        <v>12519.0476190476</v>
      </c>
      <c r="F21" s="3">
        <f>D21*20%</f>
        <v>5007.6190476190404</v>
      </c>
      <c r="G21" s="3">
        <f>D21*10%</f>
        <v>2503.8095238095202</v>
      </c>
      <c r="H21" s="3">
        <f>2500/12</f>
        <v>208.33333333333334</v>
      </c>
      <c r="I21" s="4">
        <f>SUM(D21:F21)</f>
        <v>42564.761904761835</v>
      </c>
      <c r="J21" s="3">
        <f>SUM(G21:H21)</f>
        <v>2712.1428571428537</v>
      </c>
      <c r="K21" s="4">
        <f>I21-J21</f>
        <v>39852.61904761898</v>
      </c>
    </row>
    <row r="22" spans="1:11" x14ac:dyDescent="0.3">
      <c r="A22" s="3">
        <v>140</v>
      </c>
      <c r="B22" s="5" t="s">
        <v>55</v>
      </c>
      <c r="C22" s="3" t="s">
        <v>16</v>
      </c>
      <c r="D22" s="4">
        <v>21152.3809523809</v>
      </c>
      <c r="E22" s="3">
        <f>D22*50%</f>
        <v>10576.19047619045</v>
      </c>
      <c r="F22" s="3">
        <f>D22*20%</f>
        <v>4230.4761904761799</v>
      </c>
      <c r="G22" s="3">
        <f>D22*10%</f>
        <v>2115.23809523809</v>
      </c>
      <c r="H22" s="3">
        <f>2500/12</f>
        <v>208.33333333333334</v>
      </c>
      <c r="I22" s="4">
        <f>SUM(D22:F22)</f>
        <v>35959.047619047531</v>
      </c>
      <c r="J22" s="3">
        <f>SUM(G22:H22)</f>
        <v>2323.5714285714234</v>
      </c>
      <c r="K22" s="4">
        <f>I22-J22</f>
        <v>33635.476190476111</v>
      </c>
    </row>
    <row r="23" spans="1:11" x14ac:dyDescent="0.3">
      <c r="A23" s="3">
        <v>147</v>
      </c>
      <c r="B23" s="5" t="s">
        <v>62</v>
      </c>
      <c r="C23" s="3" t="s">
        <v>14</v>
      </c>
      <c r="D23" s="4">
        <v>22002.3809523809</v>
      </c>
      <c r="E23" s="3">
        <f>D23*50%</f>
        <v>11001.19047619045</v>
      </c>
      <c r="F23" s="3">
        <f>D23*20%</f>
        <v>4400.4761904761799</v>
      </c>
      <c r="G23" s="3">
        <f>D23*10%</f>
        <v>2200.23809523809</v>
      </c>
      <c r="H23" s="3">
        <f>2500/12</f>
        <v>208.33333333333334</v>
      </c>
      <c r="I23" s="4">
        <f>SUM(D23:F23)</f>
        <v>37404.047619047531</v>
      </c>
      <c r="J23" s="3">
        <f>SUM(G23:H23)</f>
        <v>2408.5714285714234</v>
      </c>
      <c r="K23" s="4">
        <f>I23-J23</f>
        <v>34995.476190476111</v>
      </c>
    </row>
    <row r="24" spans="1:11" x14ac:dyDescent="0.3">
      <c r="A24" s="3">
        <v>177</v>
      </c>
      <c r="B24" s="5" t="s">
        <v>95</v>
      </c>
      <c r="C24" s="3" t="s">
        <v>14</v>
      </c>
      <c r="D24" s="4">
        <v>25645.238095238099</v>
      </c>
      <c r="E24" s="3">
        <f>D24*50%</f>
        <v>12822.61904761905</v>
      </c>
      <c r="F24" s="3">
        <f>D24*20%</f>
        <v>5129.0476190476202</v>
      </c>
      <c r="G24" s="3">
        <f>D24*10%</f>
        <v>2564.5238095238101</v>
      </c>
      <c r="H24" s="3">
        <f>2500/12</f>
        <v>208.33333333333334</v>
      </c>
      <c r="I24" s="4">
        <f>SUM(D24:F24)</f>
        <v>43596.904761904763</v>
      </c>
      <c r="J24" s="3">
        <f>SUM(G24:H24)</f>
        <v>2772.8571428571436</v>
      </c>
      <c r="K24" s="4">
        <f>I24-J24</f>
        <v>40824.047619047618</v>
      </c>
    </row>
    <row r="25" spans="1:11" x14ac:dyDescent="0.3">
      <c r="A25" s="3">
        <v>108</v>
      </c>
      <c r="B25" s="5" t="s">
        <v>23</v>
      </c>
      <c r="C25" s="3" t="s">
        <v>12</v>
      </c>
      <c r="D25" s="4">
        <v>14000</v>
      </c>
      <c r="E25" s="3">
        <f>D25*50%</f>
        <v>7000</v>
      </c>
      <c r="F25" s="3">
        <f>D25*20%</f>
        <v>2800</v>
      </c>
      <c r="G25" s="3">
        <f>D25*10%</f>
        <v>1400</v>
      </c>
      <c r="H25" s="3">
        <f>2500/12</f>
        <v>208.33333333333334</v>
      </c>
      <c r="I25" s="4">
        <f>SUM(D25:F25)</f>
        <v>23800</v>
      </c>
      <c r="J25" s="3">
        <f>SUM(G25:H25)</f>
        <v>1608.3333333333333</v>
      </c>
      <c r="K25" s="4">
        <f>I25-J25</f>
        <v>22191.666666666668</v>
      </c>
    </row>
    <row r="26" spans="1:11" x14ac:dyDescent="0.3">
      <c r="A26" s="3">
        <v>106</v>
      </c>
      <c r="B26" s="5" t="s">
        <v>108</v>
      </c>
      <c r="C26" s="3" t="s">
        <v>20</v>
      </c>
      <c r="D26" s="4">
        <v>21000</v>
      </c>
      <c r="E26" s="3">
        <f>D26*50%</f>
        <v>10500</v>
      </c>
      <c r="F26" s="3">
        <f>D26*20%</f>
        <v>4200</v>
      </c>
      <c r="G26" s="3">
        <f>D26*10%</f>
        <v>2100</v>
      </c>
      <c r="H26" s="3">
        <f>2500/12</f>
        <v>208.33333333333334</v>
      </c>
      <c r="I26" s="4">
        <f>SUM(D26:F26)</f>
        <v>35700</v>
      </c>
      <c r="J26" s="3">
        <f>SUM(G26:H26)</f>
        <v>2308.3333333333335</v>
      </c>
      <c r="K26" s="4">
        <f>I26-J26</f>
        <v>33391.666666666664</v>
      </c>
    </row>
    <row r="27" spans="1:11" x14ac:dyDescent="0.3">
      <c r="A27" s="3">
        <v>189</v>
      </c>
      <c r="B27" s="12" t="s">
        <v>81</v>
      </c>
      <c r="C27" s="3" t="s">
        <v>18</v>
      </c>
      <c r="D27" s="4">
        <v>27102.380952381001</v>
      </c>
      <c r="E27" s="3">
        <f>D27*50%</f>
        <v>13551.190476190501</v>
      </c>
      <c r="F27" s="3">
        <f>D27*20%</f>
        <v>5420.4761904762008</v>
      </c>
      <c r="G27" s="3">
        <f>D27*10%</f>
        <v>2710.2380952381004</v>
      </c>
      <c r="H27" s="3">
        <f>2500/12</f>
        <v>208.33333333333334</v>
      </c>
      <c r="I27" s="4">
        <f>SUM(D27:F27)</f>
        <v>46074.047619047698</v>
      </c>
      <c r="J27" s="3">
        <f>SUM(G27:H27)</f>
        <v>2918.5714285714339</v>
      </c>
      <c r="K27" s="4">
        <f>I27-J27</f>
        <v>43155.476190476264</v>
      </c>
    </row>
    <row r="28" spans="1:11" x14ac:dyDescent="0.3">
      <c r="A28" s="3">
        <v>183</v>
      </c>
      <c r="B28" s="5" t="s">
        <v>101</v>
      </c>
      <c r="C28" s="3" t="s">
        <v>12</v>
      </c>
      <c r="D28" s="4">
        <v>26373.809523809501</v>
      </c>
      <c r="E28" s="3">
        <f>D28*50%</f>
        <v>13186.904761904751</v>
      </c>
      <c r="F28" s="3">
        <f>D28*20%</f>
        <v>5274.761904761901</v>
      </c>
      <c r="G28" s="3">
        <f>D28*10%</f>
        <v>2637.3809523809505</v>
      </c>
      <c r="H28" s="3">
        <f>2500/12</f>
        <v>208.33333333333334</v>
      </c>
      <c r="I28" s="4">
        <f>SUM(D28:F28)</f>
        <v>44835.476190476154</v>
      </c>
      <c r="J28" s="3">
        <f>SUM(G28:H28)</f>
        <v>2845.714285714284</v>
      </c>
      <c r="K28" s="4">
        <f>I28-J28</f>
        <v>41989.761904761872</v>
      </c>
    </row>
    <row r="29" spans="1:11" x14ac:dyDescent="0.3">
      <c r="A29" s="3">
        <v>155</v>
      </c>
      <c r="B29" s="5" t="s">
        <v>70</v>
      </c>
      <c r="C29" s="3" t="s">
        <v>16</v>
      </c>
      <c r="D29" s="4">
        <v>22973.809523809501</v>
      </c>
      <c r="E29" s="3">
        <f>D29*50%</f>
        <v>11486.904761904751</v>
      </c>
      <c r="F29" s="3">
        <f>D29*20%</f>
        <v>4594.7619047619</v>
      </c>
      <c r="G29" s="3">
        <f>D29*10%</f>
        <v>2297.38095238095</v>
      </c>
      <c r="H29" s="3">
        <f>2500/12</f>
        <v>208.33333333333334</v>
      </c>
      <c r="I29" s="4">
        <f>SUM(D29:F29)</f>
        <v>39055.476190476154</v>
      </c>
      <c r="J29" s="3">
        <f>SUM(G29:H29)</f>
        <v>2505.7142857142835</v>
      </c>
      <c r="K29" s="4">
        <f>I29-J29</f>
        <v>36549.761904761872</v>
      </c>
    </row>
    <row r="30" spans="1:11" x14ac:dyDescent="0.3">
      <c r="A30" s="3">
        <v>128</v>
      </c>
      <c r="B30" s="5" t="s">
        <v>43</v>
      </c>
      <c r="C30" s="3" t="s">
        <v>20</v>
      </c>
      <c r="D30" s="4">
        <v>19695.238095238099</v>
      </c>
      <c r="E30" s="3">
        <f>D30*50%</f>
        <v>9847.6190476190495</v>
      </c>
      <c r="F30" s="3">
        <f>D30*20%</f>
        <v>3939.0476190476202</v>
      </c>
      <c r="G30" s="3">
        <f>D30*10%</f>
        <v>1969.5238095238101</v>
      </c>
      <c r="H30" s="3">
        <f>2500/12</f>
        <v>208.33333333333334</v>
      </c>
      <c r="I30" s="4">
        <f>SUM(D30:F30)</f>
        <v>33481.904761904771</v>
      </c>
      <c r="J30" s="3">
        <f>SUM(G30:H30)</f>
        <v>2177.8571428571436</v>
      </c>
      <c r="K30" s="4">
        <f>I30-J30</f>
        <v>31304.047619047626</v>
      </c>
    </row>
    <row r="31" spans="1:11" x14ac:dyDescent="0.3">
      <c r="A31" s="3">
        <v>109</v>
      </c>
      <c r="B31" s="5" t="s">
        <v>24</v>
      </c>
      <c r="C31" s="3" t="s">
        <v>18</v>
      </c>
      <c r="D31" s="4">
        <v>17000</v>
      </c>
      <c r="E31" s="3">
        <f>D31*50%</f>
        <v>8500</v>
      </c>
      <c r="F31" s="3">
        <f>D31*20%</f>
        <v>3400</v>
      </c>
      <c r="G31" s="3">
        <f>D31*10%</f>
        <v>1700</v>
      </c>
      <c r="H31" s="3">
        <f>2500/12</f>
        <v>208.33333333333334</v>
      </c>
      <c r="I31" s="4">
        <f>SUM(D31:F31)</f>
        <v>28900</v>
      </c>
      <c r="J31" s="3">
        <f>SUM(G31:H31)</f>
        <v>1908.3333333333333</v>
      </c>
      <c r="K31" s="4">
        <f>I31-J31</f>
        <v>26991.666666666668</v>
      </c>
    </row>
    <row r="32" spans="1:11" x14ac:dyDescent="0.3">
      <c r="A32" s="3">
        <v>170</v>
      </c>
      <c r="B32" s="5" t="s">
        <v>88</v>
      </c>
      <c r="C32" s="3" t="s">
        <v>16</v>
      </c>
      <c r="D32" s="4">
        <v>24795.238095238099</v>
      </c>
      <c r="E32" s="3">
        <f>D32*50%</f>
        <v>12397.61904761905</v>
      </c>
      <c r="F32" s="3">
        <f>D32*20%</f>
        <v>4959.0476190476202</v>
      </c>
      <c r="G32" s="3">
        <f>D32*10%</f>
        <v>2479.5238095238101</v>
      </c>
      <c r="H32" s="3">
        <f>2500/12</f>
        <v>208.33333333333334</v>
      </c>
      <c r="I32" s="4">
        <f>SUM(D32:F32)</f>
        <v>42151.904761904763</v>
      </c>
      <c r="J32" s="3">
        <f>SUM(G32:H32)</f>
        <v>2687.8571428571436</v>
      </c>
      <c r="K32" s="4">
        <f>I32-J32</f>
        <v>39464.047619047618</v>
      </c>
    </row>
    <row r="33" spans="1:11" x14ac:dyDescent="0.3">
      <c r="A33" s="3">
        <v>174</v>
      </c>
      <c r="B33" s="5" t="s">
        <v>88</v>
      </c>
      <c r="C33" s="3" t="s">
        <v>18</v>
      </c>
      <c r="D33" s="4">
        <v>25280.9523809524</v>
      </c>
      <c r="E33" s="3">
        <f>D33*50%</f>
        <v>12640.4761904762</v>
      </c>
      <c r="F33" s="3">
        <f>D33*20%</f>
        <v>5056.1904761904807</v>
      </c>
      <c r="G33" s="3">
        <f>D33*10%</f>
        <v>2528.0952380952403</v>
      </c>
      <c r="H33" s="3">
        <f>2500/12</f>
        <v>208.33333333333334</v>
      </c>
      <c r="I33" s="4">
        <f>SUM(D33:F33)</f>
        <v>42977.619047619082</v>
      </c>
      <c r="J33" s="3">
        <f>SUM(G33:H33)</f>
        <v>2736.4285714285738</v>
      </c>
      <c r="K33" s="4">
        <f>I33-J33</f>
        <v>40241.19047619051</v>
      </c>
    </row>
    <row r="34" spans="1:11" x14ac:dyDescent="0.3">
      <c r="A34" s="3">
        <v>111</v>
      </c>
      <c r="B34" s="5" t="s">
        <v>26</v>
      </c>
      <c r="C34" s="3" t="s">
        <v>12</v>
      </c>
      <c r="D34" s="4">
        <v>19000</v>
      </c>
      <c r="E34" s="3">
        <f>D34*50%</f>
        <v>9500</v>
      </c>
      <c r="F34" s="3">
        <f>D34*20%</f>
        <v>3800</v>
      </c>
      <c r="G34" s="3">
        <f>D34*10%</f>
        <v>1900</v>
      </c>
      <c r="H34" s="3">
        <f>2500/12</f>
        <v>208.33333333333334</v>
      </c>
      <c r="I34" s="4">
        <f>SUM(D34:F34)</f>
        <v>32300</v>
      </c>
      <c r="J34" s="3">
        <f>SUM(G34:H34)</f>
        <v>2108.3333333333335</v>
      </c>
      <c r="K34" s="4">
        <f>I34-J34</f>
        <v>30191.666666666668</v>
      </c>
    </row>
    <row r="35" spans="1:11" x14ac:dyDescent="0.3">
      <c r="A35" s="3">
        <v>139</v>
      </c>
      <c r="B35" s="5" t="s">
        <v>54</v>
      </c>
      <c r="C35" s="3" t="s">
        <v>18</v>
      </c>
      <c r="D35" s="4">
        <v>21030.9523809524</v>
      </c>
      <c r="E35" s="3">
        <f>D35*50%</f>
        <v>10515.4761904762</v>
      </c>
      <c r="F35" s="3">
        <f>D35*20%</f>
        <v>4206.1904761904798</v>
      </c>
      <c r="G35" s="3">
        <f>D35*10%</f>
        <v>2103.0952380952399</v>
      </c>
      <c r="H35" s="3">
        <f>2500/12</f>
        <v>208.33333333333334</v>
      </c>
      <c r="I35" s="4">
        <f>SUM(D35:F35)</f>
        <v>35752.619047619082</v>
      </c>
      <c r="J35" s="3">
        <f>SUM(G35:H35)</f>
        <v>2311.4285714285734</v>
      </c>
      <c r="K35" s="4">
        <f>I35-J35</f>
        <v>33441.19047619051</v>
      </c>
    </row>
    <row r="36" spans="1:11" x14ac:dyDescent="0.3">
      <c r="A36" s="3">
        <v>188</v>
      </c>
      <c r="B36" s="5" t="s">
        <v>106</v>
      </c>
      <c r="C36" s="3" t="s">
        <v>20</v>
      </c>
      <c r="D36" s="4">
        <v>26980.9523809524</v>
      </c>
      <c r="E36" s="3">
        <f>D36*50%</f>
        <v>13490.4761904762</v>
      </c>
      <c r="F36" s="3">
        <f>D36*20%</f>
        <v>5396.1904761904807</v>
      </c>
      <c r="G36" s="3">
        <f>D36*10%</f>
        <v>2698.0952380952403</v>
      </c>
      <c r="H36" s="3">
        <f>2500/12</f>
        <v>208.33333333333334</v>
      </c>
      <c r="I36" s="4">
        <f>SUM(D36:F36)</f>
        <v>45867.619047619082</v>
      </c>
      <c r="J36" s="3">
        <f>SUM(G36:H36)</f>
        <v>2906.4285714285738</v>
      </c>
      <c r="K36" s="4">
        <f>I36-J36</f>
        <v>42961.19047619051</v>
      </c>
    </row>
    <row r="37" spans="1:11" x14ac:dyDescent="0.3">
      <c r="A37" s="3">
        <v>133</v>
      </c>
      <c r="B37" s="5" t="s">
        <v>48</v>
      </c>
      <c r="C37" s="3" t="s">
        <v>16</v>
      </c>
      <c r="D37" s="4">
        <v>20302.3809523809</v>
      </c>
      <c r="E37" s="3">
        <f>D37*50%</f>
        <v>10151.19047619045</v>
      </c>
      <c r="F37" s="3">
        <f>D37*20%</f>
        <v>4060.4761904761799</v>
      </c>
      <c r="G37" s="3">
        <f>D37*10%</f>
        <v>2030.23809523809</v>
      </c>
      <c r="H37" s="3">
        <f>2500/12</f>
        <v>208.33333333333334</v>
      </c>
      <c r="I37" s="4">
        <f>SUM(D37:F37)</f>
        <v>34514.047619047531</v>
      </c>
      <c r="J37" s="3">
        <f>SUM(G37:H37)</f>
        <v>2238.5714285714234</v>
      </c>
      <c r="K37" s="4">
        <f>I37-J37</f>
        <v>32275.476190476107</v>
      </c>
    </row>
    <row r="38" spans="1:11" x14ac:dyDescent="0.3">
      <c r="A38" s="3">
        <v>127</v>
      </c>
      <c r="B38" s="5" t="s">
        <v>42</v>
      </c>
      <c r="C38" s="3" t="s">
        <v>14</v>
      </c>
      <c r="D38" s="4">
        <v>19573.809523809501</v>
      </c>
      <c r="E38" s="3">
        <f>D38*50%</f>
        <v>9786.9047619047506</v>
      </c>
      <c r="F38" s="3">
        <f>D38*20%</f>
        <v>3914.7619047619005</v>
      </c>
      <c r="G38" s="3">
        <f>D38*10%</f>
        <v>1957.3809523809502</v>
      </c>
      <c r="H38" s="3">
        <f>2500/12</f>
        <v>208.33333333333334</v>
      </c>
      <c r="I38" s="4">
        <f>SUM(D38:F38)</f>
        <v>33275.476190476154</v>
      </c>
      <c r="J38" s="3">
        <f>SUM(G38:H38)</f>
        <v>2165.7142857142835</v>
      </c>
      <c r="K38" s="4">
        <f>I38-J38</f>
        <v>31109.761904761872</v>
      </c>
    </row>
    <row r="39" spans="1:11" x14ac:dyDescent="0.3">
      <c r="A39" s="3">
        <v>118</v>
      </c>
      <c r="B39" s="5" t="s">
        <v>33</v>
      </c>
      <c r="C39" s="3" t="s">
        <v>16</v>
      </c>
      <c r="D39" s="4">
        <v>18480.9523809524</v>
      </c>
      <c r="E39" s="3">
        <f>D39*50%</f>
        <v>9240.4761904761999</v>
      </c>
      <c r="F39" s="3">
        <f>D39*20%</f>
        <v>3696.1904761904802</v>
      </c>
      <c r="G39" s="3">
        <f>D39*10%</f>
        <v>1848.0952380952401</v>
      </c>
      <c r="H39" s="3">
        <f>2500/12</f>
        <v>208.33333333333334</v>
      </c>
      <c r="I39" s="4">
        <f>SUM(D39:F39)</f>
        <v>31417.619047619082</v>
      </c>
      <c r="J39" s="3">
        <f>SUM(G39:H39)</f>
        <v>2056.4285714285734</v>
      </c>
      <c r="K39" s="4">
        <f>I39-J39</f>
        <v>29361.19047619051</v>
      </c>
    </row>
    <row r="40" spans="1:11" x14ac:dyDescent="0.3">
      <c r="A40" s="3">
        <v>105</v>
      </c>
      <c r="B40" s="5" t="s">
        <v>19</v>
      </c>
      <c r="C40" s="3" t="s">
        <v>20</v>
      </c>
      <c r="D40" s="4">
        <v>20000</v>
      </c>
      <c r="E40" s="3">
        <f>D40*50%</f>
        <v>10000</v>
      </c>
      <c r="F40" s="3">
        <f>D40*20%</f>
        <v>4000</v>
      </c>
      <c r="G40" s="3">
        <f>D40*10%</f>
        <v>2000</v>
      </c>
      <c r="H40" s="3">
        <f>2500/12</f>
        <v>208.33333333333334</v>
      </c>
      <c r="I40" s="4">
        <f>SUM(D40:F40)</f>
        <v>34000</v>
      </c>
      <c r="J40" s="3">
        <f>SUM(G40:H40)</f>
        <v>2208.3333333333335</v>
      </c>
      <c r="K40" s="4">
        <f>I40-J40</f>
        <v>31791.666666666668</v>
      </c>
    </row>
    <row r="41" spans="1:11" x14ac:dyDescent="0.3">
      <c r="A41" s="3">
        <v>164</v>
      </c>
      <c r="B41" s="5" t="s">
        <v>82</v>
      </c>
      <c r="C41" s="3" t="s">
        <v>18</v>
      </c>
      <c r="D41" s="4">
        <v>24066.666666666701</v>
      </c>
      <c r="E41" s="3">
        <f>D41*50%</f>
        <v>12033.33333333335</v>
      </c>
      <c r="F41" s="3">
        <f>D41*20%</f>
        <v>4813.3333333333403</v>
      </c>
      <c r="G41" s="3">
        <f>D41*10%</f>
        <v>2406.6666666666702</v>
      </c>
      <c r="H41" s="3">
        <f>2500/12</f>
        <v>208.33333333333334</v>
      </c>
      <c r="I41" s="4">
        <f>SUM(D41:F41)</f>
        <v>40913.333333333394</v>
      </c>
      <c r="J41" s="3">
        <f>SUM(G41:H41)</f>
        <v>2615.0000000000036</v>
      </c>
      <c r="K41" s="4">
        <f>I41-J41</f>
        <v>38298.333333333387</v>
      </c>
    </row>
    <row r="42" spans="1:11" x14ac:dyDescent="0.3">
      <c r="A42" s="3">
        <v>120</v>
      </c>
      <c r="B42" s="5" t="s">
        <v>35</v>
      </c>
      <c r="C42" s="3" t="s">
        <v>20</v>
      </c>
      <c r="D42" s="4">
        <v>18723.809523809501</v>
      </c>
      <c r="E42" s="3">
        <f>D42*50%</f>
        <v>9361.9047619047506</v>
      </c>
      <c r="F42" s="3">
        <f>D42*20%</f>
        <v>3744.7619047619005</v>
      </c>
      <c r="G42" s="3">
        <f>D42*10%</f>
        <v>1872.3809523809502</v>
      </c>
      <c r="H42" s="3">
        <f>2500/12</f>
        <v>208.33333333333334</v>
      </c>
      <c r="I42" s="4">
        <f>SUM(D42:F42)</f>
        <v>31830.476190476154</v>
      </c>
      <c r="J42" s="3">
        <f>SUM(G42:H42)</f>
        <v>2080.7142857142835</v>
      </c>
      <c r="K42" s="4">
        <f>I42-J42</f>
        <v>29749.761904761872</v>
      </c>
    </row>
    <row r="43" spans="1:11" x14ac:dyDescent="0.3">
      <c r="A43" s="3">
        <v>102</v>
      </c>
      <c r="B43" s="5" t="s">
        <v>13</v>
      </c>
      <c r="C43" s="3" t="s">
        <v>14</v>
      </c>
      <c r="D43" s="4">
        <v>18000</v>
      </c>
      <c r="E43" s="3">
        <f>D43*50%</f>
        <v>9000</v>
      </c>
      <c r="F43" s="3">
        <f>D43*20%</f>
        <v>3600</v>
      </c>
      <c r="G43" s="3">
        <f>D43*10%</f>
        <v>1800</v>
      </c>
      <c r="H43" s="3">
        <f>2500/12</f>
        <v>208.33333333333334</v>
      </c>
      <c r="I43" s="4">
        <f>SUM(D43:F43)</f>
        <v>30600</v>
      </c>
      <c r="J43" s="3">
        <f>SUM(G43:H43)</f>
        <v>2008.3333333333333</v>
      </c>
      <c r="K43" s="4">
        <f>I43-J43</f>
        <v>28591.666666666668</v>
      </c>
    </row>
    <row r="44" spans="1:11" x14ac:dyDescent="0.3">
      <c r="A44" s="3">
        <v>137</v>
      </c>
      <c r="B44" s="5" t="s">
        <v>52</v>
      </c>
      <c r="C44" s="3" t="s">
        <v>14</v>
      </c>
      <c r="D44" s="4">
        <v>20788.0952380952</v>
      </c>
      <c r="E44" s="3">
        <f>D44*50%</f>
        <v>10394.0476190476</v>
      </c>
      <c r="F44" s="3">
        <f>D44*20%</f>
        <v>4157.6190476190404</v>
      </c>
      <c r="G44" s="3">
        <f>D44*10%</f>
        <v>2078.8095238095202</v>
      </c>
      <c r="H44" s="3">
        <f>2500/12</f>
        <v>208.33333333333334</v>
      </c>
      <c r="I44" s="4">
        <f>SUM(D44:F44)</f>
        <v>35339.761904761843</v>
      </c>
      <c r="J44" s="3">
        <f>SUM(G44:H44)</f>
        <v>2287.1428571428537</v>
      </c>
      <c r="K44" s="4">
        <f>I44-J44</f>
        <v>33052.619047618988</v>
      </c>
    </row>
    <row r="45" spans="1:11" x14ac:dyDescent="0.3">
      <c r="A45" s="3">
        <v>162</v>
      </c>
      <c r="B45" s="5" t="s">
        <v>77</v>
      </c>
      <c r="C45" s="3" t="s">
        <v>14</v>
      </c>
      <c r="D45" s="4">
        <v>23823.809523809501</v>
      </c>
      <c r="E45" s="3">
        <f>D45*50%</f>
        <v>11911.904761904751</v>
      </c>
      <c r="F45" s="3">
        <f>D45*20%</f>
        <v>4764.7619047619</v>
      </c>
      <c r="G45" s="3">
        <f>D45*10%</f>
        <v>2382.38095238095</v>
      </c>
      <c r="H45" s="3">
        <f>2500/12</f>
        <v>208.33333333333334</v>
      </c>
      <c r="I45" s="4">
        <f>SUM(D45:F45)</f>
        <v>40500.476190476154</v>
      </c>
      <c r="J45" s="3">
        <f>SUM(G45:H45)</f>
        <v>2590.7142857142835</v>
      </c>
      <c r="K45" s="4">
        <f>I45-J45</f>
        <v>37909.761904761872</v>
      </c>
    </row>
    <row r="46" spans="1:11" x14ac:dyDescent="0.3">
      <c r="A46" s="3">
        <v>185</v>
      </c>
      <c r="B46" s="5" t="s">
        <v>103</v>
      </c>
      <c r="C46" s="3" t="s">
        <v>16</v>
      </c>
      <c r="D46" s="4">
        <v>26616.666666666701</v>
      </c>
      <c r="E46" s="3">
        <f>D46*50%</f>
        <v>13308.33333333335</v>
      </c>
      <c r="F46" s="3">
        <f>D46*20%</f>
        <v>5323.3333333333403</v>
      </c>
      <c r="G46" s="3">
        <f>D46*10%</f>
        <v>2661.6666666666702</v>
      </c>
      <c r="H46" s="3">
        <f>2500/12</f>
        <v>208.33333333333334</v>
      </c>
      <c r="I46" s="4">
        <f>SUM(D46:F46)</f>
        <v>45248.333333333394</v>
      </c>
      <c r="J46" s="3">
        <f>SUM(G46:H46)</f>
        <v>2870.0000000000036</v>
      </c>
      <c r="K46" s="4">
        <f>I46-J46</f>
        <v>42378.333333333387</v>
      </c>
    </row>
    <row r="47" spans="1:11" x14ac:dyDescent="0.3">
      <c r="A47" s="3">
        <v>146</v>
      </c>
      <c r="B47" s="5" t="s">
        <v>61</v>
      </c>
      <c r="C47" s="3" t="s">
        <v>12</v>
      </c>
      <c r="D47" s="4">
        <v>21880.9523809524</v>
      </c>
      <c r="E47" s="3">
        <f>D47*50%</f>
        <v>10940.4761904762</v>
      </c>
      <c r="F47" s="3">
        <f>D47*20%</f>
        <v>4376.1904761904798</v>
      </c>
      <c r="G47" s="3">
        <f>D47*10%</f>
        <v>2188.0952380952399</v>
      </c>
      <c r="H47" s="3">
        <f>2500/12</f>
        <v>208.33333333333334</v>
      </c>
      <c r="I47" s="4">
        <f>SUM(D47:F47)</f>
        <v>37197.619047619082</v>
      </c>
      <c r="J47" s="3">
        <f>SUM(G47:H47)</f>
        <v>2396.4285714285734</v>
      </c>
      <c r="K47" s="4">
        <f>I47-J47</f>
        <v>34801.19047619051</v>
      </c>
    </row>
    <row r="48" spans="1:11" x14ac:dyDescent="0.3">
      <c r="A48" s="3">
        <v>168</v>
      </c>
      <c r="B48" s="5" t="s">
        <v>86</v>
      </c>
      <c r="C48" s="3" t="s">
        <v>12</v>
      </c>
      <c r="D48" s="4">
        <v>24552.3809523809</v>
      </c>
      <c r="E48" s="3">
        <f>D48*50%</f>
        <v>12276.19047619045</v>
      </c>
      <c r="F48" s="3">
        <f>D48*20%</f>
        <v>4910.4761904761799</v>
      </c>
      <c r="G48" s="3">
        <f>D48*10%</f>
        <v>2455.23809523809</v>
      </c>
      <c r="H48" s="3">
        <f>2500/12</f>
        <v>208.33333333333334</v>
      </c>
      <c r="I48" s="4">
        <f>SUM(D48:F48)</f>
        <v>41739.047619047531</v>
      </c>
      <c r="J48" s="3">
        <f>SUM(G48:H48)</f>
        <v>2663.5714285714234</v>
      </c>
      <c r="K48" s="4">
        <f>I48-J48</f>
        <v>39075.476190476111</v>
      </c>
    </row>
    <row r="49" spans="1:11" x14ac:dyDescent="0.3">
      <c r="A49" s="3">
        <v>143</v>
      </c>
      <c r="B49" s="5" t="s">
        <v>58</v>
      </c>
      <c r="C49" s="3" t="s">
        <v>20</v>
      </c>
      <c r="D49" s="4">
        <v>21516.666666666701</v>
      </c>
      <c r="E49" s="3">
        <f>D49*50%</f>
        <v>10758.33333333335</v>
      </c>
      <c r="F49" s="3">
        <f>D49*20%</f>
        <v>4303.3333333333403</v>
      </c>
      <c r="G49" s="3">
        <f>D49*10%</f>
        <v>2151.6666666666702</v>
      </c>
      <c r="H49" s="3">
        <f>2500/12</f>
        <v>208.33333333333334</v>
      </c>
      <c r="I49" s="4">
        <f>SUM(D49:F49)</f>
        <v>36578.333333333394</v>
      </c>
      <c r="J49" s="3">
        <f>SUM(G49:H49)</f>
        <v>2360.0000000000036</v>
      </c>
      <c r="K49" s="4">
        <f>I49-J49</f>
        <v>34218.333333333387</v>
      </c>
    </row>
    <row r="50" spans="1:11" x14ac:dyDescent="0.3">
      <c r="A50" s="3">
        <v>163</v>
      </c>
      <c r="B50" s="5" t="s">
        <v>78</v>
      </c>
      <c r="C50" s="3" t="s">
        <v>16</v>
      </c>
      <c r="D50" s="4">
        <v>23945.238095238099</v>
      </c>
      <c r="E50" s="3">
        <f>D50*50%</f>
        <v>11972.61904761905</v>
      </c>
      <c r="F50" s="3">
        <f>D50*20%</f>
        <v>4789.0476190476202</v>
      </c>
      <c r="G50" s="3">
        <f>D50*10%</f>
        <v>2394.5238095238101</v>
      </c>
      <c r="H50" s="3">
        <f>2500/12</f>
        <v>208.33333333333334</v>
      </c>
      <c r="I50" s="4">
        <f>SUM(D50:F50)</f>
        <v>40706.904761904763</v>
      </c>
      <c r="J50" s="3">
        <f>SUM(G50:H50)</f>
        <v>2602.8571428571436</v>
      </c>
      <c r="K50" s="4">
        <f>I50-J50</f>
        <v>38104.047619047618</v>
      </c>
    </row>
    <row r="51" spans="1:11" x14ac:dyDescent="0.3">
      <c r="A51" s="3">
        <v>175</v>
      </c>
      <c r="B51" s="5" t="s">
        <v>93</v>
      </c>
      <c r="C51" s="3" t="s">
        <v>16</v>
      </c>
      <c r="D51" s="4">
        <v>25402.3809523809</v>
      </c>
      <c r="E51" s="3">
        <f>D51*50%</f>
        <v>12701.19047619045</v>
      </c>
      <c r="F51" s="3">
        <f>D51*20%</f>
        <v>5080.4761904761799</v>
      </c>
      <c r="G51" s="3">
        <f>D51*10%</f>
        <v>2540.23809523809</v>
      </c>
      <c r="H51" s="3">
        <f>2500/12</f>
        <v>208.33333333333334</v>
      </c>
      <c r="I51" s="4">
        <f>SUM(D51:F51)</f>
        <v>43184.047619047531</v>
      </c>
      <c r="J51" s="3">
        <f>SUM(G51:H51)</f>
        <v>2748.5714285714234</v>
      </c>
      <c r="K51" s="4">
        <f>I51-J51</f>
        <v>40435.476190476111</v>
      </c>
    </row>
    <row r="52" spans="1:11" x14ac:dyDescent="0.3">
      <c r="A52" s="3">
        <v>166</v>
      </c>
      <c r="B52" s="5" t="s">
        <v>84</v>
      </c>
      <c r="C52" s="3" t="s">
        <v>20</v>
      </c>
      <c r="D52" s="4">
        <v>24309.523809523798</v>
      </c>
      <c r="E52" s="3">
        <f>D52*50%</f>
        <v>12154.761904761899</v>
      </c>
      <c r="F52" s="3">
        <f>D52*20%</f>
        <v>4861.9047619047597</v>
      </c>
      <c r="G52" s="3">
        <f>D52*10%</f>
        <v>2430.9523809523798</v>
      </c>
      <c r="H52" s="3">
        <f>2500/12</f>
        <v>208.33333333333334</v>
      </c>
      <c r="I52" s="4">
        <f>SUM(D52:F52)</f>
        <v>41326.190476190459</v>
      </c>
      <c r="J52" s="3">
        <f>SUM(G52:H52)</f>
        <v>2639.2857142857133</v>
      </c>
      <c r="K52" s="4">
        <f>I52-J52</f>
        <v>38686.904761904749</v>
      </c>
    </row>
    <row r="53" spans="1:11" x14ac:dyDescent="0.3">
      <c r="A53" s="3">
        <v>187</v>
      </c>
      <c r="B53" s="5" t="s">
        <v>105</v>
      </c>
      <c r="C53" s="3" t="s">
        <v>14</v>
      </c>
      <c r="D53" s="4">
        <v>26859.523809523798</v>
      </c>
      <c r="E53" s="3">
        <f>D53*50%</f>
        <v>13429.761904761899</v>
      </c>
      <c r="F53" s="3">
        <f>D53*20%</f>
        <v>5371.9047619047597</v>
      </c>
      <c r="G53" s="3">
        <f>D53*10%</f>
        <v>2685.9523809523798</v>
      </c>
      <c r="H53" s="3">
        <f>2500/12</f>
        <v>208.33333333333334</v>
      </c>
      <c r="I53" s="4">
        <f>SUM(D53:F53)</f>
        <v>45661.190476190459</v>
      </c>
      <c r="J53" s="3">
        <f>SUM(G53:H53)</f>
        <v>2894.2857142857133</v>
      </c>
      <c r="K53" s="4">
        <f>I53-J53</f>
        <v>42766.904761904749</v>
      </c>
    </row>
    <row r="54" spans="1:11" x14ac:dyDescent="0.3">
      <c r="A54" s="3">
        <v>167</v>
      </c>
      <c r="B54" s="5" t="s">
        <v>85</v>
      </c>
      <c r="C54" s="3" t="s">
        <v>14</v>
      </c>
      <c r="D54" s="4">
        <v>24430.9523809524</v>
      </c>
      <c r="E54" s="3">
        <f>D54*50%</f>
        <v>12215.4761904762</v>
      </c>
      <c r="F54" s="3">
        <f>D54*20%</f>
        <v>4886.1904761904798</v>
      </c>
      <c r="G54" s="3">
        <f>D54*10%</f>
        <v>2443.0952380952399</v>
      </c>
      <c r="H54" s="3">
        <f>2500/12</f>
        <v>208.33333333333334</v>
      </c>
      <c r="I54" s="4">
        <f>SUM(D54:F54)</f>
        <v>41532.619047619082</v>
      </c>
      <c r="J54" s="3">
        <f>SUM(G54:H54)</f>
        <v>2651.4285714285734</v>
      </c>
      <c r="K54" s="4">
        <f>I54-J54</f>
        <v>38881.19047619051</v>
      </c>
    </row>
    <row r="55" spans="1:11" x14ac:dyDescent="0.3">
      <c r="A55" s="3">
        <v>152</v>
      </c>
      <c r="B55" s="5" t="s">
        <v>67</v>
      </c>
      <c r="C55" s="3" t="s">
        <v>14</v>
      </c>
      <c r="D55" s="4">
        <v>22609.523809523798</v>
      </c>
      <c r="E55" s="3">
        <f>D55*50%</f>
        <v>11304.761904761899</v>
      </c>
      <c r="F55" s="3">
        <f>D55*20%</f>
        <v>4521.9047619047597</v>
      </c>
      <c r="G55" s="3">
        <f>D55*10%</f>
        <v>2260.9523809523798</v>
      </c>
      <c r="H55" s="3">
        <f>2500/12</f>
        <v>208.33333333333334</v>
      </c>
      <c r="I55" s="4">
        <f>SUM(D55:F55)</f>
        <v>38436.190476190459</v>
      </c>
      <c r="J55" s="3">
        <f>SUM(G55:H55)</f>
        <v>2469.2857142857133</v>
      </c>
      <c r="K55" s="4">
        <f>I55-J55</f>
        <v>35966.904761904749</v>
      </c>
    </row>
    <row r="56" spans="1:11" x14ac:dyDescent="0.3">
      <c r="A56" s="3">
        <v>135</v>
      </c>
      <c r="B56" s="5" t="s">
        <v>50</v>
      </c>
      <c r="C56" s="3" t="s">
        <v>20</v>
      </c>
      <c r="D56" s="4">
        <v>20545.238095238099</v>
      </c>
      <c r="E56" s="3">
        <f>D56*50%</f>
        <v>10272.61904761905</v>
      </c>
      <c r="F56" s="3">
        <f>D56*20%</f>
        <v>4109.0476190476202</v>
      </c>
      <c r="G56" s="3">
        <f>D56*10%</f>
        <v>2054.5238095238101</v>
      </c>
      <c r="H56" s="3">
        <f>2500/12</f>
        <v>208.33333333333334</v>
      </c>
      <c r="I56" s="4">
        <f>SUM(D56:F56)</f>
        <v>34926.904761904771</v>
      </c>
      <c r="J56" s="3">
        <f>SUM(G56:H56)</f>
        <v>2262.8571428571436</v>
      </c>
      <c r="K56" s="4">
        <f>I56-J56</f>
        <v>32664.047619047626</v>
      </c>
    </row>
    <row r="57" spans="1:11" x14ac:dyDescent="0.3">
      <c r="A57" s="3">
        <v>161</v>
      </c>
      <c r="B57" s="5" t="s">
        <v>76</v>
      </c>
      <c r="C57" s="3" t="s">
        <v>12</v>
      </c>
      <c r="D57" s="4">
        <v>23702.3809523809</v>
      </c>
      <c r="E57" s="3">
        <f>D57*50%</f>
        <v>11851.19047619045</v>
      </c>
      <c r="F57" s="3">
        <f>D57*20%</f>
        <v>4740.4761904761799</v>
      </c>
      <c r="G57" s="3">
        <f>D57*10%</f>
        <v>2370.23809523809</v>
      </c>
      <c r="H57" s="3">
        <f>2500/12</f>
        <v>208.33333333333334</v>
      </c>
      <c r="I57" s="4">
        <f>SUM(D57:F57)</f>
        <v>40294.047619047531</v>
      </c>
      <c r="J57" s="3">
        <f>SUM(G57:H57)</f>
        <v>2578.5714285714234</v>
      </c>
      <c r="K57" s="4">
        <f>I57-J57</f>
        <v>37715.476190476111</v>
      </c>
    </row>
    <row r="58" spans="1:11" x14ac:dyDescent="0.3">
      <c r="A58" s="3">
        <v>115</v>
      </c>
      <c r="B58" s="5" t="s">
        <v>30</v>
      </c>
      <c r="C58" s="3" t="s">
        <v>16</v>
      </c>
      <c r="D58" s="4">
        <v>23000</v>
      </c>
      <c r="E58" s="3">
        <f>D58*50%</f>
        <v>11500</v>
      </c>
      <c r="F58" s="3">
        <f>D58*20%</f>
        <v>4600</v>
      </c>
      <c r="G58" s="3">
        <f>D58*10%</f>
        <v>2300</v>
      </c>
      <c r="H58" s="3">
        <f>2500/12</f>
        <v>208.33333333333334</v>
      </c>
      <c r="I58" s="4">
        <f>SUM(D58:F58)</f>
        <v>39100</v>
      </c>
      <c r="J58" s="3">
        <f>SUM(G58:H58)</f>
        <v>2508.3333333333335</v>
      </c>
      <c r="K58" s="4">
        <f>I58-J58</f>
        <v>36591.666666666664</v>
      </c>
    </row>
    <row r="59" spans="1:11" x14ac:dyDescent="0.3">
      <c r="A59" s="3">
        <v>145</v>
      </c>
      <c r="B59" s="5" t="s">
        <v>60</v>
      </c>
      <c r="C59" s="3" t="s">
        <v>16</v>
      </c>
      <c r="D59" s="4">
        <v>21759.523809523798</v>
      </c>
      <c r="E59" s="3">
        <f>D59*50%</f>
        <v>10879.761904761899</v>
      </c>
      <c r="F59" s="3">
        <f>D59*20%</f>
        <v>4351.9047619047597</v>
      </c>
      <c r="G59" s="3">
        <f>D59*10%</f>
        <v>2175.9523809523798</v>
      </c>
      <c r="H59" s="3">
        <f>2500/12</f>
        <v>208.33333333333334</v>
      </c>
      <c r="I59" s="4">
        <f>SUM(D59:F59)</f>
        <v>36991.190476190459</v>
      </c>
      <c r="J59" s="3">
        <f>SUM(G59:H59)</f>
        <v>2384.2857142857133</v>
      </c>
      <c r="K59" s="4">
        <f>I59-J59</f>
        <v>34606.904761904749</v>
      </c>
    </row>
    <row r="60" spans="1:11" x14ac:dyDescent="0.3">
      <c r="A60" s="3">
        <v>117</v>
      </c>
      <c r="B60" s="5" t="s">
        <v>32</v>
      </c>
      <c r="C60" s="3" t="s">
        <v>14</v>
      </c>
      <c r="D60" s="4">
        <v>18359.523809523798</v>
      </c>
      <c r="E60" s="3">
        <f>D60*50%</f>
        <v>9179.7619047618991</v>
      </c>
      <c r="F60" s="3">
        <f>D60*20%</f>
        <v>3671.9047619047597</v>
      </c>
      <c r="G60" s="3">
        <f>D60*10%</f>
        <v>1835.9523809523798</v>
      </c>
      <c r="H60" s="3">
        <f>2500/12</f>
        <v>208.33333333333334</v>
      </c>
      <c r="I60" s="4">
        <f>SUM(D60:F60)</f>
        <v>31211.190476190455</v>
      </c>
      <c r="J60" s="3">
        <f>SUM(G60:H60)</f>
        <v>2044.2857142857131</v>
      </c>
      <c r="K60" s="4">
        <f>I60-J60</f>
        <v>29166.904761904741</v>
      </c>
    </row>
    <row r="61" spans="1:11" x14ac:dyDescent="0.3">
      <c r="A61" s="3">
        <v>153</v>
      </c>
      <c r="B61" s="5" t="s">
        <v>68</v>
      </c>
      <c r="C61" s="3" t="s">
        <v>12</v>
      </c>
      <c r="D61" s="4">
        <v>22730.9523809524</v>
      </c>
      <c r="E61" s="3">
        <f>D61*50%</f>
        <v>11365.4761904762</v>
      </c>
      <c r="F61" s="3">
        <f>D61*20%</f>
        <v>4546.1904761904798</v>
      </c>
      <c r="G61" s="3">
        <f>D61*10%</f>
        <v>2273.0952380952399</v>
      </c>
      <c r="H61" s="3">
        <f>2500/12</f>
        <v>208.33333333333334</v>
      </c>
      <c r="I61" s="4">
        <f>SUM(D61:F61)</f>
        <v>38642.619047619082</v>
      </c>
      <c r="J61" s="3">
        <f>SUM(G61:H61)</f>
        <v>2481.4285714285734</v>
      </c>
      <c r="K61" s="4">
        <f>I61-J61</f>
        <v>36161.19047619051</v>
      </c>
    </row>
    <row r="62" spans="1:11" x14ac:dyDescent="0.3">
      <c r="A62" s="3">
        <v>138</v>
      </c>
      <c r="B62" s="5" t="s">
        <v>53</v>
      </c>
      <c r="C62" s="3" t="s">
        <v>12</v>
      </c>
      <c r="D62" s="4">
        <v>20909.523809523798</v>
      </c>
      <c r="E62" s="3">
        <f>D62*50%</f>
        <v>10454.761904761899</v>
      </c>
      <c r="F62" s="3">
        <f>D62*20%</f>
        <v>4181.9047619047597</v>
      </c>
      <c r="G62" s="3">
        <f>D62*10%</f>
        <v>2090.9523809523798</v>
      </c>
      <c r="H62" s="3">
        <f>2500/12</f>
        <v>208.33333333333334</v>
      </c>
      <c r="I62" s="4">
        <f>SUM(D62:F62)</f>
        <v>35546.190476190459</v>
      </c>
      <c r="J62" s="3">
        <f>SUM(G62:H62)</f>
        <v>2299.2857142857133</v>
      </c>
      <c r="K62" s="4">
        <f>I62-J62</f>
        <v>33246.904761904749</v>
      </c>
    </row>
    <row r="63" spans="1:11" x14ac:dyDescent="0.3">
      <c r="A63" s="3">
        <v>150</v>
      </c>
      <c r="B63" s="5" t="s">
        <v>65</v>
      </c>
      <c r="C63" s="3" t="s">
        <v>20</v>
      </c>
      <c r="D63" s="4">
        <v>22366.666666666701</v>
      </c>
      <c r="E63" s="3">
        <f>D63*50%</f>
        <v>11183.33333333335</v>
      </c>
      <c r="F63" s="3">
        <f>D63*20%</f>
        <v>4473.3333333333403</v>
      </c>
      <c r="G63" s="3">
        <f>D63*10%</f>
        <v>2236.6666666666702</v>
      </c>
      <c r="H63" s="3">
        <f>2500/12</f>
        <v>208.33333333333334</v>
      </c>
      <c r="I63" s="4">
        <f>SUM(D63:F63)</f>
        <v>38023.333333333394</v>
      </c>
      <c r="J63" s="3">
        <f>SUM(G63:H63)</f>
        <v>2445.0000000000036</v>
      </c>
      <c r="K63" s="4">
        <f>I63-J63</f>
        <v>35578.333333333387</v>
      </c>
    </row>
    <row r="64" spans="1:11" x14ac:dyDescent="0.3">
      <c r="A64" s="3">
        <v>180</v>
      </c>
      <c r="B64" s="5" t="s">
        <v>98</v>
      </c>
      <c r="C64" s="3" t="s">
        <v>20</v>
      </c>
      <c r="D64" s="4">
        <v>26009.523809523798</v>
      </c>
      <c r="E64" s="3">
        <f>D64*50%</f>
        <v>13004.761904761899</v>
      </c>
      <c r="F64" s="3">
        <f>D64*20%</f>
        <v>5201.9047619047597</v>
      </c>
      <c r="G64" s="3">
        <f>D64*10%</f>
        <v>2600.9523809523798</v>
      </c>
      <c r="H64" s="3">
        <f>2500/12</f>
        <v>208.33333333333334</v>
      </c>
      <c r="I64" s="4">
        <f>SUM(D64:F64)</f>
        <v>44216.190476190459</v>
      </c>
      <c r="J64" s="3">
        <f>SUM(G64:H64)</f>
        <v>2809.2857142857133</v>
      </c>
      <c r="K64" s="4">
        <f>I64-J64</f>
        <v>41406.904761904749</v>
      </c>
    </row>
    <row r="65" spans="1:11" x14ac:dyDescent="0.3">
      <c r="A65" s="3">
        <v>114</v>
      </c>
      <c r="B65" s="5" t="s">
        <v>29</v>
      </c>
      <c r="C65" s="3" t="s">
        <v>18</v>
      </c>
      <c r="D65" s="4">
        <v>20000</v>
      </c>
      <c r="E65" s="3">
        <f>D65*50%</f>
        <v>10000</v>
      </c>
      <c r="F65" s="3">
        <f>D65*20%</f>
        <v>4000</v>
      </c>
      <c r="G65" s="3">
        <f>D65*10%</f>
        <v>2000</v>
      </c>
      <c r="H65" s="3">
        <f>2500/12</f>
        <v>208.33333333333334</v>
      </c>
      <c r="I65" s="4">
        <f>SUM(D65:F65)</f>
        <v>34000</v>
      </c>
      <c r="J65" s="3">
        <f>SUM(G65:H65)</f>
        <v>2208.3333333333335</v>
      </c>
      <c r="K65" s="4">
        <f>I65-J65</f>
        <v>31791.666666666668</v>
      </c>
    </row>
    <row r="66" spans="1:11" x14ac:dyDescent="0.3">
      <c r="A66" s="3">
        <v>113</v>
      </c>
      <c r="B66" s="5" t="s">
        <v>28</v>
      </c>
      <c r="C66" s="3" t="s">
        <v>20</v>
      </c>
      <c r="D66" s="4">
        <v>13000</v>
      </c>
      <c r="E66" s="3">
        <f>D66*50%</f>
        <v>6500</v>
      </c>
      <c r="F66" s="3">
        <f>D66*20%</f>
        <v>2600</v>
      </c>
      <c r="G66" s="3">
        <f>D66*10%</f>
        <v>1300</v>
      </c>
      <c r="H66" s="3">
        <f>2500/12</f>
        <v>208.33333333333334</v>
      </c>
      <c r="I66" s="4">
        <f>SUM(D66:F66)</f>
        <v>22100</v>
      </c>
      <c r="J66" s="3">
        <f>SUM(G66:H66)</f>
        <v>1508.3333333333333</v>
      </c>
      <c r="K66" s="4">
        <f>I66-J66</f>
        <v>20591.666666666668</v>
      </c>
    </row>
    <row r="67" spans="1:11" x14ac:dyDescent="0.3">
      <c r="A67" s="3">
        <v>169</v>
      </c>
      <c r="B67" s="5" t="s">
        <v>87</v>
      </c>
      <c r="C67" s="3" t="s">
        <v>18</v>
      </c>
      <c r="D67" s="4">
        <v>24673.809523809501</v>
      </c>
      <c r="E67" s="3">
        <f>D67*50%</f>
        <v>12336.904761904751</v>
      </c>
      <c r="F67" s="3">
        <f>D67*20%</f>
        <v>4934.761904761901</v>
      </c>
      <c r="G67" s="3">
        <f>D67*10%</f>
        <v>2467.3809523809505</v>
      </c>
      <c r="H67" s="3">
        <f>2500/12</f>
        <v>208.33333333333334</v>
      </c>
      <c r="I67" s="4">
        <f>SUM(D67:F67)</f>
        <v>41945.476190476154</v>
      </c>
      <c r="J67" s="3">
        <f>SUM(G67:H67)</f>
        <v>2675.714285714284</v>
      </c>
      <c r="K67" s="4">
        <f>I67-J67</f>
        <v>39269.761904761872</v>
      </c>
    </row>
    <row r="68" spans="1:11" x14ac:dyDescent="0.3">
      <c r="A68" s="3">
        <v>121</v>
      </c>
      <c r="B68" s="5" t="s">
        <v>36</v>
      </c>
      <c r="C68" s="3" t="s">
        <v>20</v>
      </c>
      <c r="D68" s="4">
        <v>18845.238095238099</v>
      </c>
      <c r="E68" s="3">
        <f>D68*50%</f>
        <v>9422.6190476190495</v>
      </c>
      <c r="F68" s="3">
        <f>D68*20%</f>
        <v>3769.0476190476202</v>
      </c>
      <c r="G68" s="3">
        <f>D68*10%</f>
        <v>1884.5238095238101</v>
      </c>
      <c r="H68" s="3">
        <f>2500/12</f>
        <v>208.33333333333334</v>
      </c>
      <c r="I68" s="4">
        <f>SUM(D68:F68)</f>
        <v>32036.904761904771</v>
      </c>
      <c r="J68" s="3">
        <f>SUM(G68:H68)</f>
        <v>2092.8571428571436</v>
      </c>
      <c r="K68" s="4">
        <f>I68-J68</f>
        <v>29944.047619047626</v>
      </c>
    </row>
    <row r="69" spans="1:11" x14ac:dyDescent="0.3">
      <c r="A69" s="3">
        <v>124</v>
      </c>
      <c r="B69" s="5" t="s">
        <v>39</v>
      </c>
      <c r="C69" s="3" t="s">
        <v>18</v>
      </c>
      <c r="D69" s="4">
        <v>19209.523809523798</v>
      </c>
      <c r="E69" s="3">
        <f>D69*50%</f>
        <v>9604.7619047618991</v>
      </c>
      <c r="F69" s="3">
        <f>D69*20%</f>
        <v>3841.9047619047597</v>
      </c>
      <c r="G69" s="3">
        <f>D69*10%</f>
        <v>1920.9523809523798</v>
      </c>
      <c r="H69" s="3">
        <f>2500/12</f>
        <v>208.33333333333334</v>
      </c>
      <c r="I69" s="4">
        <f>SUM(D69:F69)</f>
        <v>32656.190476190455</v>
      </c>
      <c r="J69" s="3">
        <f>SUM(G69:H69)</f>
        <v>2129.2857142857133</v>
      </c>
      <c r="K69" s="4">
        <f>I69-J69</f>
        <v>30526.904761904741</v>
      </c>
    </row>
    <row r="70" spans="1:11" x14ac:dyDescent="0.3">
      <c r="A70" s="3">
        <v>122</v>
      </c>
      <c r="B70" s="5" t="s">
        <v>37</v>
      </c>
      <c r="C70" s="3" t="s">
        <v>14</v>
      </c>
      <c r="D70" s="4">
        <v>18966.666666666701</v>
      </c>
      <c r="E70" s="3">
        <f>D70*50%</f>
        <v>9483.3333333333503</v>
      </c>
      <c r="F70" s="3">
        <f>D70*20%</f>
        <v>3793.3333333333403</v>
      </c>
      <c r="G70" s="3">
        <f>D70*10%</f>
        <v>1896.6666666666702</v>
      </c>
      <c r="H70" s="3">
        <f>2500/12</f>
        <v>208.33333333333334</v>
      </c>
      <c r="I70" s="4">
        <f>SUM(D70:F70)</f>
        <v>32243.33333333339</v>
      </c>
      <c r="J70" s="3">
        <f>SUM(G70:H70)</f>
        <v>2105.0000000000036</v>
      </c>
      <c r="K70" s="4">
        <f>I70-J70</f>
        <v>30138.333333333387</v>
      </c>
    </row>
    <row r="71" spans="1:11" x14ac:dyDescent="0.3">
      <c r="A71" s="3">
        <v>181</v>
      </c>
      <c r="B71" s="5" t="s">
        <v>99</v>
      </c>
      <c r="C71" s="3" t="s">
        <v>20</v>
      </c>
      <c r="D71" s="4">
        <v>26130.9523809524</v>
      </c>
      <c r="E71" s="3">
        <f>D71*50%</f>
        <v>13065.4761904762</v>
      </c>
      <c r="F71" s="3">
        <f>D71*20%</f>
        <v>5226.1904761904807</v>
      </c>
      <c r="G71" s="3">
        <f>D71*10%</f>
        <v>2613.0952380952403</v>
      </c>
      <c r="H71" s="3">
        <f>2500/12</f>
        <v>208.33333333333334</v>
      </c>
      <c r="I71" s="4">
        <f>SUM(D71:F71)</f>
        <v>44422.619047619082</v>
      </c>
      <c r="J71" s="3">
        <f>SUM(G71:H71)</f>
        <v>2821.4285714285738</v>
      </c>
      <c r="K71" s="4">
        <f>I71-J71</f>
        <v>41601.19047619051</v>
      </c>
    </row>
    <row r="72" spans="1:11" x14ac:dyDescent="0.3">
      <c r="A72" s="3">
        <v>130</v>
      </c>
      <c r="B72" s="5" t="s">
        <v>45</v>
      </c>
      <c r="C72" s="3" t="s">
        <v>16</v>
      </c>
      <c r="D72" s="4">
        <v>19938.0952380952</v>
      </c>
      <c r="E72" s="3">
        <f>D72*50%</f>
        <v>9969.0476190476002</v>
      </c>
      <c r="F72" s="3">
        <f>D72*20%</f>
        <v>3987.6190476190404</v>
      </c>
      <c r="G72" s="3">
        <f>D72*10%</f>
        <v>1993.8095238095202</v>
      </c>
      <c r="H72" s="3">
        <f>2500/12</f>
        <v>208.33333333333334</v>
      </c>
      <c r="I72" s="4">
        <f>SUM(D72:F72)</f>
        <v>33894.761904761843</v>
      </c>
      <c r="J72" s="3">
        <f>SUM(G72:H72)</f>
        <v>2202.1428571428537</v>
      </c>
      <c r="K72" s="4">
        <f>I72-J72</f>
        <v>31692.619047618988</v>
      </c>
    </row>
    <row r="73" spans="1:11" x14ac:dyDescent="0.3">
      <c r="A73" s="3">
        <v>184</v>
      </c>
      <c r="B73" s="5" t="s">
        <v>102</v>
      </c>
      <c r="C73" s="3" t="s">
        <v>18</v>
      </c>
      <c r="D73" s="4">
        <v>26495.238095238099</v>
      </c>
      <c r="E73" s="3">
        <f>D73*50%</f>
        <v>13247.61904761905</v>
      </c>
      <c r="F73" s="3">
        <f>D73*20%</f>
        <v>5299.0476190476202</v>
      </c>
      <c r="G73" s="3">
        <f>D73*10%</f>
        <v>2649.5238095238101</v>
      </c>
      <c r="H73" s="3">
        <f>2500/12</f>
        <v>208.33333333333334</v>
      </c>
      <c r="I73" s="4">
        <f>SUM(D73:F73)</f>
        <v>45041.904761904763</v>
      </c>
      <c r="J73" s="3">
        <f>SUM(G73:H73)</f>
        <v>2857.8571428571436</v>
      </c>
      <c r="K73" s="4">
        <f>I73-J73</f>
        <v>42184.047619047618</v>
      </c>
    </row>
    <row r="74" spans="1:11" x14ac:dyDescent="0.3">
      <c r="A74" s="3">
        <v>104</v>
      </c>
      <c r="B74" s="5" t="s">
        <v>107</v>
      </c>
      <c r="C74" s="3" t="s">
        <v>18</v>
      </c>
      <c r="D74" s="4">
        <v>17000</v>
      </c>
      <c r="E74" s="3">
        <f>D74*50%</f>
        <v>8500</v>
      </c>
      <c r="F74" s="3">
        <f>D74*20%</f>
        <v>3400</v>
      </c>
      <c r="G74" s="3">
        <f>D74*10%</f>
        <v>1700</v>
      </c>
      <c r="H74" s="3">
        <f>2500/12</f>
        <v>208.33333333333334</v>
      </c>
      <c r="I74" s="4">
        <f>SUM(D74:F74)</f>
        <v>28900</v>
      </c>
      <c r="J74" s="3">
        <f>SUM(G74:H74)</f>
        <v>1908.3333333333333</v>
      </c>
      <c r="K74" s="4">
        <f>I74-J74</f>
        <v>26991.666666666668</v>
      </c>
    </row>
    <row r="75" spans="1:11" x14ac:dyDescent="0.3">
      <c r="A75" s="3">
        <v>112</v>
      </c>
      <c r="B75" s="5" t="s">
        <v>27</v>
      </c>
      <c r="C75" s="3" t="s">
        <v>14</v>
      </c>
      <c r="D75" s="4">
        <v>12000</v>
      </c>
      <c r="E75" s="3">
        <f>D75*50%</f>
        <v>6000</v>
      </c>
      <c r="F75" s="3">
        <f>D75*20%</f>
        <v>2400</v>
      </c>
      <c r="G75" s="3">
        <f>D75*10%</f>
        <v>1200</v>
      </c>
      <c r="H75" s="3">
        <f>2500/12</f>
        <v>208.33333333333334</v>
      </c>
      <c r="I75" s="4">
        <f>SUM(D75:F75)</f>
        <v>20400</v>
      </c>
      <c r="J75" s="3">
        <f>SUM(G75:H75)</f>
        <v>1408.3333333333333</v>
      </c>
      <c r="K75" s="4">
        <f>I75-J75</f>
        <v>18991.666666666668</v>
      </c>
    </row>
    <row r="76" spans="1:11" x14ac:dyDescent="0.3">
      <c r="A76" s="3">
        <v>165</v>
      </c>
      <c r="B76" s="5" t="s">
        <v>83</v>
      </c>
      <c r="C76" s="3" t="s">
        <v>20</v>
      </c>
      <c r="D76" s="4">
        <v>24188.0952380952</v>
      </c>
      <c r="E76" s="3">
        <f>D76*50%</f>
        <v>12094.0476190476</v>
      </c>
      <c r="F76" s="3">
        <f>D76*20%</f>
        <v>4837.6190476190404</v>
      </c>
      <c r="G76" s="3">
        <f>D76*10%</f>
        <v>2418.8095238095202</v>
      </c>
      <c r="H76" s="3">
        <f>2500/12</f>
        <v>208.33333333333334</v>
      </c>
      <c r="I76" s="4">
        <f>SUM(D76:F76)</f>
        <v>41119.761904761835</v>
      </c>
      <c r="J76" s="3">
        <f>SUM(G76:H76)</f>
        <v>2627.1428571428537</v>
      </c>
      <c r="K76" s="4">
        <f>I76-J76</f>
        <v>38492.61904761898</v>
      </c>
    </row>
    <row r="77" spans="1:11" x14ac:dyDescent="0.3">
      <c r="A77" s="3">
        <v>141</v>
      </c>
      <c r="B77" s="5" t="s">
        <v>56</v>
      </c>
      <c r="C77" s="3" t="s">
        <v>12</v>
      </c>
      <c r="D77" s="4">
        <v>21273.809523809501</v>
      </c>
      <c r="E77" s="3">
        <f>D77*50%</f>
        <v>10636.904761904751</v>
      </c>
      <c r="F77" s="3">
        <f>D77*20%</f>
        <v>4254.7619047619</v>
      </c>
      <c r="G77" s="3">
        <f>D77*10%</f>
        <v>2127.38095238095</v>
      </c>
      <c r="H77" s="3">
        <f>2500/12</f>
        <v>208.33333333333334</v>
      </c>
      <c r="I77" s="4">
        <f>SUM(D77:F77)</f>
        <v>36165.476190476154</v>
      </c>
      <c r="J77" s="3">
        <f>SUM(G77:H77)</f>
        <v>2335.7142857142835</v>
      </c>
      <c r="K77" s="4">
        <f>I77-J77</f>
        <v>33829.761904761872</v>
      </c>
    </row>
    <row r="78" spans="1:11" x14ac:dyDescent="0.3">
      <c r="A78" s="3">
        <v>149</v>
      </c>
      <c r="B78" s="5" t="s">
        <v>64</v>
      </c>
      <c r="C78" s="3" t="s">
        <v>18</v>
      </c>
      <c r="D78" s="4">
        <v>22245.238095238099</v>
      </c>
      <c r="E78" s="3">
        <f>D78*50%</f>
        <v>11122.61904761905</v>
      </c>
      <c r="F78" s="3">
        <f>D78*20%</f>
        <v>4449.0476190476202</v>
      </c>
      <c r="G78" s="3">
        <f>D78*10%</f>
        <v>2224.5238095238101</v>
      </c>
      <c r="H78" s="3">
        <f>2500/12</f>
        <v>208.33333333333334</v>
      </c>
      <c r="I78" s="4">
        <f>SUM(D78:F78)</f>
        <v>37816.904761904763</v>
      </c>
      <c r="J78" s="3">
        <f>SUM(G78:H78)</f>
        <v>2432.8571428571436</v>
      </c>
      <c r="K78" s="4">
        <f>I78-J78</f>
        <v>35384.047619047618</v>
      </c>
    </row>
    <row r="79" spans="1:11" x14ac:dyDescent="0.3">
      <c r="A79" s="3">
        <v>148</v>
      </c>
      <c r="B79" s="5" t="s">
        <v>63</v>
      </c>
      <c r="C79" s="3" t="s">
        <v>16</v>
      </c>
      <c r="D79" s="4">
        <v>22123.809523809501</v>
      </c>
      <c r="E79" s="3">
        <f>D79*50%</f>
        <v>11061.904761904751</v>
      </c>
      <c r="F79" s="3">
        <f>D79*20%</f>
        <v>4424.7619047619</v>
      </c>
      <c r="G79" s="3">
        <f>D79*10%</f>
        <v>2212.38095238095</v>
      </c>
      <c r="H79" s="3">
        <f>2500/12</f>
        <v>208.33333333333334</v>
      </c>
      <c r="I79" s="4">
        <f>SUM(D79:F79)</f>
        <v>37610.476190476154</v>
      </c>
      <c r="J79" s="3">
        <f>SUM(G79:H79)</f>
        <v>2420.7142857142835</v>
      </c>
      <c r="K79" s="4">
        <f>I79-J79</f>
        <v>35189.761904761872</v>
      </c>
    </row>
    <row r="80" spans="1:11" x14ac:dyDescent="0.3">
      <c r="A80" s="3">
        <v>103</v>
      </c>
      <c r="B80" s="5" t="s">
        <v>109</v>
      </c>
      <c r="C80" s="3" t="s">
        <v>16</v>
      </c>
      <c r="D80" s="4">
        <v>16000</v>
      </c>
      <c r="E80" s="3">
        <f>D80*50%</f>
        <v>8000</v>
      </c>
      <c r="F80" s="3">
        <f>D80*20%</f>
        <v>3200</v>
      </c>
      <c r="G80" s="3">
        <f>D80*10%</f>
        <v>1600</v>
      </c>
      <c r="H80" s="3">
        <f>2500/12</f>
        <v>208.33333333333334</v>
      </c>
      <c r="I80" s="4">
        <f>SUM(D80:F80)</f>
        <v>27200</v>
      </c>
      <c r="J80" s="3">
        <f>SUM(G80:H80)</f>
        <v>1808.3333333333333</v>
      </c>
      <c r="K80" s="4">
        <f>I80-J80</f>
        <v>25391.666666666668</v>
      </c>
    </row>
    <row r="81" spans="1:11" x14ac:dyDescent="0.3">
      <c r="A81" s="3">
        <v>156</v>
      </c>
      <c r="B81" s="5" t="s">
        <v>71</v>
      </c>
      <c r="C81" s="3" t="s">
        <v>12</v>
      </c>
      <c r="D81" s="4">
        <v>23095.238095238099</v>
      </c>
      <c r="E81" s="3">
        <f>D81*50%</f>
        <v>11547.61904761905</v>
      </c>
      <c r="F81" s="3">
        <f>D81*20%</f>
        <v>4619.0476190476202</v>
      </c>
      <c r="G81" s="3">
        <f>D81*10%</f>
        <v>2309.5238095238101</v>
      </c>
      <c r="H81" s="3">
        <f>2500/12</f>
        <v>208.33333333333334</v>
      </c>
      <c r="I81" s="4">
        <f>SUM(D81:F81)</f>
        <v>39261.904761904763</v>
      </c>
      <c r="J81" s="3">
        <f>SUM(G81:H81)</f>
        <v>2517.8571428571436</v>
      </c>
      <c r="K81" s="4">
        <f>I81-J81</f>
        <v>36744.047619047618</v>
      </c>
    </row>
    <row r="82" spans="1:11" x14ac:dyDescent="0.3">
      <c r="A82" s="3">
        <v>101</v>
      </c>
      <c r="B82" s="5" t="s">
        <v>11</v>
      </c>
      <c r="C82" s="3" t="s">
        <v>12</v>
      </c>
      <c r="D82" s="4">
        <v>15000</v>
      </c>
      <c r="E82" s="3">
        <f>D82*50%</f>
        <v>7500</v>
      </c>
      <c r="F82" s="3">
        <f>D82*20%</f>
        <v>3000</v>
      </c>
      <c r="G82" s="3">
        <f>D82*10%</f>
        <v>1500</v>
      </c>
      <c r="H82" s="3">
        <f>2500/12</f>
        <v>208.33333333333334</v>
      </c>
      <c r="I82" s="4">
        <f>SUM(D82:F82)</f>
        <v>25500</v>
      </c>
      <c r="J82" s="3">
        <f>SUM(G82:H82)</f>
        <v>1708.3333333333333</v>
      </c>
      <c r="K82" s="4">
        <f>I82-J82</f>
        <v>23791.666666666668</v>
      </c>
    </row>
    <row r="83" spans="1:11" x14ac:dyDescent="0.3">
      <c r="A83" s="3">
        <v>190</v>
      </c>
      <c r="B83" s="12" t="s">
        <v>80</v>
      </c>
      <c r="C83" s="3" t="s">
        <v>16</v>
      </c>
      <c r="D83" s="4">
        <v>27223.809523809599</v>
      </c>
      <c r="E83" s="3">
        <f>D83*50%</f>
        <v>13611.9047619048</v>
      </c>
      <c r="F83" s="3">
        <f>D83*20%</f>
        <v>5444.7619047619201</v>
      </c>
      <c r="G83" s="3">
        <f>D83*10%</f>
        <v>2722.38095238096</v>
      </c>
      <c r="H83" s="3">
        <f>2500/12</f>
        <v>208.33333333333334</v>
      </c>
      <c r="I83" s="4">
        <f>SUM(D83:F83)</f>
        <v>46280.476190476322</v>
      </c>
      <c r="J83" s="3">
        <f>SUM(G83:H83)</f>
        <v>2930.7142857142935</v>
      </c>
      <c r="K83" s="4">
        <f>I83-J83</f>
        <v>43349.761904762025</v>
      </c>
    </row>
    <row r="84" spans="1:11" x14ac:dyDescent="0.3">
      <c r="A84" s="3">
        <v>159</v>
      </c>
      <c r="B84" s="5" t="s">
        <v>74</v>
      </c>
      <c r="C84" s="3" t="s">
        <v>18</v>
      </c>
      <c r="D84" s="4">
        <v>23459.523809523798</v>
      </c>
      <c r="E84" s="3">
        <f>D84*50%</f>
        <v>11729.761904761899</v>
      </c>
      <c r="F84" s="3">
        <f>D84*20%</f>
        <v>4691.9047619047597</v>
      </c>
      <c r="G84" s="3">
        <f>D84*10%</f>
        <v>2345.9523809523798</v>
      </c>
      <c r="H84" s="3">
        <f>2500/12</f>
        <v>208.33333333333334</v>
      </c>
      <c r="I84" s="4">
        <f>SUM(D84:F84)</f>
        <v>39881.190476190459</v>
      </c>
      <c r="J84" s="3">
        <f>SUM(G84:H84)</f>
        <v>2554.2857142857133</v>
      </c>
      <c r="K84" s="4">
        <f>I84-J84</f>
        <v>37326.904761904749</v>
      </c>
    </row>
    <row r="85" spans="1:11" x14ac:dyDescent="0.3">
      <c r="A85" s="3">
        <v>126</v>
      </c>
      <c r="B85" s="5" t="s">
        <v>41</v>
      </c>
      <c r="C85" s="3" t="s">
        <v>12</v>
      </c>
      <c r="D85" s="4">
        <v>19452.3809523809</v>
      </c>
      <c r="E85" s="3">
        <f>D85*50%</f>
        <v>9726.1904761904498</v>
      </c>
      <c r="F85" s="3">
        <f>D85*20%</f>
        <v>3890.4761904761799</v>
      </c>
      <c r="G85" s="3">
        <f>D85*10%</f>
        <v>1945.23809523809</v>
      </c>
      <c r="H85" s="3">
        <f>2500/12</f>
        <v>208.33333333333334</v>
      </c>
      <c r="I85" s="4">
        <f>SUM(D85:F85)</f>
        <v>33069.047619047531</v>
      </c>
      <c r="J85" s="3">
        <f>SUM(G85:H85)</f>
        <v>2153.5714285714234</v>
      </c>
      <c r="K85" s="4">
        <f>I85-J85</f>
        <v>30915.476190476107</v>
      </c>
    </row>
    <row r="86" spans="1:11" x14ac:dyDescent="0.3">
      <c r="A86" s="3">
        <v>131</v>
      </c>
      <c r="B86" s="5" t="s">
        <v>46</v>
      </c>
      <c r="C86" s="3" t="s">
        <v>12</v>
      </c>
      <c r="D86" s="4">
        <v>20059.523809523798</v>
      </c>
      <c r="E86" s="3">
        <f>D86*50%</f>
        <v>10029.761904761899</v>
      </c>
      <c r="F86" s="3">
        <f>D86*20%</f>
        <v>4011.9047619047597</v>
      </c>
      <c r="G86" s="3">
        <f>D86*10%</f>
        <v>2005.9523809523798</v>
      </c>
      <c r="H86" s="3">
        <f>2500/12</f>
        <v>208.33333333333334</v>
      </c>
      <c r="I86" s="4">
        <f>SUM(D86:F86)</f>
        <v>34101.190476190459</v>
      </c>
      <c r="J86" s="3">
        <f>SUM(G86:H86)</f>
        <v>2214.2857142857133</v>
      </c>
      <c r="K86" s="4">
        <f>I86-J86</f>
        <v>31886.904761904745</v>
      </c>
    </row>
    <row r="87" spans="1:11" x14ac:dyDescent="0.3">
      <c r="A87" s="3">
        <v>178</v>
      </c>
      <c r="B87" s="5" t="s">
        <v>96</v>
      </c>
      <c r="C87" s="3" t="s">
        <v>16</v>
      </c>
      <c r="D87" s="4">
        <v>25766.666666666701</v>
      </c>
      <c r="E87" s="3">
        <f>D87*50%</f>
        <v>12883.33333333335</v>
      </c>
      <c r="F87" s="3">
        <f>D87*20%</f>
        <v>5153.3333333333403</v>
      </c>
      <c r="G87" s="3">
        <f>D87*10%</f>
        <v>2576.6666666666702</v>
      </c>
      <c r="H87" s="3">
        <f>2500/12</f>
        <v>208.33333333333334</v>
      </c>
      <c r="I87" s="4">
        <f>SUM(D87:F87)</f>
        <v>43803.333333333394</v>
      </c>
      <c r="J87" s="3">
        <f>SUM(G87:H87)</f>
        <v>2785.0000000000036</v>
      </c>
      <c r="K87" s="4">
        <f>I87-J87</f>
        <v>41018.333333333387</v>
      </c>
    </row>
    <row r="88" spans="1:11" x14ac:dyDescent="0.3">
      <c r="A88" s="3">
        <v>134</v>
      </c>
      <c r="B88" s="5" t="s">
        <v>49</v>
      </c>
      <c r="C88" s="3" t="s">
        <v>18</v>
      </c>
      <c r="D88" s="4">
        <v>20423.809523809501</v>
      </c>
      <c r="E88" s="3">
        <f>D88*50%</f>
        <v>10211.904761904751</v>
      </c>
      <c r="F88" s="3">
        <f>D88*20%</f>
        <v>4084.7619047619005</v>
      </c>
      <c r="G88" s="3">
        <f>D88*10%</f>
        <v>2042.3809523809502</v>
      </c>
      <c r="H88" s="3">
        <f>2500/12</f>
        <v>208.33333333333334</v>
      </c>
      <c r="I88" s="4">
        <f>SUM(D88:F88)</f>
        <v>34720.476190476154</v>
      </c>
      <c r="J88" s="3">
        <f>SUM(G88:H88)</f>
        <v>2250.7142857142835</v>
      </c>
      <c r="K88" s="4">
        <f>I88-J88</f>
        <v>32469.761904761872</v>
      </c>
    </row>
    <row r="89" spans="1:11" x14ac:dyDescent="0.3">
      <c r="A89" s="3">
        <v>158</v>
      </c>
      <c r="B89" s="5" t="s">
        <v>73</v>
      </c>
      <c r="C89" s="3" t="s">
        <v>20</v>
      </c>
      <c r="D89" s="4">
        <v>23338.0952380952</v>
      </c>
      <c r="E89" s="3">
        <f>D89*50%</f>
        <v>11669.0476190476</v>
      </c>
      <c r="F89" s="3">
        <f>D89*20%</f>
        <v>4667.6190476190404</v>
      </c>
      <c r="G89" s="3">
        <f>D89*10%</f>
        <v>2333.8095238095202</v>
      </c>
      <c r="H89" s="3">
        <f>2500/12</f>
        <v>208.33333333333334</v>
      </c>
      <c r="I89" s="4">
        <f>SUM(D89:F89)</f>
        <v>39674.761904761835</v>
      </c>
      <c r="J89" s="3">
        <f>SUM(G89:H89)</f>
        <v>2542.1428571428537</v>
      </c>
      <c r="K89" s="4">
        <f>I89-J89</f>
        <v>37132.61904761898</v>
      </c>
    </row>
    <row r="90" spans="1:11" x14ac:dyDescent="0.3">
      <c r="A90" s="3">
        <v>160</v>
      </c>
      <c r="B90" s="11" t="s">
        <v>75</v>
      </c>
      <c r="C90" s="3" t="s">
        <v>16</v>
      </c>
      <c r="D90" s="4">
        <v>23580.9523809524</v>
      </c>
      <c r="E90" s="3">
        <f>D90*50%</f>
        <v>11790.4761904762</v>
      </c>
      <c r="F90" s="3">
        <f>D90*20%</f>
        <v>4716.1904761904798</v>
      </c>
      <c r="G90" s="3">
        <f>D90*10%</f>
        <v>2358.0952380952399</v>
      </c>
      <c r="H90" s="3">
        <f>2500/12</f>
        <v>208.33333333333334</v>
      </c>
      <c r="I90" s="4">
        <f>SUM(D90:F90)</f>
        <v>40087.619047619082</v>
      </c>
      <c r="J90" s="3">
        <f>SUM(G90:H90)</f>
        <v>2566.4285714285734</v>
      </c>
      <c r="K90" s="4">
        <f>I90-J90</f>
        <v>37521.19047619051</v>
      </c>
    </row>
    <row r="91" spans="1:11" x14ac:dyDescent="0.3">
      <c r="A91" s="3">
        <v>179</v>
      </c>
      <c r="B91" s="11" t="s">
        <v>97</v>
      </c>
      <c r="C91" s="3" t="s">
        <v>18</v>
      </c>
      <c r="D91" s="4">
        <v>25888.0952380952</v>
      </c>
      <c r="E91" s="3">
        <f>D91*50%</f>
        <v>12944.0476190476</v>
      </c>
      <c r="F91" s="3">
        <f>D91*20%</f>
        <v>5177.6190476190404</v>
      </c>
      <c r="G91" s="3">
        <f>D91*10%</f>
        <v>2588.8095238095202</v>
      </c>
      <c r="H91" s="3">
        <f>2500/12</f>
        <v>208.33333333333334</v>
      </c>
      <c r="I91" s="4">
        <f>SUM(D91:F91)</f>
        <v>44009.761904761835</v>
      </c>
      <c r="J91" s="3">
        <f>SUM(G91:H91)</f>
        <v>2797.1428571428537</v>
      </c>
      <c r="K91" s="4">
        <f>I91-J91</f>
        <v>41212.61904761898</v>
      </c>
    </row>
    <row r="92" spans="1:11" x14ac:dyDescent="0.3">
      <c r="A92" s="3">
        <v>154</v>
      </c>
      <c r="B92" s="11" t="s">
        <v>69</v>
      </c>
      <c r="C92" s="3" t="s">
        <v>18</v>
      </c>
      <c r="D92" s="4">
        <v>22852.3809523809</v>
      </c>
      <c r="E92" s="3">
        <f>D92*50%</f>
        <v>11426.19047619045</v>
      </c>
      <c r="F92" s="3">
        <f>D92*20%</f>
        <v>4570.4761904761799</v>
      </c>
      <c r="G92" s="3">
        <f>D92*10%</f>
        <v>2285.23809523809</v>
      </c>
      <c r="H92" s="3">
        <f>2500/12</f>
        <v>208.33333333333334</v>
      </c>
      <c r="I92" s="4">
        <f>SUM(D92:F92)</f>
        <v>38849.047619047531</v>
      </c>
      <c r="J92" s="3">
        <f>SUM(G92:H92)</f>
        <v>2493.5714285714234</v>
      </c>
      <c r="K92" s="4">
        <f>I92-J92</f>
        <v>36355.476190476111</v>
      </c>
    </row>
  </sheetData>
  <autoFilter ref="A1:K92" xr:uid="{EB922CAA-D31E-46F7-A985-BE396E7E005E}"/>
  <sortState xmlns:xlrd2="http://schemas.microsoft.com/office/spreadsheetml/2017/richdata2" ref="A2:K92">
    <sortCondition ref="B2:B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Messy Data</vt:lpstr>
      <vt:lpstr>Clean Data</vt:lpstr>
      <vt:lpstr>Data Cleaning</vt:lpstr>
      <vt:lpstr>Vlookup</vt:lpstr>
      <vt:lpstr>pivot table</vt:lpstr>
      <vt:lpstr>conditional Formatting</vt:lpstr>
      <vt:lpstr>Array Functions</vt:lpstr>
      <vt:lpstr>'Array Functions'!Criteria</vt:lpstr>
      <vt:lpstr>'Array Functions'!Extract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2026-10-02T14:18:28Z</dcterms:created>
  <dcterms:modified xsi:type="dcterms:W3CDTF">2026-10-03T10:18:34Z</dcterms:modified>
</cp:coreProperties>
</file>